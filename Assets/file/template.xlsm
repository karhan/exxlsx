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50" yWindow="45" windowWidth="19050" windowHeight="7725" tabRatio="769" firstSheet="1" activeTab="6"/>
  </bookViews>
  <sheets>
    <sheet name="Contract" sheetId="1" r:id="rId1"/>
    <sheet name="FH" sheetId="2" r:id="rId2"/>
    <sheet name="T.Convert" sheetId="10" r:id="rId3"/>
    <sheet name="KMV" sheetId="27" r:id="rId4"/>
    <sheet name="DataBase" sheetId="26" r:id="rId5"/>
    <sheet name="T.Data" sheetId="12" r:id="rId6"/>
    <sheet name="T.KMAU_" sheetId="25" r:id="rId7"/>
    <sheet name="T.KMAURS_" sheetId="33" r:id="rId8"/>
    <sheet name="T.KMU-AK_" sheetId="31" r:id="rId9"/>
    <sheet name="T.KMUSDRY_" sheetId="34" r:id="rId10"/>
    <sheet name="T.GM_" sheetId="5" r:id="rId11"/>
    <sheet name="T.ZM1_" sheetId="6" r:id="rId12"/>
    <sheet name="T.ZM2_" sheetId="17" r:id="rId13"/>
    <sheet name="T.ZM3_" sheetId="18" r:id="rId14"/>
    <sheet name="T.GE_" sheetId="15" r:id="rId15"/>
    <sheet name="T.OC_" sheetId="19" r:id="rId16"/>
    <sheet name="ER" sheetId="9" r:id="rId17"/>
    <sheet name="MKR" sheetId="16" r:id="rId18"/>
    <sheet name="AN" sheetId="22" r:id="rId19"/>
    <sheet name="FIFD" sheetId="11" r:id="rId20"/>
  </sheets>
  <definedNames>
    <definedName name="_xlnm._FilterDatabase" localSheetId="3" hidden="1">KMV!$A$1:$F$22</definedName>
    <definedName name="_xlnm._FilterDatabase" localSheetId="2" hidden="1">#REF!</definedName>
    <definedName name="ADDRESS_BANK">FH!$D$30</definedName>
    <definedName name="ADDRESS_KREDITOR">T.Data!$J$22</definedName>
    <definedName name="ADDRESS_KREDITOR_NOW">T.Data!$J$23</definedName>
    <definedName name="ADDRESS_REGION">FH!$I$4</definedName>
    <definedName name="ADDRESS_ZAMIN">T.Data!$J$32</definedName>
    <definedName name="ADDRESS_ZAMIN2">T.Data!$J$41</definedName>
    <definedName name="ADDRESS_ZAMIN3">T.Data!$J$51</definedName>
    <definedName name="Cinsi">DataBase!$Q$2:$Q$500</definedName>
    <definedName name="DT_SV">T.Data!$N$22</definedName>
    <definedName name="END_DATE_KREDIT">T.Data!$F$6</definedName>
    <definedName name="END_DATE_KREDIT_SOZLE">T.Data!$D$7</definedName>
    <definedName name="Eshyalar">DataBase!$G$2:$G$500</definedName>
    <definedName name="FATHERNAME_BM">T.Data!$F$68</definedName>
    <definedName name="FATHERNAME_KM">FH!$I$18</definedName>
    <definedName name="FATHERNAME_KREDITOR">T.Data!$F$17</definedName>
    <definedName name="FATHERNAME_MENEGER_BRANCH">FH!$D$18</definedName>
    <definedName name="FATHERNAME_ZAMIN">T.Data!$F$27</definedName>
    <definedName name="FATHERNAME_ZAMIN2">T.Data!$F$36</definedName>
    <definedName name="FATHERNAME_ZAMIN3">T.Data!$F$46</definedName>
    <definedName name="FATHERNAME_ZERGER">T.Data!$F$161</definedName>
    <definedName name="FAX_BRANCH">FH!$I$8</definedName>
    <definedName name="FIFD">T.Data!$N$8</definedName>
    <definedName name="G_BM">T.Data!$G$68</definedName>
    <definedName name="G_KM">FH!$I$20</definedName>
    <definedName name="G_KREDITOR">T.Data!$G$17</definedName>
    <definedName name="G_MENEGER_BRANCH">FH!$D$20</definedName>
    <definedName name="G_ZAMIN">T.Data!$G$27</definedName>
    <definedName name="G_ZAMIN2">T.Data!$G$36</definedName>
    <definedName name="G_ZAMIN3">T.Data!$G$46</definedName>
    <definedName name="G_ZERGER">T.Data!$G$161</definedName>
    <definedName name="GE_SUM">T.Data!$M$157</definedName>
    <definedName name="GE_SUM_SOZLE">T.Data!$N$156</definedName>
    <definedName name="GEE_SUM">T.Data!$N$65</definedName>
    <definedName name="GEZ_SUM">T.Data!$N$155</definedName>
    <definedName name="GirovaElave">DataBase!$K$2:$K$500</definedName>
    <definedName name="GOTURDUYU_MEBLEQ">T.Data!$M$20</definedName>
    <definedName name="GOTURDUYU_MEBLEQ_SOZLE">T.Data!$M$21</definedName>
    <definedName name="GUZEST_KREDIT">T.Data!$K$6</definedName>
    <definedName name="GUZEST_KREDIT_SOZLE">T.Data!$K$7</definedName>
    <definedName name="IFF">T.Data!$N$4</definedName>
    <definedName name="IFF_SOZLE">T.Data!$N$5</definedName>
    <definedName name="KH">T.Data!$N$6</definedName>
    <definedName name="KH_SOZLE">T.Data!$N$7</definedName>
    <definedName name="KM_KMV">KMV!$B$10:$B$22</definedName>
    <definedName name="KuchKendQes">DataBase!$F$2:$F$500</definedName>
    <definedName name="LD_NUM">T.Data!$K$2</definedName>
    <definedName name="LD_OUT">T.Data!$M$2</definedName>
    <definedName name="LOAN_INDEX">T.Data!$Q$8</definedName>
    <definedName name="Model">DataBase!$H$2:$H$500</definedName>
    <definedName name="MONTH_KREDIT">T.Data!$K$4</definedName>
    <definedName name="MONTH_KREDIT_SOZLE">T.Data!$K$5</definedName>
    <definedName name="NAME_BM">T.Data!$D$68</definedName>
    <definedName name="NAME_BRANCH">FH!$D$8</definedName>
    <definedName name="NAME_KM">FH!$I$16</definedName>
    <definedName name="NAME_KREDITOR">T.Data!$D$17</definedName>
    <definedName name="NAME_MENEGER_BRANCH">FH!$D$16</definedName>
    <definedName name="NAME_REGION">FH!$D$4</definedName>
    <definedName name="NAME_ZAMIN">T.Data!$D$27</definedName>
    <definedName name="NAME_ZAMIN2">T.Data!$D$36</definedName>
    <definedName name="NAME_ZAMIN3">T.Data!$D$46</definedName>
    <definedName name="NAME_ZERGER">T.Data!$D$161</definedName>
    <definedName name="NS">T.Data!$O$6</definedName>
    <definedName name="NS_SOZLE">T.Data!$O$7</definedName>
    <definedName name="NUM_1_KREDITOR">T.Data!$J$17</definedName>
    <definedName name="NUM_1_ZAMIN">T.Data!$J$27</definedName>
    <definedName name="NUM_1_ZAMIN2">T.Data!$J$36</definedName>
    <definedName name="NUM_1_ZAMIN3">T.Data!$J$46</definedName>
    <definedName name="NUM_2_KREDITOR">T.Data!$M$17</definedName>
    <definedName name="NUM_2_ZAMIN">T.Data!$M$27</definedName>
    <definedName name="NUM_2_ZAMIN2">T.Data!$M$36</definedName>
    <definedName name="NUM_2_ZAMIN3">T.Data!$M$46</definedName>
    <definedName name="NUM_3_ZAMIN3">T.Data!$M$46</definedName>
    <definedName name="NUM_BRANCH">FH!$I$6</definedName>
    <definedName name="OLD_DATE_KREDIT">T.Data!$D$12</definedName>
    <definedName name="OLD_DATE_KREDIT_SOZLE">T.Data!$C$13</definedName>
    <definedName name="OLD_LD">T.Data!$G$12</definedName>
    <definedName name="OLD_MEBLEQ">T.Data!$M$12</definedName>
    <definedName name="OLD_MEBLEQ_SOZLE">T.Data!$K$13</definedName>
    <definedName name="POSITION_KM">FH!$I$12</definedName>
    <definedName name="POSITION_MENEGER_BRANCH">FH!$D$12</definedName>
    <definedName name="_xlnm.Print_Area" localSheetId="1">FH!$A$1:$J$33</definedName>
    <definedName name="_xlnm.Print_Area" localSheetId="3">KMV!$A$1:$F$30</definedName>
    <definedName name="_xlnm.Print_Area" localSheetId="5">T.Data!$A$1:$P$163</definedName>
    <definedName name="_xlnm.Print_Area" localSheetId="14">T.GE_!$A$1:$H$65</definedName>
    <definedName name="_xlnm.Print_Area" localSheetId="15">T.OC_!$A$1:$J$112</definedName>
    <definedName name="PUL_VAHIDI">T.Data!$N$20</definedName>
    <definedName name="PUL_VAHIDI_SOZLE">T.Data!$N$21</definedName>
    <definedName name="QiymetliDashinAdi">DataBase!$N$2:$N$500</definedName>
    <definedName name="QizilEshyalari">DataBase!$L$2:$L$500</definedName>
    <definedName name="QizilEshyaNovu">DataBase!$M$2:$M$500</definedName>
    <definedName name="RayonSheher">DataBase!$E$2:$E$500</definedName>
    <definedName name="Rengi">DataBase!$J$2:$J$500</definedName>
    <definedName name="RVS_KMV">KMV!$B$3:$B$8</definedName>
    <definedName name="SF">T.Data!$K$8</definedName>
    <definedName name="SF_SOZLE">T.Data!#REF!</definedName>
    <definedName name="SHV_D_KREDITOR">T.Data!$G$20</definedName>
    <definedName name="SHV_D_KREDITOR_SOZLE">T.Data!$G$21</definedName>
    <definedName name="SHV_D_ZAMIN">T.Data!$G$30</definedName>
    <definedName name="SHV_D_ZAMIN_SOZLE">T.Data!$G$31</definedName>
    <definedName name="SHV_D_ZAMIN_SOZLE2">T.Data!$G$40</definedName>
    <definedName name="SHV_D_ZAMIN_SOZLE3">T.Data!$G$50</definedName>
    <definedName name="SHV_D_ZAMIN2">T.Data!$G$39</definedName>
    <definedName name="SHV_D_ZAMIN3">T.Data!$G$49</definedName>
    <definedName name="SHV_R_KREDITOR">T.Data!$J$21</definedName>
    <definedName name="SHV_R_ZAMIN">T.Data!$J$31</definedName>
    <definedName name="SHV_R_ZAMIN2">T.Data!$J$40</definedName>
    <definedName name="SHV_R_ZAMIN3">T.Data!$J$50</definedName>
    <definedName name="SHV_SN_KREDITOR">T.Data!$D$21</definedName>
    <definedName name="SHV_SN_ZAMIN">T.Data!$D$31</definedName>
    <definedName name="SHV_SN_ZAMIN2">T.Data!$D$40</definedName>
    <definedName name="SHV_SN_ZAMIN3">T.Data!$D$50</definedName>
    <definedName name="SSH_DATE">T.Convert!$AJ$57</definedName>
    <definedName name="SSH_NAME">T.Convert!$W$57</definedName>
    <definedName name="SSH_NUM">T.Convert!$AQ$57</definedName>
    <definedName name="START_DATE_KREDIT">T.Data!$F$4</definedName>
    <definedName name="START_DATE_KREDIT_SOZLE">T.Data!$D$5</definedName>
    <definedName name="SURNAME_BM">T.Data!$C$68</definedName>
    <definedName name="SURNAME_KM">FH!$I$14</definedName>
    <definedName name="SURNAME_KREDITOR">T.Data!$C$17</definedName>
    <definedName name="SURNAME_MENEGER_BRANCH">FH!$D$14</definedName>
    <definedName name="SURNAME_ZAMIN">T.Data!$C$27</definedName>
    <definedName name="SURNAME_ZAMIN1">T.Data!$C$27</definedName>
    <definedName name="SURNAME_ZAMIN2">T.Data!$C$36</definedName>
    <definedName name="SURNAME_ZAMIN3">T.Data!$C$46</definedName>
    <definedName name="SURNAME_ZERGER">T.Data!$C$161</definedName>
    <definedName name="SVSeriasi">DataBase!$B$2:$B$500</definedName>
    <definedName name="SVVerRayon">DataBase!$C$2:$C$500</definedName>
    <definedName name="SVVerYer">DataBase!$D$2:$D$500</definedName>
    <definedName name="Tarix">DataBase!$R$9:$R$500</definedName>
    <definedName name="TEST_ANALISE">T.Data!$Q$157</definedName>
    <definedName name="Valyuta">DataBase!$O$2:$O$500</definedName>
    <definedName name="ValyutaSozle">DataBase!$P$2:$P$500</definedName>
    <definedName name="Veziyyet">DataBase!$I$2:$I$500</definedName>
    <definedName name="Z_4F73C43E_7D93_4032_922A_260B293AE355_.wvu.Cols" localSheetId="6" hidden="1">T.KMAU_!#REF!</definedName>
    <definedName name="Z_4F73C43E_7D93_4032_922A_260B293AE355_.wvu.Cols" localSheetId="7" hidden="1">T.KMAURS_!#REF!</definedName>
    <definedName name="Z_4F73C43E_7D93_4032_922A_260B293AE355_.wvu.Cols" localSheetId="8" hidden="1">'T.KMU-AK_'!#REF!</definedName>
    <definedName name="Z_4F73C43E_7D93_4032_922A_260B293AE355_.wvu.Cols" localSheetId="9" hidden="1">T.KMUSDRY_!#REF!</definedName>
    <definedName name="Z_4F73C43E_7D93_4032_922A_260B293AE355_.wvu.FilterData" localSheetId="2" hidden="1">#REF!</definedName>
    <definedName name="Z_4F73C43E_7D93_4032_922A_260B293AE355_.wvu.PrintArea" localSheetId="14" hidden="1">T.GE_!$A$1:$H$65</definedName>
    <definedName name="Z_4F73C43E_7D93_4032_922A_260B293AE355_.wvu.PrintArea" localSheetId="10" hidden="1">T.GM_!$A$1:$BK$110</definedName>
    <definedName name="Z_4F73C43E_7D93_4032_922A_260B293AE355_.wvu.PrintArea" localSheetId="6" hidden="1">T.KMAU_!$A$1:$BG$143</definedName>
    <definedName name="Z_4F73C43E_7D93_4032_922A_260B293AE355_.wvu.PrintArea" localSheetId="7" hidden="1">T.KMAURS_!$A$1:$BG$153</definedName>
    <definedName name="Z_4F73C43E_7D93_4032_922A_260B293AE355_.wvu.PrintArea" localSheetId="8" hidden="1">'T.KMU-AK_'!$A$1:$BG$153</definedName>
    <definedName name="Z_4F73C43E_7D93_4032_922A_260B293AE355_.wvu.PrintArea" localSheetId="9" hidden="1">T.KMUSDRY_!$A$1:$BG$153</definedName>
    <definedName name="Z_4F73C43E_7D93_4032_922A_260B293AE355_.wvu.PrintArea" localSheetId="11" hidden="1">T.ZM1_!$A$51:$BJ$66</definedName>
    <definedName name="Z_4F73C43E_7D93_4032_922A_260B293AE355_.wvu.PrintArea" localSheetId="12" hidden="1">T.ZM2_!$A$51:$BJ$66</definedName>
    <definedName name="Z_4F73C43E_7D93_4032_922A_260B293AE355_.wvu.PrintArea" localSheetId="13" hidden="1">T.ZM3_!$A$51:$BJ$66</definedName>
  </definedNames>
  <calcPr calcId="145621"/>
</workbook>
</file>

<file path=xl/calcChain.xml><?xml version="1.0" encoding="utf-8"?>
<calcChain xmlns="http://schemas.openxmlformats.org/spreadsheetml/2006/main">
  <c r="Q8" i="12" l="1"/>
  <c r="AI17" i="10" l="1"/>
  <c r="AN33" i="10" s="1"/>
  <c r="AL17" i="10"/>
  <c r="AI32" i="10" s="1"/>
  <c r="B32" i="25"/>
  <c r="K4" i="12"/>
  <c r="AP145" i="34"/>
  <c r="AM145" i="34" s="1"/>
  <c r="K145" i="34"/>
  <c r="G145" i="34" s="1"/>
  <c r="K144" i="34"/>
  <c r="G144" i="34"/>
  <c r="K142" i="34"/>
  <c r="AP139" i="34"/>
  <c r="B124" i="34"/>
  <c r="AF116" i="34"/>
  <c r="B113" i="34"/>
  <c r="AF111" i="34"/>
  <c r="B100" i="34"/>
  <c r="AF88" i="34"/>
  <c r="C88" i="34"/>
  <c r="C87" i="34"/>
  <c r="AF82" i="34"/>
  <c r="C82" i="34"/>
  <c r="C80" i="34"/>
  <c r="C72" i="34"/>
  <c r="AG70" i="34"/>
  <c r="AG50" i="34"/>
  <c r="AG46" i="34"/>
  <c r="B40" i="34"/>
  <c r="B37" i="34"/>
  <c r="B31" i="34"/>
  <c r="AH17" i="34"/>
  <c r="AH9" i="34"/>
  <c r="AH3" i="34"/>
  <c r="A3" i="34"/>
  <c r="AH1" i="34"/>
  <c r="C72" i="33"/>
  <c r="AP145" i="33"/>
  <c r="AM145" i="33" s="1"/>
  <c r="K145" i="33"/>
  <c r="G145" i="33" s="1"/>
  <c r="K144" i="33"/>
  <c r="G144" i="33" s="1"/>
  <c r="K142" i="33"/>
  <c r="AP139" i="33"/>
  <c r="B124" i="33"/>
  <c r="AF116" i="33"/>
  <c r="B113" i="33"/>
  <c r="AF111" i="33"/>
  <c r="B100" i="33"/>
  <c r="AF88" i="33"/>
  <c r="C88" i="33"/>
  <c r="C87" i="33"/>
  <c r="AF82" i="33"/>
  <c r="C82" i="33"/>
  <c r="C80" i="33"/>
  <c r="AG70" i="33"/>
  <c r="AG50" i="33"/>
  <c r="AG46" i="33"/>
  <c r="B40" i="33"/>
  <c r="B37" i="33"/>
  <c r="B31" i="33"/>
  <c r="AH17" i="33"/>
  <c r="AH9" i="33"/>
  <c r="AH3" i="33"/>
  <c r="AH1" i="33"/>
  <c r="A3" i="33"/>
  <c r="AT22" i="10" l="1"/>
  <c r="AU22" i="10"/>
  <c r="AX22" i="10"/>
  <c r="AI18" i="10"/>
  <c r="AV22" i="10"/>
  <c r="AW22" i="10"/>
  <c r="AS22" i="10"/>
  <c r="AI20" i="10"/>
  <c r="AI21" i="10" s="1"/>
  <c r="AI33" i="10"/>
  <c r="AL33" i="10" s="1"/>
  <c r="AR22" i="10"/>
  <c r="C82" i="31"/>
  <c r="AF82" i="31"/>
  <c r="C80" i="31"/>
  <c r="AG48" i="31"/>
  <c r="AG1" i="31"/>
  <c r="B34" i="31"/>
  <c r="AG35" i="25"/>
  <c r="AR28" i="10" l="1"/>
  <c r="AR27" i="10"/>
  <c r="AR29" i="10"/>
  <c r="AR26" i="10"/>
  <c r="AR25" i="10"/>
  <c r="AR24" i="10"/>
  <c r="AR23" i="10"/>
  <c r="AR31" i="10"/>
  <c r="AR30" i="10"/>
  <c r="AX26" i="10"/>
  <c r="AX25" i="10"/>
  <c r="AX24" i="10"/>
  <c r="AX30" i="10"/>
  <c r="AX23" i="10"/>
  <c r="AX31" i="10"/>
  <c r="AX29" i="10"/>
  <c r="AX28" i="10"/>
  <c r="AX27" i="10"/>
  <c r="AU23" i="10"/>
  <c r="AU30" i="10"/>
  <c r="AU24" i="10"/>
  <c r="AU29" i="10"/>
  <c r="AU27" i="10"/>
  <c r="AU31" i="10"/>
  <c r="AU28" i="10"/>
  <c r="AU26" i="10"/>
  <c r="AU25" i="10"/>
  <c r="AT29" i="10"/>
  <c r="AT26" i="10"/>
  <c r="AT28" i="10"/>
  <c r="AT27" i="10"/>
  <c r="AT31" i="10"/>
  <c r="AT25" i="10"/>
  <c r="AT24" i="10"/>
  <c r="AT23" i="10"/>
  <c r="AT30" i="10"/>
  <c r="AV24" i="10"/>
  <c r="AV23" i="10"/>
  <c r="AV31" i="10"/>
  <c r="AV28" i="10"/>
  <c r="AV30" i="10"/>
  <c r="AV25" i="10"/>
  <c r="AV29" i="10"/>
  <c r="AV27" i="10"/>
  <c r="AV26" i="10"/>
  <c r="AS29" i="10"/>
  <c r="AS28" i="10"/>
  <c r="AS27" i="10"/>
  <c r="AS25" i="10"/>
  <c r="AS30" i="10"/>
  <c r="AS26" i="10"/>
  <c r="AS31" i="10"/>
  <c r="AS24" i="10"/>
  <c r="AS23" i="10"/>
  <c r="AW25" i="10"/>
  <c r="AW24" i="10"/>
  <c r="AW23" i="10"/>
  <c r="AW31" i="10"/>
  <c r="AW30" i="10"/>
  <c r="AW29" i="10"/>
  <c r="AW26" i="10"/>
  <c r="AW28" i="10"/>
  <c r="AW27" i="10"/>
  <c r="AR17" i="10"/>
  <c r="AI19" i="10"/>
  <c r="AG72" i="31"/>
  <c r="C75" i="31"/>
  <c r="AT32" i="10" l="1"/>
  <c r="AT33" i="10" s="1"/>
  <c r="AT35" i="10" s="1"/>
  <c r="AU32" i="10"/>
  <c r="AW32" i="10"/>
  <c r="AW33" i="10" s="1"/>
  <c r="AW35" i="10" s="1"/>
  <c r="AS32" i="10"/>
  <c r="AR32" i="10"/>
  <c r="AR33" i="10" s="1"/>
  <c r="AR35" i="10" s="1"/>
  <c r="AV32" i="10"/>
  <c r="AV33" i="10" s="1"/>
  <c r="AV35" i="10" s="1"/>
  <c r="AX32" i="10"/>
  <c r="AX33" i="10" s="1"/>
  <c r="AX35" i="10" s="1"/>
  <c r="AP59" i="10"/>
  <c r="AW59" i="10" s="1"/>
  <c r="BC17" i="10"/>
  <c r="BE33" i="10"/>
  <c r="AM2" i="10"/>
  <c r="BD14" i="10" s="1"/>
  <c r="B43" i="31"/>
  <c r="AT34" i="10" l="1"/>
  <c r="AU34" i="10"/>
  <c r="AU33" i="10"/>
  <c r="AU35" i="10" s="1"/>
  <c r="AS33" i="10"/>
  <c r="AS35" i="10" s="1"/>
  <c r="AS34" i="10"/>
  <c r="D8" i="2"/>
  <c r="AX59" i="10"/>
  <c r="AZ32" i="10"/>
  <c r="AZ33" i="10" s="1"/>
  <c r="BC33" i="10" s="1"/>
  <c r="BD9" i="10"/>
  <c r="AY12" i="10"/>
  <c r="AS4" i="10"/>
  <c r="AY4" i="10" s="1"/>
  <c r="AY7" i="10"/>
  <c r="BD12" i="10"/>
  <c r="AY15" i="10"/>
  <c r="BD7" i="10"/>
  <c r="AY10" i="10"/>
  <c r="BD15" i="10"/>
  <c r="BD10" i="10"/>
  <c r="AY13" i="10"/>
  <c r="AY8" i="10"/>
  <c r="BD13" i="10"/>
  <c r="BD8" i="10"/>
  <c r="AY11" i="10"/>
  <c r="AM3" i="10"/>
  <c r="AY6" i="10"/>
  <c r="BD11" i="10"/>
  <c r="AY14" i="10"/>
  <c r="AO3" i="10"/>
  <c r="BD6" i="10"/>
  <c r="AY9" i="10"/>
  <c r="N20" i="12"/>
  <c r="E140" i="34" l="1"/>
  <c r="E140" i="33"/>
  <c r="A5" i="34"/>
  <c r="A5" i="33"/>
  <c r="A56" i="15"/>
  <c r="A5" i="31"/>
  <c r="A5" i="5"/>
  <c r="A57" i="18"/>
  <c r="A5" i="18"/>
  <c r="A57" i="17"/>
  <c r="A5" i="17"/>
  <c r="A57" i="6"/>
  <c r="A5" i="6"/>
  <c r="BI22" i="10"/>
  <c r="BO22" i="10"/>
  <c r="BN22" i="10"/>
  <c r="BM22" i="10"/>
  <c r="BL22" i="10"/>
  <c r="BK22" i="10"/>
  <c r="BJ22" i="10"/>
  <c r="AU6" i="10"/>
  <c r="AT6" i="10" s="1"/>
  <c r="AT12" i="10"/>
  <c r="AT9" i="10"/>
  <c r="AT14" i="10"/>
  <c r="AT11" i="10"/>
  <c r="AT8" i="10"/>
  <c r="AT13" i="10"/>
  <c r="AT10" i="10"/>
  <c r="AT15" i="10"/>
  <c r="AT7" i="10"/>
  <c r="AF88" i="31"/>
  <c r="AF80" i="25"/>
  <c r="BI31" i="10" l="1"/>
  <c r="BI23" i="10"/>
  <c r="BI24" i="10"/>
  <c r="BI25" i="10"/>
  <c r="BI26" i="10"/>
  <c r="BI27" i="10"/>
  <c r="BI28" i="10"/>
  <c r="BI29" i="10"/>
  <c r="BI30" i="10"/>
  <c r="BK25" i="10"/>
  <c r="BK26" i="10"/>
  <c r="BK27" i="10"/>
  <c r="BK28" i="10"/>
  <c r="BK24" i="10"/>
  <c r="BK29" i="10"/>
  <c r="BK30" i="10"/>
  <c r="BK31" i="10"/>
  <c r="BK23" i="10"/>
  <c r="BM27" i="10"/>
  <c r="BM28" i="10"/>
  <c r="BM29" i="10"/>
  <c r="BM30" i="10"/>
  <c r="BM24" i="10"/>
  <c r="BM26" i="10"/>
  <c r="BM31" i="10"/>
  <c r="BM23" i="10"/>
  <c r="BM25" i="10"/>
  <c r="BN28" i="10"/>
  <c r="BN29" i="10"/>
  <c r="BN30" i="10"/>
  <c r="BN31" i="10"/>
  <c r="BN23" i="10"/>
  <c r="BN27" i="10"/>
  <c r="BN24" i="10"/>
  <c r="BN25" i="10"/>
  <c r="BN26" i="10"/>
  <c r="BO28" i="10"/>
  <c r="BO29" i="10"/>
  <c r="BO30" i="10"/>
  <c r="BO31" i="10"/>
  <c r="BO23" i="10"/>
  <c r="BO24" i="10"/>
  <c r="BO25" i="10"/>
  <c r="BO26" i="10"/>
  <c r="BO27" i="10"/>
  <c r="BJ24" i="10"/>
  <c r="BJ25" i="10"/>
  <c r="BJ26" i="10"/>
  <c r="BJ27" i="10"/>
  <c r="BJ31" i="10"/>
  <c r="BJ23" i="10"/>
  <c r="BJ28" i="10"/>
  <c r="BJ29" i="10"/>
  <c r="BJ30" i="10"/>
  <c r="BL26" i="10"/>
  <c r="BL27" i="10"/>
  <c r="BL28" i="10"/>
  <c r="BL29" i="10"/>
  <c r="BL30" i="10"/>
  <c r="BL31" i="10"/>
  <c r="BL23" i="10"/>
  <c r="BL24" i="10"/>
  <c r="BL25" i="10"/>
  <c r="AS3" i="10"/>
  <c r="AH1" i="25"/>
  <c r="D77" i="25"/>
  <c r="AG67" i="25"/>
  <c r="BJ32" i="10" l="1"/>
  <c r="BM32" i="10"/>
  <c r="BM33" i="10" s="1"/>
  <c r="BM35" i="10" s="1"/>
  <c r="BO32" i="10"/>
  <c r="BO33" i="10" s="1"/>
  <c r="BO35" i="10" s="1"/>
  <c r="BK32" i="10"/>
  <c r="BN32" i="10"/>
  <c r="BN33" i="10" s="1"/>
  <c r="BN35" i="10" s="1"/>
  <c r="BI32" i="10"/>
  <c r="BI33" i="10" s="1"/>
  <c r="BI35" i="10" s="1"/>
  <c r="BL32" i="10"/>
  <c r="AS5" i="10"/>
  <c r="AS2" i="10"/>
  <c r="C13" i="12" s="1"/>
  <c r="N4" i="12"/>
  <c r="O38" i="10" s="1"/>
  <c r="O50" i="10" s="1"/>
  <c r="BJ34" i="10" l="1"/>
  <c r="BJ33" i="10"/>
  <c r="BJ35" i="10" s="1"/>
  <c r="BL33" i="10"/>
  <c r="BL35" i="10" s="1"/>
  <c r="BL34" i="10"/>
  <c r="BK33" i="10"/>
  <c r="BK35" i="10" s="1"/>
  <c r="BK34" i="10"/>
  <c r="B51" i="33" l="1"/>
  <c r="B51" i="34"/>
  <c r="AZ20" i="10"/>
  <c r="AZ21" i="10" s="1"/>
  <c r="AZ18" i="10"/>
  <c r="BI17" i="10" s="1"/>
  <c r="K13" i="12" s="1"/>
  <c r="B54" i="31"/>
  <c r="AZ19" i="10" l="1"/>
  <c r="B40" i="31" l="1"/>
  <c r="AG72" i="25"/>
  <c r="AG52" i="31"/>
  <c r="AG39" i="25"/>
  <c r="AG59" i="25"/>
  <c r="AP145" i="31"/>
  <c r="AM145" i="31" s="1"/>
  <c r="K145" i="31"/>
  <c r="G145" i="31" s="1"/>
  <c r="K144" i="31"/>
  <c r="G144" i="31" s="1"/>
  <c r="K142" i="31"/>
  <c r="AP139" i="31"/>
  <c r="AF116" i="31"/>
  <c r="AF111" i="31"/>
  <c r="B124" i="31"/>
  <c r="B113" i="31"/>
  <c r="B100" i="31"/>
  <c r="C88" i="31"/>
  <c r="C87" i="31"/>
  <c r="AH19" i="31"/>
  <c r="AH11" i="31"/>
  <c r="AH5" i="31"/>
  <c r="AH3" i="31"/>
  <c r="A3" i="31"/>
  <c r="N6" i="12" l="1"/>
  <c r="J23" i="19" l="1"/>
  <c r="J24" i="19"/>
  <c r="J25" i="19"/>
  <c r="J26" i="19"/>
  <c r="J27" i="19"/>
  <c r="J28" i="19"/>
  <c r="J29" i="19"/>
  <c r="J30" i="19"/>
  <c r="J31" i="19"/>
  <c r="J32" i="19"/>
  <c r="J33" i="19"/>
  <c r="J34" i="19"/>
  <c r="J35" i="19"/>
  <c r="J36" i="19"/>
  <c r="J37" i="19"/>
  <c r="J38" i="19"/>
  <c r="J39" i="19"/>
  <c r="J40" i="19"/>
  <c r="J41" i="19"/>
  <c r="J42" i="19"/>
  <c r="J43" i="19"/>
  <c r="J44" i="19"/>
  <c r="J45" i="19"/>
  <c r="J46" i="19"/>
  <c r="J47" i="19"/>
  <c r="J48" i="19"/>
  <c r="J49" i="19"/>
  <c r="J50" i="19"/>
  <c r="J51" i="19"/>
  <c r="J52" i="19"/>
  <c r="J53" i="19"/>
  <c r="J54" i="19"/>
  <c r="J55" i="19"/>
  <c r="J56" i="19"/>
  <c r="J57" i="19"/>
  <c r="J58" i="19"/>
  <c r="J59" i="19"/>
  <c r="J60" i="19"/>
  <c r="J61" i="19"/>
  <c r="J62" i="19"/>
  <c r="J63" i="19"/>
  <c r="J64" i="19"/>
  <c r="J65" i="19"/>
  <c r="J66" i="19"/>
  <c r="J67" i="19"/>
  <c r="J68" i="19"/>
  <c r="J69" i="19"/>
  <c r="J70" i="19"/>
  <c r="J71" i="19"/>
  <c r="J72" i="19"/>
  <c r="J73" i="19"/>
  <c r="J74" i="19"/>
  <c r="J75" i="19"/>
  <c r="J76" i="19"/>
  <c r="J77" i="19"/>
  <c r="J78" i="19"/>
  <c r="J79" i="19"/>
  <c r="J80" i="19"/>
  <c r="J81" i="19"/>
  <c r="J82" i="19"/>
  <c r="J83" i="19"/>
  <c r="J84" i="19"/>
  <c r="J85" i="19"/>
  <c r="J86" i="19"/>
  <c r="J87" i="19"/>
  <c r="J88" i="19"/>
  <c r="J89" i="19"/>
  <c r="J90" i="19"/>
  <c r="J91" i="19"/>
  <c r="J92" i="19"/>
  <c r="J93" i="19"/>
  <c r="J94" i="19"/>
  <c r="I23" i="19"/>
  <c r="I24" i="19"/>
  <c r="I25" i="19"/>
  <c r="I26" i="19"/>
  <c r="I27" i="19"/>
  <c r="I28" i="19"/>
  <c r="I29" i="19"/>
  <c r="I30" i="19"/>
  <c r="I31" i="19"/>
  <c r="I32" i="19"/>
  <c r="I33" i="19"/>
  <c r="I34" i="19"/>
  <c r="I35" i="19"/>
  <c r="I36" i="19"/>
  <c r="I37" i="19"/>
  <c r="I38" i="19"/>
  <c r="I39" i="19"/>
  <c r="I40" i="19"/>
  <c r="I41" i="19"/>
  <c r="I42" i="19"/>
  <c r="I43" i="19"/>
  <c r="I44" i="19"/>
  <c r="I45" i="19"/>
  <c r="I46" i="19"/>
  <c r="I47" i="19"/>
  <c r="I48" i="19"/>
  <c r="I49" i="19"/>
  <c r="I50" i="19"/>
  <c r="I51" i="19"/>
  <c r="I52" i="19"/>
  <c r="I53" i="19"/>
  <c r="I54" i="19"/>
  <c r="I55" i="19"/>
  <c r="I56" i="19"/>
  <c r="I57" i="19"/>
  <c r="I58" i="19"/>
  <c r="I59" i="19"/>
  <c r="I60" i="19"/>
  <c r="I61" i="19"/>
  <c r="I62" i="19"/>
  <c r="I63" i="19"/>
  <c r="I64" i="19"/>
  <c r="I65" i="19"/>
  <c r="I66" i="19"/>
  <c r="I67" i="19"/>
  <c r="I68" i="19"/>
  <c r="I69" i="19"/>
  <c r="I70" i="19"/>
  <c r="I71" i="19"/>
  <c r="I72" i="19"/>
  <c r="I73" i="19"/>
  <c r="I74" i="19"/>
  <c r="I75" i="19"/>
  <c r="I76" i="19"/>
  <c r="I77" i="19"/>
  <c r="I78" i="19"/>
  <c r="I79" i="19"/>
  <c r="I80" i="19"/>
  <c r="I81" i="19"/>
  <c r="I82" i="19"/>
  <c r="I83" i="19"/>
  <c r="I84" i="19"/>
  <c r="I85" i="19"/>
  <c r="I86" i="19"/>
  <c r="I87" i="19"/>
  <c r="I88" i="19"/>
  <c r="I89" i="19"/>
  <c r="I90" i="19"/>
  <c r="I91" i="19"/>
  <c r="I92" i="19"/>
  <c r="I93" i="19"/>
  <c r="I94"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H57" i="19"/>
  <c r="H58" i="19"/>
  <c r="H59" i="19"/>
  <c r="H60" i="19"/>
  <c r="H61" i="19"/>
  <c r="H62" i="19"/>
  <c r="H63" i="19"/>
  <c r="H64" i="19"/>
  <c r="H65" i="19"/>
  <c r="H66" i="19"/>
  <c r="H67" i="19"/>
  <c r="H68" i="19"/>
  <c r="H69" i="19"/>
  <c r="H70" i="19"/>
  <c r="H71" i="19"/>
  <c r="H72" i="19"/>
  <c r="H73" i="19"/>
  <c r="H74" i="19"/>
  <c r="H75" i="19"/>
  <c r="H76" i="19"/>
  <c r="H77" i="19"/>
  <c r="H78" i="19"/>
  <c r="H79" i="19"/>
  <c r="H80" i="19"/>
  <c r="H81" i="19"/>
  <c r="H82" i="19"/>
  <c r="H83" i="19"/>
  <c r="H84" i="19"/>
  <c r="H85" i="19"/>
  <c r="H86" i="19"/>
  <c r="H87" i="19"/>
  <c r="H88" i="19"/>
  <c r="H89" i="19"/>
  <c r="H90" i="19"/>
  <c r="H91" i="19"/>
  <c r="H92" i="19"/>
  <c r="H93" i="19"/>
  <c r="H94"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E86" i="19"/>
  <c r="E87" i="19"/>
  <c r="E88" i="19"/>
  <c r="E89" i="19"/>
  <c r="E90" i="19"/>
  <c r="E91" i="19"/>
  <c r="E92" i="19"/>
  <c r="E93" i="19"/>
  <c r="E94" i="19"/>
  <c r="E22" i="19"/>
  <c r="A4" i="27" l="1"/>
  <c r="A5" i="27"/>
  <c r="A6" i="27"/>
  <c r="A7" i="27"/>
  <c r="A8" i="27"/>
  <c r="A3" i="27"/>
  <c r="J22" i="19"/>
  <c r="A22" i="19"/>
  <c r="A23" i="19"/>
  <c r="C23" i="19" s="1"/>
  <c r="A24" i="19"/>
  <c r="C24" i="19" s="1"/>
  <c r="A25" i="19"/>
  <c r="C25" i="19" s="1"/>
  <c r="A26" i="19"/>
  <c r="C26" i="19" s="1"/>
  <c r="A27" i="19"/>
  <c r="C27" i="19" s="1"/>
  <c r="A28" i="19"/>
  <c r="C28" i="19" s="1"/>
  <c r="A29" i="19"/>
  <c r="C29" i="19" s="1"/>
  <c r="A30" i="19"/>
  <c r="C30" i="19" s="1"/>
  <c r="A31" i="19"/>
  <c r="C31" i="19" s="1"/>
  <c r="A32" i="19"/>
  <c r="C32" i="19" s="1"/>
  <c r="A33" i="19"/>
  <c r="C33" i="19" s="1"/>
  <c r="A34" i="19"/>
  <c r="C34" i="19" s="1"/>
  <c r="A35" i="19"/>
  <c r="C35" i="19" s="1"/>
  <c r="A36" i="19"/>
  <c r="C36" i="19" s="1"/>
  <c r="A37" i="19"/>
  <c r="C37" i="19" s="1"/>
  <c r="A38" i="19"/>
  <c r="C38" i="19" s="1"/>
  <c r="A39" i="19"/>
  <c r="C39" i="19" s="1"/>
  <c r="A40" i="19"/>
  <c r="C40" i="19" s="1"/>
  <c r="A41" i="19"/>
  <c r="C41" i="19" s="1"/>
  <c r="A42" i="19"/>
  <c r="C42" i="19" s="1"/>
  <c r="A43" i="19"/>
  <c r="C43" i="19" s="1"/>
  <c r="A44" i="19"/>
  <c r="C44" i="19" s="1"/>
  <c r="A45" i="19"/>
  <c r="C45" i="19" s="1"/>
  <c r="A46" i="19"/>
  <c r="C46" i="19" s="1"/>
  <c r="A47" i="19"/>
  <c r="C47" i="19" s="1"/>
  <c r="A48" i="19"/>
  <c r="C48" i="19" s="1"/>
  <c r="A49" i="19"/>
  <c r="C49" i="19" s="1"/>
  <c r="A50" i="19"/>
  <c r="C50" i="19" s="1"/>
  <c r="A51" i="19"/>
  <c r="C51" i="19" s="1"/>
  <c r="A52" i="19"/>
  <c r="C52" i="19" s="1"/>
  <c r="A53" i="19"/>
  <c r="C53" i="19" s="1"/>
  <c r="A54" i="19"/>
  <c r="C54" i="19" s="1"/>
  <c r="A55" i="19"/>
  <c r="C55" i="19" s="1"/>
  <c r="A56" i="19"/>
  <c r="C56" i="19" s="1"/>
  <c r="A57" i="19"/>
  <c r="C57" i="19" s="1"/>
  <c r="A58" i="19"/>
  <c r="C58" i="19" s="1"/>
  <c r="A59" i="19"/>
  <c r="C59" i="19" s="1"/>
  <c r="A60" i="19"/>
  <c r="C60" i="19" s="1"/>
  <c r="A61" i="19"/>
  <c r="C61" i="19" s="1"/>
  <c r="A62" i="19"/>
  <c r="C62" i="19" s="1"/>
  <c r="A63" i="19"/>
  <c r="C63" i="19" s="1"/>
  <c r="A64" i="19"/>
  <c r="C64" i="19" s="1"/>
  <c r="A65" i="19"/>
  <c r="C65" i="19" s="1"/>
  <c r="A66" i="19"/>
  <c r="C66" i="19" s="1"/>
  <c r="A67" i="19"/>
  <c r="C67" i="19" s="1"/>
  <c r="A68" i="19"/>
  <c r="C68" i="19" s="1"/>
  <c r="A69" i="19"/>
  <c r="C69" i="19" s="1"/>
  <c r="A70" i="19"/>
  <c r="C70" i="19" s="1"/>
  <c r="A71" i="19"/>
  <c r="C71" i="19" s="1"/>
  <c r="A72" i="19"/>
  <c r="C72" i="19" s="1"/>
  <c r="A73" i="19"/>
  <c r="C73" i="19" s="1"/>
  <c r="A74" i="19"/>
  <c r="C74" i="19" s="1"/>
  <c r="A75" i="19"/>
  <c r="C75" i="19" s="1"/>
  <c r="A76" i="19"/>
  <c r="C76" i="19" s="1"/>
  <c r="A77" i="19"/>
  <c r="C77" i="19" s="1"/>
  <c r="A78" i="19"/>
  <c r="C78" i="19" s="1"/>
  <c r="A79" i="19"/>
  <c r="C79" i="19" s="1"/>
  <c r="A80" i="19"/>
  <c r="C80" i="19" s="1"/>
  <c r="A81" i="19"/>
  <c r="C81" i="19" s="1"/>
  <c r="A82" i="19"/>
  <c r="C82" i="19" s="1"/>
  <c r="A83" i="19"/>
  <c r="C83" i="19" s="1"/>
  <c r="A84" i="19"/>
  <c r="C84" i="19" s="1"/>
  <c r="A85" i="19"/>
  <c r="C85" i="19" s="1"/>
  <c r="A86" i="19"/>
  <c r="C86" i="19" s="1"/>
  <c r="A87" i="19"/>
  <c r="C87" i="19" s="1"/>
  <c r="A88" i="19"/>
  <c r="C88" i="19" s="1"/>
  <c r="A89" i="19"/>
  <c r="C89" i="19" s="1"/>
  <c r="A90" i="19"/>
  <c r="C90" i="19" s="1"/>
  <c r="A91" i="19"/>
  <c r="C91" i="19" s="1"/>
  <c r="A92" i="19"/>
  <c r="C92" i="19" s="1"/>
  <c r="A93" i="19"/>
  <c r="C93" i="19" s="1"/>
  <c r="A94" i="19"/>
  <c r="C94" i="19" s="1"/>
  <c r="G22" i="19" l="1"/>
  <c r="F22" i="19" l="1"/>
  <c r="A21" i="19"/>
  <c r="B8" i="11" l="1"/>
  <c r="BD37" i="10"/>
  <c r="M6" i="11" l="1"/>
  <c r="B6" i="11"/>
  <c r="BA50" i="10" l="1"/>
  <c r="BA37" i="10"/>
  <c r="BF51" i="10" s="1"/>
  <c r="B16" i="19"/>
  <c r="BL40" i="10" l="1"/>
  <c r="BK40" i="10"/>
  <c r="BN40" i="10"/>
  <c r="BM40" i="10"/>
  <c r="BJ40" i="10"/>
  <c r="BP40" i="10"/>
  <c r="BO40" i="10"/>
  <c r="BA51" i="10"/>
  <c r="BD51" i="10" s="1"/>
  <c r="BO44" i="10" l="1"/>
  <c r="BO49" i="10"/>
  <c r="BO41" i="10"/>
  <c r="BO42" i="10"/>
  <c r="BO47" i="10"/>
  <c r="BO45" i="10"/>
  <c r="BO43" i="10"/>
  <c r="BO46" i="10"/>
  <c r="BO48" i="10"/>
  <c r="BP45" i="10"/>
  <c r="BP49" i="10"/>
  <c r="BP41" i="10"/>
  <c r="BP42" i="10"/>
  <c r="BP48" i="10"/>
  <c r="BP43" i="10"/>
  <c r="BP46" i="10"/>
  <c r="BP44" i="10"/>
  <c r="BP47" i="10"/>
  <c r="BJ48" i="10"/>
  <c r="BJ47" i="10"/>
  <c r="BJ42" i="10"/>
  <c r="BJ49" i="10"/>
  <c r="BJ41" i="10"/>
  <c r="BJ46" i="10"/>
  <c r="BJ43" i="10"/>
  <c r="BJ44" i="10"/>
  <c r="BJ45" i="10"/>
  <c r="BM42" i="10"/>
  <c r="BM44" i="10"/>
  <c r="BM45" i="10"/>
  <c r="BM46" i="10"/>
  <c r="BM43" i="10"/>
  <c r="BM47" i="10"/>
  <c r="BM48" i="10"/>
  <c r="BM49" i="10"/>
  <c r="BM41" i="10"/>
  <c r="BN42" i="10"/>
  <c r="BN44" i="10"/>
  <c r="BN43" i="10"/>
  <c r="BN46" i="10"/>
  <c r="BN45" i="10"/>
  <c r="BN47" i="10"/>
  <c r="BN48" i="10"/>
  <c r="BN49" i="10"/>
  <c r="BN41" i="10"/>
  <c r="BK45" i="10"/>
  <c r="BK46" i="10"/>
  <c r="BK49" i="10"/>
  <c r="BK47" i="10"/>
  <c r="BK41" i="10"/>
  <c r="BK44" i="10"/>
  <c r="BK48" i="10"/>
  <c r="BK42" i="10"/>
  <c r="BK43" i="10"/>
  <c r="BL46" i="10"/>
  <c r="BL47" i="10"/>
  <c r="BL48" i="10"/>
  <c r="BL42" i="10"/>
  <c r="BL49" i="10"/>
  <c r="BL44" i="10"/>
  <c r="BL43" i="10"/>
  <c r="BL41" i="10"/>
  <c r="BL45" i="10"/>
  <c r="BJ50" i="10" l="1"/>
  <c r="BJ51" i="10" s="1"/>
  <c r="BJ53" i="10" s="1"/>
  <c r="BL50" i="10"/>
  <c r="BN50" i="10"/>
  <c r="BN51" i="10" s="1"/>
  <c r="BN53" i="10" s="1"/>
  <c r="BM50" i="10"/>
  <c r="BP50" i="10"/>
  <c r="BP51" i="10" s="1"/>
  <c r="BP53" i="10" s="1"/>
  <c r="BO50" i="10"/>
  <c r="BO51" i="10" s="1"/>
  <c r="BO53" i="10" s="1"/>
  <c r="BK50" i="10"/>
  <c r="I22" i="19"/>
  <c r="H22" i="19"/>
  <c r="J21" i="19"/>
  <c r="G21" i="19"/>
  <c r="BK52" i="10" l="1"/>
  <c r="BK51" i="10"/>
  <c r="BK53" i="10" s="1"/>
  <c r="BM52" i="10"/>
  <c r="BM51" i="10"/>
  <c r="BM53" i="10" s="1"/>
  <c r="BL52" i="10"/>
  <c r="BL51" i="10"/>
  <c r="BL53" i="10" s="1"/>
  <c r="K6" i="12"/>
  <c r="BA38" i="10" l="1"/>
  <c r="N5" i="12" s="1"/>
  <c r="I14" i="19" l="1"/>
  <c r="BA39" i="10"/>
  <c r="K20" i="19"/>
  <c r="G9" i="27"/>
  <c r="M20" i="12" l="1"/>
  <c r="D17" i="10" s="1"/>
  <c r="J2" i="12" l="1"/>
  <c r="G2" i="12"/>
  <c r="B7" i="11" l="1"/>
  <c r="B5" i="11"/>
  <c r="L6" i="11" l="1"/>
  <c r="J51" i="12"/>
  <c r="J50" i="12"/>
  <c r="D50" i="12"/>
  <c r="J41" i="12"/>
  <c r="J40" i="12"/>
  <c r="D40" i="12"/>
  <c r="J32" i="12"/>
  <c r="J31" i="12"/>
  <c r="D31" i="12"/>
  <c r="G2" i="27" l="1"/>
  <c r="G3" i="27" s="1"/>
  <c r="H3" i="27" l="1"/>
  <c r="J10" i="27" l="1"/>
  <c r="G10" i="27"/>
  <c r="I10" i="27"/>
  <c r="H10" i="27"/>
  <c r="H9" i="27"/>
  <c r="I12" i="2" s="1"/>
  <c r="I3" i="27"/>
  <c r="J3" i="27"/>
  <c r="H2" i="27"/>
  <c r="D12" i="2" s="1"/>
  <c r="J22" i="12" l="1"/>
  <c r="I14" i="2"/>
  <c r="AP143" i="34" l="1"/>
  <c r="AM143" i="34" s="1"/>
  <c r="AP143" i="33"/>
  <c r="AM143" i="33" s="1"/>
  <c r="AP143" i="31"/>
  <c r="AM143" i="31" s="1"/>
  <c r="D20" i="2"/>
  <c r="D14" i="2"/>
  <c r="I16" i="2"/>
  <c r="I20" i="2"/>
  <c r="I18" i="2"/>
  <c r="D16" i="2"/>
  <c r="D18" i="2"/>
  <c r="A5" i="25" l="1"/>
  <c r="E104" i="5"/>
  <c r="E140" i="31"/>
  <c r="A101" i="19"/>
  <c r="E134" i="25"/>
  <c r="A51" i="15"/>
  <c r="N65" i="12" l="1"/>
  <c r="A49" i="15" l="1"/>
  <c r="A24" i="15"/>
  <c r="A92" i="10" l="1"/>
  <c r="B26" i="25"/>
  <c r="B9" i="11"/>
  <c r="A58" i="15" l="1"/>
  <c r="H106" i="19" l="1"/>
  <c r="F62" i="15"/>
  <c r="AP139" i="25"/>
  <c r="B28" i="15"/>
  <c r="B29" i="15"/>
  <c r="B30" i="15"/>
  <c r="B31" i="15"/>
  <c r="B32" i="15"/>
  <c r="B33" i="15"/>
  <c r="B34" i="15"/>
  <c r="B35" i="15"/>
  <c r="B36" i="15"/>
  <c r="B37" i="15"/>
  <c r="B38" i="15"/>
  <c r="B39" i="15"/>
  <c r="B40" i="15"/>
  <c r="B41" i="15"/>
  <c r="B42" i="15"/>
  <c r="B43" i="15"/>
  <c r="B44" i="15"/>
  <c r="B45" i="15"/>
  <c r="B46" i="15"/>
  <c r="B27" i="15"/>
  <c r="B9" i="15"/>
  <c r="B10" i="15"/>
  <c r="B11" i="15"/>
  <c r="B12" i="15"/>
  <c r="B13" i="15"/>
  <c r="B14" i="15"/>
  <c r="B15" i="15"/>
  <c r="B16" i="15"/>
  <c r="B17" i="15"/>
  <c r="B8" i="15"/>
  <c r="J23" i="12" l="1"/>
  <c r="A52" i="15" s="1"/>
  <c r="J21" i="12" l="1"/>
  <c r="N21" i="12"/>
  <c r="D21" i="12"/>
  <c r="F28" i="15"/>
  <c r="F29" i="15"/>
  <c r="A30" i="15"/>
  <c r="E31" i="15"/>
  <c r="G32" i="15"/>
  <c r="A33" i="15"/>
  <c r="H34" i="15"/>
  <c r="E35" i="15"/>
  <c r="F36" i="15"/>
  <c r="H37" i="15"/>
  <c r="A38" i="15"/>
  <c r="E39" i="15"/>
  <c r="G40" i="15"/>
  <c r="F41" i="15"/>
  <c r="D42" i="15"/>
  <c r="E43" i="15"/>
  <c r="F44" i="15"/>
  <c r="D45" i="15"/>
  <c r="E46" i="15"/>
  <c r="A9" i="15"/>
  <c r="H10" i="15"/>
  <c r="F11" i="15"/>
  <c r="G12" i="15"/>
  <c r="A13" i="15"/>
  <c r="F14" i="15"/>
  <c r="A17" i="15"/>
  <c r="C21" i="19"/>
  <c r="B21" i="19"/>
  <c r="B22" i="19" s="1"/>
  <c r="B23" i="19" s="1"/>
  <c r="B24" i="19" s="1"/>
  <c r="B25" i="19" s="1"/>
  <c r="B26" i="19" s="1"/>
  <c r="B27" i="19" s="1"/>
  <c r="B28" i="19" s="1"/>
  <c r="B29" i="19" s="1"/>
  <c r="B30" i="19" s="1"/>
  <c r="B31" i="19" s="1"/>
  <c r="B32" i="19" s="1"/>
  <c r="B33" i="19" s="1"/>
  <c r="B34" i="19" s="1"/>
  <c r="B35" i="19" s="1"/>
  <c r="B36" i="19" s="1"/>
  <c r="B37" i="19" s="1"/>
  <c r="B38" i="19" s="1"/>
  <c r="B39" i="19" s="1"/>
  <c r="B40" i="19" s="1"/>
  <c r="B41" i="19" s="1"/>
  <c r="B42" i="19" s="1"/>
  <c r="B43" i="19" s="1"/>
  <c r="B44" i="19" s="1"/>
  <c r="B45" i="19" s="1"/>
  <c r="B46" i="19" s="1"/>
  <c r="B47" i="19" s="1"/>
  <c r="B48" i="19" s="1"/>
  <c r="B49" i="19" s="1"/>
  <c r="B50" i="19" s="1"/>
  <c r="B51" i="19" s="1"/>
  <c r="B52" i="19" s="1"/>
  <c r="B53" i="19" s="1"/>
  <c r="B54" i="19" s="1"/>
  <c r="B55" i="19" s="1"/>
  <c r="B56" i="19" s="1"/>
  <c r="B57" i="19" s="1"/>
  <c r="B58" i="19" s="1"/>
  <c r="B59" i="19" s="1"/>
  <c r="B60" i="19" s="1"/>
  <c r="B61" i="19" s="1"/>
  <c r="B62" i="19" s="1"/>
  <c r="B63" i="19" s="1"/>
  <c r="B64" i="19" s="1"/>
  <c r="B65" i="19" s="1"/>
  <c r="B66" i="19" s="1"/>
  <c r="B67" i="19" s="1"/>
  <c r="B68" i="19" s="1"/>
  <c r="B69" i="19" s="1"/>
  <c r="B70" i="19" s="1"/>
  <c r="B71" i="19" s="1"/>
  <c r="B72" i="19" s="1"/>
  <c r="B73" i="19" s="1"/>
  <c r="B74" i="19" s="1"/>
  <c r="B75" i="19" s="1"/>
  <c r="B76" i="19" s="1"/>
  <c r="B77" i="19" s="1"/>
  <c r="B78" i="19" s="1"/>
  <c r="B79" i="19" s="1"/>
  <c r="B80" i="19" s="1"/>
  <c r="B81" i="19" s="1"/>
  <c r="B82" i="19" s="1"/>
  <c r="B83" i="19" s="1"/>
  <c r="B84" i="19" s="1"/>
  <c r="B85" i="19" s="1"/>
  <c r="B86" i="19" s="1"/>
  <c r="B87" i="19" s="1"/>
  <c r="B88" i="19" s="1"/>
  <c r="B89" i="19" s="1"/>
  <c r="B90" i="19" s="1"/>
  <c r="B91" i="19" s="1"/>
  <c r="B92" i="19" s="1"/>
  <c r="B93" i="19" s="1"/>
  <c r="B94" i="19" s="1"/>
  <c r="A104" i="10"/>
  <c r="AH44" i="18"/>
  <c r="AH44" i="17"/>
  <c r="AH44" i="6"/>
  <c r="AI85" i="5"/>
  <c r="B35" i="25"/>
  <c r="AM139" i="25"/>
  <c r="K139" i="25"/>
  <c r="G139" i="25" s="1"/>
  <c r="K138" i="25"/>
  <c r="G138" i="25" s="1"/>
  <c r="AP137" i="25"/>
  <c r="AM137" i="25" s="1"/>
  <c r="K136" i="25"/>
  <c r="AP133" i="25"/>
  <c r="AF109" i="25"/>
  <c r="AF104" i="25"/>
  <c r="B109" i="25"/>
  <c r="B86" i="25"/>
  <c r="B98" i="25"/>
  <c r="C64" i="25"/>
  <c r="AH7" i="25"/>
  <c r="B13" i="25"/>
  <c r="D71" i="25"/>
  <c r="A3" i="25"/>
  <c r="D69" i="25"/>
  <c r="A50" i="15"/>
  <c r="I17" i="19"/>
  <c r="A12" i="19"/>
  <c r="A11" i="19"/>
  <c r="F106" i="19"/>
  <c r="C106" i="19"/>
  <c r="B106" i="19" s="1"/>
  <c r="C105" i="19"/>
  <c r="A105" i="19" s="1"/>
  <c r="H104" i="19"/>
  <c r="F104" i="19" s="1"/>
  <c r="C103" i="19"/>
  <c r="A103" i="19" s="1"/>
  <c r="H99" i="19"/>
  <c r="A99" i="19"/>
  <c r="B13" i="19"/>
  <c r="B17" i="19"/>
  <c r="F9" i="19"/>
  <c r="B9" i="19"/>
  <c r="A7" i="19"/>
  <c r="AQ106" i="5"/>
  <c r="AN106" i="5" s="1"/>
  <c r="AR63" i="18"/>
  <c r="AM63" i="18" s="1"/>
  <c r="AR60" i="18"/>
  <c r="AM60" i="18" s="1"/>
  <c r="AT55" i="18"/>
  <c r="AT55" i="17"/>
  <c r="AR63" i="17"/>
  <c r="AM63" i="17" s="1"/>
  <c r="AR60" i="17"/>
  <c r="AM60" i="17" s="1"/>
  <c r="T90" i="10"/>
  <c r="AK96" i="10" s="1"/>
  <c r="T75" i="10"/>
  <c r="AF82" i="10" s="1"/>
  <c r="E64" i="18"/>
  <c r="A64" i="18" s="1"/>
  <c r="V63" i="18"/>
  <c r="Q63" i="18" s="1"/>
  <c r="E63" i="18"/>
  <c r="A63" i="18" s="1"/>
  <c r="V60" i="18"/>
  <c r="Q60" i="18" s="1"/>
  <c r="E60" i="18"/>
  <c r="A59" i="18"/>
  <c r="X55" i="18"/>
  <c r="C45" i="18"/>
  <c r="C18" i="18"/>
  <c r="AH15" i="18"/>
  <c r="A3" i="18"/>
  <c r="E64" i="17"/>
  <c r="A64" i="17" s="1"/>
  <c r="V63" i="17"/>
  <c r="Q63" i="17" s="1"/>
  <c r="E63" i="17"/>
  <c r="A63" i="17" s="1"/>
  <c r="V60" i="17"/>
  <c r="Q60" i="17" s="1"/>
  <c r="E60" i="17"/>
  <c r="A59" i="17"/>
  <c r="X55" i="17"/>
  <c r="C45" i="17"/>
  <c r="C18" i="17"/>
  <c r="AH15" i="17"/>
  <c r="A3" i="17"/>
  <c r="Q72" i="12"/>
  <c r="Q73" i="12"/>
  <c r="Q74" i="12"/>
  <c r="Q75" i="12"/>
  <c r="Q76" i="12"/>
  <c r="Q77" i="12"/>
  <c r="Q78" i="12"/>
  <c r="Q79" i="12"/>
  <c r="Q80" i="12"/>
  <c r="Q81" i="12"/>
  <c r="Q82" i="12"/>
  <c r="Q83" i="12"/>
  <c r="Q84" i="12"/>
  <c r="Q85" i="12"/>
  <c r="Q86" i="12"/>
  <c r="Q87" i="12"/>
  <c r="Q88" i="12"/>
  <c r="Q89" i="12"/>
  <c r="Q90" i="12"/>
  <c r="Q71" i="12"/>
  <c r="Q64" i="12"/>
  <c r="Q56" i="12"/>
  <c r="Q57" i="12"/>
  <c r="Q58" i="12"/>
  <c r="Q59" i="12"/>
  <c r="Q60" i="12"/>
  <c r="Q61" i="12"/>
  <c r="Q62" i="12"/>
  <c r="Q63" i="12"/>
  <c r="Q55" i="12"/>
  <c r="D9" i="15"/>
  <c r="D10" i="15"/>
  <c r="D11" i="15"/>
  <c r="D12" i="15"/>
  <c r="D13" i="15"/>
  <c r="D14" i="15"/>
  <c r="D15" i="15"/>
  <c r="D16" i="15"/>
  <c r="D17" i="15"/>
  <c r="D8" i="15"/>
  <c r="G8" i="15"/>
  <c r="AH15" i="6"/>
  <c r="C18" i="6"/>
  <c r="B61" i="15"/>
  <c r="A61" i="15" s="1"/>
  <c r="B62" i="15"/>
  <c r="A62" i="15" s="1"/>
  <c r="C92" i="5"/>
  <c r="AI41" i="5"/>
  <c r="A23" i="15"/>
  <c r="A22" i="15"/>
  <c r="A21" i="15"/>
  <c r="A20" i="15"/>
  <c r="G27" i="15"/>
  <c r="D62" i="15"/>
  <c r="B60" i="15"/>
  <c r="A60" i="15" s="1"/>
  <c r="F59" i="15"/>
  <c r="D59" i="15" s="1"/>
  <c r="F55" i="15"/>
  <c r="A77" i="10"/>
  <c r="A89" i="10" s="1"/>
  <c r="B38" i="5"/>
  <c r="AJ26" i="5"/>
  <c r="AQ108" i="5"/>
  <c r="AM108" i="5" s="1"/>
  <c r="K108" i="5"/>
  <c r="G108" i="5" s="1"/>
  <c r="K107" i="5"/>
  <c r="G107" i="5" s="1"/>
  <c r="K105" i="5"/>
  <c r="AQ103" i="5"/>
  <c r="A32" i="10"/>
  <c r="A38" i="10"/>
  <c r="B50" i="10" s="1"/>
  <c r="C39" i="10" s="1"/>
  <c r="F38" i="10"/>
  <c r="F50" i="10" s="1"/>
  <c r="A60" i="10"/>
  <c r="R68" i="10" s="1"/>
  <c r="T60" i="10"/>
  <c r="V61" i="10" s="1"/>
  <c r="E36" i="11"/>
  <c r="L36" i="11" s="1"/>
  <c r="A3" i="6"/>
  <c r="C45" i="6"/>
  <c r="X55" i="6"/>
  <c r="AT55" i="6"/>
  <c r="A59" i="6"/>
  <c r="E60" i="6"/>
  <c r="V60" i="6"/>
  <c r="Q60" i="6" s="1"/>
  <c r="AR60" i="6"/>
  <c r="AM60" i="6" s="1"/>
  <c r="E63" i="6"/>
  <c r="A63" i="6" s="1"/>
  <c r="V63" i="6"/>
  <c r="Q63" i="6" s="1"/>
  <c r="AR63" i="6"/>
  <c r="AM63" i="6" s="1"/>
  <c r="E64" i="6"/>
  <c r="A64" i="6" s="1"/>
  <c r="AI17" i="5"/>
  <c r="A3" i="5"/>
  <c r="C75" i="5"/>
  <c r="C82" i="5"/>
  <c r="C63" i="5"/>
  <c r="AI93" i="5"/>
  <c r="R17" i="10"/>
  <c r="W33" i="10" s="1"/>
  <c r="A17" i="10"/>
  <c r="F33" i="10" s="1"/>
  <c r="A58" i="6"/>
  <c r="A58" i="18"/>
  <c r="A58" i="17"/>
  <c r="G28" i="15"/>
  <c r="A39" i="15"/>
  <c r="F45" i="15"/>
  <c r="F35" i="15"/>
  <c r="G9" i="15"/>
  <c r="D40" i="15"/>
  <c r="G31" i="15"/>
  <c r="H17" i="15"/>
  <c r="G39" i="15"/>
  <c r="H35" i="15"/>
  <c r="D35" i="15"/>
  <c r="D32" i="15"/>
  <c r="E36" i="15"/>
  <c r="G35" i="15"/>
  <c r="F32" i="15"/>
  <c r="F9" i="15"/>
  <c r="A35" i="15"/>
  <c r="A43" i="15"/>
  <c r="D28" i="15"/>
  <c r="E32" i="15"/>
  <c r="A14" i="15"/>
  <c r="D36" i="15"/>
  <c r="E40" i="15"/>
  <c r="E17" i="15"/>
  <c r="F17" i="15"/>
  <c r="E9" i="15"/>
  <c r="A27" i="15"/>
  <c r="D27" i="15"/>
  <c r="A11" i="15"/>
  <c r="G11" i="15"/>
  <c r="H29" i="15"/>
  <c r="G34" i="15"/>
  <c r="E38" i="15"/>
  <c r="G38" i="15"/>
  <c r="H38" i="15"/>
  <c r="E27" i="15"/>
  <c r="H16" i="15"/>
  <c r="E16" i="15"/>
  <c r="G46" i="15"/>
  <c r="H42" i="15"/>
  <c r="G42" i="15"/>
  <c r="D34" i="15"/>
  <c r="E34" i="15"/>
  <c r="E30" i="15"/>
  <c r="H30" i="15"/>
  <c r="G30" i="15"/>
  <c r="G17" i="15"/>
  <c r="E41" i="15"/>
  <c r="E14" i="15"/>
  <c r="G14" i="15"/>
  <c r="H14" i="15"/>
  <c r="A10" i="15"/>
  <c r="A44" i="15"/>
  <c r="H40" i="15"/>
  <c r="A40" i="15"/>
  <c r="H36" i="15"/>
  <c r="A36" i="15"/>
  <c r="H32" i="15"/>
  <c r="A32" i="15"/>
  <c r="H28" i="15"/>
  <c r="A28" i="15"/>
  <c r="A16" i="15"/>
  <c r="G16" i="15"/>
  <c r="F16" i="15"/>
  <c r="A12" i="15"/>
  <c r="F12" i="15"/>
  <c r="H12" i="15"/>
  <c r="F46" i="15"/>
  <c r="D46" i="15"/>
  <c r="F42" i="15"/>
  <c r="A42" i="15"/>
  <c r="E42" i="15"/>
  <c r="F38" i="15"/>
  <c r="D38" i="15"/>
  <c r="F34" i="15"/>
  <c r="A34" i="15"/>
  <c r="D30" i="15"/>
  <c r="F30" i="15"/>
  <c r="G41" i="15"/>
  <c r="U54" i="10" l="1"/>
  <c r="AJ57" i="10" s="1"/>
  <c r="AR38" i="10"/>
  <c r="AR50" i="10" s="1"/>
  <c r="AX38" i="10" s="1"/>
  <c r="F6" i="12"/>
  <c r="T2" i="10" s="1"/>
  <c r="AK14" i="10" s="1"/>
  <c r="F4" i="12"/>
  <c r="C22" i="19"/>
  <c r="AF97" i="10"/>
  <c r="Z92" i="10"/>
  <c r="AF92" i="10" s="1"/>
  <c r="AA97" i="10" s="1"/>
  <c r="AF100" i="10"/>
  <c r="AF96" i="10"/>
  <c r="AF101" i="10"/>
  <c r="AK101" i="10"/>
  <c r="AK97" i="10"/>
  <c r="AK100" i="10"/>
  <c r="AK94" i="10"/>
  <c r="AF95" i="10"/>
  <c r="AF94" i="10"/>
  <c r="AF98" i="10"/>
  <c r="AK103" i="10"/>
  <c r="T91" i="10"/>
  <c r="AK98" i="10"/>
  <c r="AF99" i="10"/>
  <c r="AF71" i="10"/>
  <c r="I13" i="15"/>
  <c r="I45" i="15"/>
  <c r="I37" i="15"/>
  <c r="I29" i="15"/>
  <c r="I12" i="15"/>
  <c r="I44" i="15"/>
  <c r="I36" i="15"/>
  <c r="I28" i="15"/>
  <c r="I11" i="15"/>
  <c r="I43" i="15"/>
  <c r="I35" i="15"/>
  <c r="AF64" i="10"/>
  <c r="I10" i="15"/>
  <c r="I42" i="15"/>
  <c r="I34" i="15"/>
  <c r="I9" i="15"/>
  <c r="I41" i="15"/>
  <c r="I33" i="15"/>
  <c r="I16" i="15"/>
  <c r="I17" i="15"/>
  <c r="I40" i="15"/>
  <c r="I32" i="15"/>
  <c r="I15" i="15"/>
  <c r="I39" i="15"/>
  <c r="I31" i="15"/>
  <c r="I14" i="15"/>
  <c r="I46" i="15"/>
  <c r="I38" i="15"/>
  <c r="I30" i="15"/>
  <c r="R65" i="12"/>
  <c r="I27" i="15"/>
  <c r="N155" i="12"/>
  <c r="M72" i="10"/>
  <c r="I8" i="15"/>
  <c r="M66" i="10"/>
  <c r="A61" i="10"/>
  <c r="M71" i="10"/>
  <c r="R70" i="10"/>
  <c r="R72" i="10"/>
  <c r="R69" i="10"/>
  <c r="M64" i="10"/>
  <c r="R65" i="10"/>
  <c r="R64" i="10"/>
  <c r="M69" i="10"/>
  <c r="C61" i="10"/>
  <c r="R67" i="10"/>
  <c r="R71" i="10"/>
  <c r="M67" i="10"/>
  <c r="R73" i="10"/>
  <c r="R66" i="10"/>
  <c r="M70" i="10"/>
  <c r="M65" i="10"/>
  <c r="G62" i="10"/>
  <c r="M62" i="10" s="1"/>
  <c r="H65" i="10" s="1"/>
  <c r="M73" i="10"/>
  <c r="E39" i="11"/>
  <c r="L39" i="11" s="1"/>
  <c r="E10" i="11"/>
  <c r="E47" i="11"/>
  <c r="L47" i="11" s="1"/>
  <c r="E26" i="11"/>
  <c r="L26" i="11" s="1"/>
  <c r="E28" i="11"/>
  <c r="L28" i="11" s="1"/>
  <c r="E41" i="11"/>
  <c r="L41" i="11" s="1"/>
  <c r="E24" i="11"/>
  <c r="L24" i="11" s="1"/>
  <c r="E37" i="11"/>
  <c r="L37" i="11" s="1"/>
  <c r="E64" i="11"/>
  <c r="L64" i="11" s="1"/>
  <c r="E58" i="11"/>
  <c r="L58" i="11" s="1"/>
  <c r="E20" i="11"/>
  <c r="L20" i="11" s="1"/>
  <c r="E42" i="11"/>
  <c r="L42" i="11" s="1"/>
  <c r="E59" i="11"/>
  <c r="L59" i="11" s="1"/>
  <c r="E44" i="11"/>
  <c r="L44" i="11" s="1"/>
  <c r="E43" i="11"/>
  <c r="L43" i="11" s="1"/>
  <c r="F40" i="15"/>
  <c r="E28" i="15"/>
  <c r="D43" i="15"/>
  <c r="F43" i="15"/>
  <c r="E8" i="15"/>
  <c r="E10" i="15"/>
  <c r="E13" i="15"/>
  <c r="G13" i="15"/>
  <c r="G10" i="15"/>
  <c r="H13" i="15"/>
  <c r="F10" i="15"/>
  <c r="E65" i="11"/>
  <c r="L65" i="11" s="1"/>
  <c r="AK102" i="10"/>
  <c r="AK99" i="10"/>
  <c r="AK95" i="10"/>
  <c r="E18" i="11"/>
  <c r="L18" i="11" s="1"/>
  <c r="E34" i="11"/>
  <c r="L34" i="11" s="1"/>
  <c r="AF103" i="10"/>
  <c r="F27" i="15"/>
  <c r="E7" i="11"/>
  <c r="E21" i="11"/>
  <c r="L21" i="11" s="1"/>
  <c r="V91" i="10"/>
  <c r="E22" i="11"/>
  <c r="L22" i="11" s="1"/>
  <c r="AF102" i="10"/>
  <c r="E57" i="11"/>
  <c r="L57" i="11" s="1"/>
  <c r="E35" i="11"/>
  <c r="L35" i="11" s="1"/>
  <c r="H9" i="15"/>
  <c r="A46" i="15"/>
  <c r="H43" i="15"/>
  <c r="D39" i="15"/>
  <c r="H39" i="15"/>
  <c r="G36" i="15"/>
  <c r="G43" i="15"/>
  <c r="H46" i="15"/>
  <c r="F39" i="15"/>
  <c r="E56" i="11"/>
  <c r="L56" i="11" s="1"/>
  <c r="E62" i="11"/>
  <c r="L62" i="11" s="1"/>
  <c r="E33" i="11"/>
  <c r="L33" i="11" s="1"/>
  <c r="E63" i="11"/>
  <c r="L63" i="11" s="1"/>
  <c r="F8" i="15"/>
  <c r="A39" i="10"/>
  <c r="A40" i="10" s="1"/>
  <c r="C40" i="10"/>
  <c r="C43" i="10" s="1"/>
  <c r="F13" i="15"/>
  <c r="M68" i="10"/>
  <c r="A8" i="15"/>
  <c r="L22" i="10"/>
  <c r="L29" i="10" s="1"/>
  <c r="N22" i="10"/>
  <c r="N28" i="10" s="1"/>
  <c r="V38" i="10"/>
  <c r="U38" i="10"/>
  <c r="H44" i="15"/>
  <c r="H27" i="15"/>
  <c r="AK69" i="10"/>
  <c r="AF72" i="10"/>
  <c r="AF66" i="10"/>
  <c r="D37" i="15"/>
  <c r="H8" i="15"/>
  <c r="E38" i="11"/>
  <c r="L38" i="11" s="1"/>
  <c r="E49" i="11"/>
  <c r="L49" i="11" s="1"/>
  <c r="AK73" i="10"/>
  <c r="AK66" i="10"/>
  <c r="F37" i="15"/>
  <c r="D44" i="15"/>
  <c r="E15" i="11"/>
  <c r="E17" i="11"/>
  <c r="L17" i="11" s="1"/>
  <c r="AF69" i="10"/>
  <c r="T61" i="10"/>
  <c r="AK68" i="10"/>
  <c r="AK72" i="10"/>
  <c r="F31" i="15"/>
  <c r="AF65" i="10"/>
  <c r="AF70" i="10"/>
  <c r="AF67" i="10"/>
  <c r="E12" i="15"/>
  <c r="AK70" i="10"/>
  <c r="AF79" i="10"/>
  <c r="D31" i="15"/>
  <c r="AF68" i="10"/>
  <c r="G44" i="15"/>
  <c r="AK65" i="10"/>
  <c r="AK71" i="10"/>
  <c r="Z62" i="10"/>
  <c r="AF62" i="10" s="1"/>
  <c r="AA65" i="10" s="1"/>
  <c r="A31" i="15"/>
  <c r="E44" i="15"/>
  <c r="AK67" i="10"/>
  <c r="AF73" i="10"/>
  <c r="AK64" i="10"/>
  <c r="H31" i="15"/>
  <c r="AF81" i="10"/>
  <c r="J22" i="10"/>
  <c r="P22" i="10"/>
  <c r="A33" i="10"/>
  <c r="D33" i="10" s="1"/>
  <c r="M22" i="10"/>
  <c r="O22" i="10"/>
  <c r="K22" i="10"/>
  <c r="H11" i="15"/>
  <c r="E11" i="15"/>
  <c r="AF85" i="10"/>
  <c r="AF83" i="10"/>
  <c r="AF86" i="10"/>
  <c r="Z77" i="10"/>
  <c r="AF77" i="10" s="1"/>
  <c r="AK87" i="10"/>
  <c r="AK80" i="10"/>
  <c r="AK81" i="10"/>
  <c r="AK85" i="10"/>
  <c r="AK82" i="10"/>
  <c r="AK88" i="10"/>
  <c r="AK86" i="10"/>
  <c r="AK83" i="10"/>
  <c r="AF80" i="10"/>
  <c r="AK79" i="10"/>
  <c r="AF88" i="10"/>
  <c r="AK84" i="10"/>
  <c r="AF84" i="10"/>
  <c r="T76" i="10"/>
  <c r="V76" i="10"/>
  <c r="H92" i="10"/>
  <c r="G92" i="10"/>
  <c r="I5" i="11"/>
  <c r="K5" i="11" s="1"/>
  <c r="G6" i="11"/>
  <c r="H6" i="11"/>
  <c r="F6" i="11" s="1"/>
  <c r="F15" i="15"/>
  <c r="A15" i="15"/>
  <c r="G15" i="15"/>
  <c r="H15" i="15"/>
  <c r="E15" i="15"/>
  <c r="AF87" i="10"/>
  <c r="F33" i="15"/>
  <c r="H45" i="15"/>
  <c r="D29" i="15"/>
  <c r="G33" i="15"/>
  <c r="E33" i="15"/>
  <c r="G45" i="15"/>
  <c r="A45" i="15"/>
  <c r="D41" i="15"/>
  <c r="E37" i="15"/>
  <c r="H33" i="15"/>
  <c r="A29" i="15"/>
  <c r="E29" i="15"/>
  <c r="G37" i="15"/>
  <c r="A37" i="15"/>
  <c r="G29" i="15"/>
  <c r="H41" i="15"/>
  <c r="D33" i="15"/>
  <c r="A41" i="15"/>
  <c r="E45" i="15"/>
  <c r="H36" i="11"/>
  <c r="M38" i="10"/>
  <c r="L38" i="10"/>
  <c r="G77" i="10"/>
  <c r="H77" i="10"/>
  <c r="E25" i="11"/>
  <c r="L25" i="11" s="1"/>
  <c r="E32" i="11"/>
  <c r="L32" i="11" s="1"/>
  <c r="E30" i="11"/>
  <c r="L30" i="11" s="1"/>
  <c r="E19" i="11"/>
  <c r="L19" i="11" s="1"/>
  <c r="E50" i="11"/>
  <c r="L50" i="11" s="1"/>
  <c r="E12" i="11"/>
  <c r="L12" i="11" s="1"/>
  <c r="E8" i="11"/>
  <c r="L8" i="11" s="1"/>
  <c r="E45" i="11"/>
  <c r="L45" i="11" s="1"/>
  <c r="E52" i="11"/>
  <c r="L52" i="11" s="1"/>
  <c r="E29" i="11"/>
  <c r="L29" i="11" s="1"/>
  <c r="E61" i="11"/>
  <c r="L61" i="11" s="1"/>
  <c r="E54" i="11"/>
  <c r="L54" i="11" s="1"/>
  <c r="E51" i="11"/>
  <c r="L51" i="11" s="1"/>
  <c r="E27" i="11"/>
  <c r="L27" i="11" s="1"/>
  <c r="E14" i="11"/>
  <c r="L14" i="11" s="1"/>
  <c r="E11" i="11"/>
  <c r="L11" i="11" s="1"/>
  <c r="E60" i="11"/>
  <c r="L60" i="11" s="1"/>
  <c r="E40" i="11"/>
  <c r="L40" i="11" s="1"/>
  <c r="E46" i="11"/>
  <c r="L46" i="11" s="1"/>
  <c r="E13" i="11"/>
  <c r="L13" i="11" s="1"/>
  <c r="E23" i="11"/>
  <c r="L23" i="11" s="1"/>
  <c r="E31" i="11"/>
  <c r="L31" i="11" s="1"/>
  <c r="E53" i="11"/>
  <c r="L53" i="11" s="1"/>
  <c r="E9" i="11"/>
  <c r="L9" i="11" s="1"/>
  <c r="E48" i="11"/>
  <c r="L48" i="11" s="1"/>
  <c r="E55" i="11"/>
  <c r="L55" i="11" s="1"/>
  <c r="E16" i="11"/>
  <c r="L16" i="11" s="1"/>
  <c r="AQ57" i="10"/>
  <c r="W57" i="10"/>
  <c r="H7" i="11" l="1"/>
  <c r="L7" i="11"/>
  <c r="H15" i="11"/>
  <c r="L15" i="11"/>
  <c r="H10" i="11"/>
  <c r="L10" i="11"/>
  <c r="AY38" i="10"/>
  <c r="AY41" i="10" s="1"/>
  <c r="AF9" i="10"/>
  <c r="AK13" i="10"/>
  <c r="AF10" i="10"/>
  <c r="AK15" i="10"/>
  <c r="AF14" i="10"/>
  <c r="AF13" i="10"/>
  <c r="AF12" i="10"/>
  <c r="AK11" i="10"/>
  <c r="AF8" i="10"/>
  <c r="Z4" i="10"/>
  <c r="AF4" i="10" s="1"/>
  <c r="AA11" i="10" s="1"/>
  <c r="AK7" i="10"/>
  <c r="V3" i="10"/>
  <c r="AK9" i="10"/>
  <c r="T3" i="10"/>
  <c r="AK8" i="10"/>
  <c r="AK12" i="10"/>
  <c r="AF7" i="10"/>
  <c r="AF15" i="10"/>
  <c r="AF6" i="10"/>
  <c r="AK10" i="10"/>
  <c r="AF11" i="10"/>
  <c r="AK6" i="10"/>
  <c r="R8" i="26"/>
  <c r="J7" i="19"/>
  <c r="A2" i="10"/>
  <c r="AA96" i="10"/>
  <c r="AA95" i="10"/>
  <c r="AA100" i="10"/>
  <c r="AA99" i="10"/>
  <c r="AA103" i="10"/>
  <c r="AA101" i="10"/>
  <c r="AA102" i="10"/>
  <c r="AA98" i="10"/>
  <c r="AB94" i="10"/>
  <c r="AA94" i="10" s="1"/>
  <c r="H21" i="11"/>
  <c r="H26" i="11"/>
  <c r="H20" i="11"/>
  <c r="H39" i="11"/>
  <c r="H17" i="11"/>
  <c r="H18" i="11"/>
  <c r="H28" i="11"/>
  <c r="H24" i="11"/>
  <c r="H22" i="11"/>
  <c r="H65" i="11"/>
  <c r="H72" i="10"/>
  <c r="H68" i="10"/>
  <c r="I64" i="10"/>
  <c r="H64" i="10" s="1"/>
  <c r="N29" i="10"/>
  <c r="H67" i="10"/>
  <c r="N24" i="10"/>
  <c r="N26" i="10"/>
  <c r="H71" i="10"/>
  <c r="H64" i="11"/>
  <c r="H73" i="10"/>
  <c r="H70" i="10"/>
  <c r="H69" i="10"/>
  <c r="N31" i="10"/>
  <c r="H66" i="10"/>
  <c r="C49" i="10"/>
  <c r="G7" i="11"/>
  <c r="I7" i="11" s="1"/>
  <c r="H47" i="11"/>
  <c r="H41" i="11"/>
  <c r="H43" i="11"/>
  <c r="H44" i="11"/>
  <c r="H37" i="11"/>
  <c r="H59" i="11"/>
  <c r="H58" i="11"/>
  <c r="H42" i="11"/>
  <c r="M157" i="12"/>
  <c r="H34" i="11"/>
  <c r="N25" i="10"/>
  <c r="C42" i="10"/>
  <c r="N23" i="10"/>
  <c r="H35" i="11"/>
  <c r="C41" i="10"/>
  <c r="H57" i="11"/>
  <c r="N27" i="10"/>
  <c r="C48" i="10"/>
  <c r="C47" i="10"/>
  <c r="H63" i="11"/>
  <c r="H33" i="11"/>
  <c r="H62" i="11"/>
  <c r="H56" i="11"/>
  <c r="C44" i="10"/>
  <c r="AA72" i="10"/>
  <c r="N30" i="10"/>
  <c r="L26" i="10"/>
  <c r="AA70" i="10"/>
  <c r="C45" i="10"/>
  <c r="C46" i="10"/>
  <c r="AA73" i="10"/>
  <c r="AA66" i="10"/>
  <c r="H18" i="15"/>
  <c r="L31" i="10"/>
  <c r="L27" i="10"/>
  <c r="L23" i="10"/>
  <c r="AA68" i="10"/>
  <c r="L25" i="10"/>
  <c r="I6" i="11"/>
  <c r="K6" i="11" s="1"/>
  <c r="L30" i="10"/>
  <c r="H47" i="15"/>
  <c r="AB64" i="10"/>
  <c r="AA64" i="10" s="1"/>
  <c r="H49" i="11"/>
  <c r="U41" i="10"/>
  <c r="U46" i="10"/>
  <c r="U43" i="10"/>
  <c r="U44" i="10"/>
  <c r="U45" i="10"/>
  <c r="U42" i="10"/>
  <c r="U48" i="10"/>
  <c r="U47" i="10"/>
  <c r="U49" i="10"/>
  <c r="AB79" i="10"/>
  <c r="AA79" i="10" s="1"/>
  <c r="AA67" i="10"/>
  <c r="AA71" i="10"/>
  <c r="AA69" i="10"/>
  <c r="H38" i="11"/>
  <c r="V48" i="10"/>
  <c r="V44" i="10"/>
  <c r="V49" i="10"/>
  <c r="V45" i="10"/>
  <c r="V43" i="10"/>
  <c r="V41" i="10"/>
  <c r="V47" i="10"/>
  <c r="V46" i="10"/>
  <c r="V42" i="10"/>
  <c r="L24" i="10"/>
  <c r="L28" i="10"/>
  <c r="G95" i="10"/>
  <c r="G101" i="10"/>
  <c r="G97" i="10"/>
  <c r="G96" i="10"/>
  <c r="G99" i="10"/>
  <c r="G102" i="10"/>
  <c r="G100" i="10"/>
  <c r="G103" i="10"/>
  <c r="G98" i="10"/>
  <c r="P30" i="10"/>
  <c r="P27" i="10"/>
  <c r="P24" i="10"/>
  <c r="P25" i="10"/>
  <c r="P31" i="10"/>
  <c r="P23" i="10"/>
  <c r="P26" i="10"/>
  <c r="P28" i="10"/>
  <c r="P29" i="10"/>
  <c r="H99" i="10"/>
  <c r="H95" i="10"/>
  <c r="H102" i="10"/>
  <c r="H98" i="10"/>
  <c r="H96" i="10"/>
  <c r="H101" i="10"/>
  <c r="H103" i="10"/>
  <c r="H100" i="10"/>
  <c r="H97" i="10"/>
  <c r="J30" i="10"/>
  <c r="J28" i="10"/>
  <c r="J24" i="10"/>
  <c r="J29" i="10"/>
  <c r="J27" i="10"/>
  <c r="J26" i="10"/>
  <c r="J31" i="10"/>
  <c r="J25" i="10"/>
  <c r="J23" i="10"/>
  <c r="AA81" i="10"/>
  <c r="AA88" i="10"/>
  <c r="AA84" i="10"/>
  <c r="AA86" i="10"/>
  <c r="AA83" i="10"/>
  <c r="AA82" i="10"/>
  <c r="AA85" i="10"/>
  <c r="AA80" i="10"/>
  <c r="AA87" i="10"/>
  <c r="K25" i="10"/>
  <c r="K24" i="10"/>
  <c r="K27" i="10"/>
  <c r="K31" i="10"/>
  <c r="K28" i="10"/>
  <c r="K23" i="10"/>
  <c r="K26" i="10"/>
  <c r="K30" i="10"/>
  <c r="K29" i="10"/>
  <c r="F7" i="11"/>
  <c r="G8" i="11" s="1"/>
  <c r="O24" i="10"/>
  <c r="O28" i="10"/>
  <c r="O23" i="10"/>
  <c r="O31" i="10"/>
  <c r="O26" i="10"/>
  <c r="O29" i="10"/>
  <c r="O30" i="10"/>
  <c r="O27" i="10"/>
  <c r="O25" i="10"/>
  <c r="M29" i="10"/>
  <c r="M25" i="10"/>
  <c r="M27" i="10"/>
  <c r="M30" i="10"/>
  <c r="M23" i="10"/>
  <c r="M24" i="10"/>
  <c r="M28" i="10"/>
  <c r="M31" i="10"/>
  <c r="M26" i="10"/>
  <c r="H55" i="11"/>
  <c r="H48" i="11"/>
  <c r="H40" i="11"/>
  <c r="H29" i="11"/>
  <c r="H32" i="11"/>
  <c r="H9" i="11"/>
  <c r="H60" i="11"/>
  <c r="H52" i="11"/>
  <c r="H25" i="11"/>
  <c r="H53" i="11"/>
  <c r="H11" i="11"/>
  <c r="H45" i="11"/>
  <c r="H31" i="11"/>
  <c r="H14" i="11"/>
  <c r="H8" i="11"/>
  <c r="H80" i="10"/>
  <c r="H85" i="10"/>
  <c r="H81" i="10"/>
  <c r="H84" i="10"/>
  <c r="H87" i="10"/>
  <c r="H83" i="10"/>
  <c r="H82" i="10"/>
  <c r="H88" i="10"/>
  <c r="H86" i="10"/>
  <c r="H27" i="11"/>
  <c r="H12" i="11"/>
  <c r="G88" i="10"/>
  <c r="G80" i="10"/>
  <c r="G87" i="10"/>
  <c r="G84" i="10"/>
  <c r="G82" i="10"/>
  <c r="G81" i="10"/>
  <c r="G83" i="10"/>
  <c r="G86" i="10"/>
  <c r="G85" i="10"/>
  <c r="H23" i="11"/>
  <c r="H51" i="11"/>
  <c r="H50" i="11"/>
  <c r="L48" i="10"/>
  <c r="L42" i="10"/>
  <c r="L45" i="10"/>
  <c r="L49" i="10"/>
  <c r="L43" i="10"/>
  <c r="L41" i="10"/>
  <c r="L46" i="10"/>
  <c r="L47" i="10"/>
  <c r="L44" i="10"/>
  <c r="H16" i="11"/>
  <c r="H13" i="11"/>
  <c r="H54" i="11"/>
  <c r="H19" i="11"/>
  <c r="H46" i="11"/>
  <c r="H61" i="11"/>
  <c r="H30" i="11"/>
  <c r="M42" i="10"/>
  <c r="M44" i="10"/>
  <c r="M46" i="10"/>
  <c r="M43" i="10"/>
  <c r="M41" i="10"/>
  <c r="M47" i="10"/>
  <c r="M48" i="10"/>
  <c r="M49" i="10"/>
  <c r="M45" i="10"/>
  <c r="AX46" i="10"/>
  <c r="AX49" i="10"/>
  <c r="AX43" i="10"/>
  <c r="AX44" i="10"/>
  <c r="AX48" i="10"/>
  <c r="AX41" i="10"/>
  <c r="AX47" i="10"/>
  <c r="AX42" i="10"/>
  <c r="AX45" i="10"/>
  <c r="J2" i="11" l="1"/>
  <c r="Q157" i="12"/>
  <c r="AY47" i="10"/>
  <c r="AY45" i="10"/>
  <c r="AY49" i="10"/>
  <c r="AY46" i="10"/>
  <c r="AY43" i="10"/>
  <c r="AY44" i="10"/>
  <c r="AY42" i="10"/>
  <c r="AY48" i="10"/>
  <c r="AA13" i="10"/>
  <c r="AA9" i="10"/>
  <c r="AB6" i="10"/>
  <c r="AA6" i="10" s="1"/>
  <c r="AA8" i="10"/>
  <c r="AA15" i="10"/>
  <c r="AA7" i="10"/>
  <c r="AA14" i="10"/>
  <c r="AA12" i="10"/>
  <c r="AA10" i="10"/>
  <c r="R13" i="10"/>
  <c r="R10" i="10"/>
  <c r="R15" i="10"/>
  <c r="M7" i="10"/>
  <c r="M6" i="10"/>
  <c r="R6" i="10"/>
  <c r="R9" i="10"/>
  <c r="R8" i="10"/>
  <c r="R11" i="10"/>
  <c r="M12" i="10"/>
  <c r="M9" i="10"/>
  <c r="A3" i="10"/>
  <c r="R7" i="10"/>
  <c r="M14" i="10"/>
  <c r="R12" i="10"/>
  <c r="C3" i="10"/>
  <c r="M10" i="10"/>
  <c r="G4" i="10"/>
  <c r="M4" i="10" s="1"/>
  <c r="M13" i="10"/>
  <c r="M11" i="10"/>
  <c r="M8" i="10"/>
  <c r="M15" i="10"/>
  <c r="R14" i="10"/>
  <c r="R7" i="26"/>
  <c r="R6" i="26" s="1"/>
  <c r="R5" i="26" s="1"/>
  <c r="R4" i="26" s="1"/>
  <c r="R3" i="26" s="1"/>
  <c r="R2" i="26" s="1"/>
  <c r="R9" i="26"/>
  <c r="R10" i="26" s="1"/>
  <c r="R11" i="26" s="1"/>
  <c r="R12" i="26" s="1"/>
  <c r="R13" i="26" s="1"/>
  <c r="R14" i="26" s="1"/>
  <c r="R15" i="26" s="1"/>
  <c r="R16" i="26" s="1"/>
  <c r="R17" i="26" s="1"/>
  <c r="Z91" i="10"/>
  <c r="Z90" i="10" s="1"/>
  <c r="G50" i="12" s="1"/>
  <c r="K7" i="11"/>
  <c r="U17" i="10"/>
  <c r="R32" i="10" s="1"/>
  <c r="R33" i="10" s="1"/>
  <c r="U33" i="10" s="1"/>
  <c r="G61" i="10"/>
  <c r="G60" i="10" s="1"/>
  <c r="G21" i="12" s="1"/>
  <c r="C50" i="10"/>
  <c r="O7" i="12" s="1"/>
  <c r="N32" i="10"/>
  <c r="N33" i="10" s="1"/>
  <c r="N35" i="10" s="1"/>
  <c r="F8" i="11"/>
  <c r="F9" i="11" s="1"/>
  <c r="F10" i="11" s="1"/>
  <c r="L32" i="10"/>
  <c r="V50" i="10"/>
  <c r="V51" i="10" s="1"/>
  <c r="T51" i="10" s="1"/>
  <c r="Z61" i="10"/>
  <c r="Z60" i="10" s="1"/>
  <c r="G31" i="12" s="1"/>
  <c r="U50" i="10"/>
  <c r="U51" i="10" s="1"/>
  <c r="S51" i="10" s="1"/>
  <c r="I8" i="11"/>
  <c r="K8" i="11" s="1"/>
  <c r="J32" i="10"/>
  <c r="J33" i="10" s="1"/>
  <c r="J35" i="10" s="1"/>
  <c r="H104" i="10"/>
  <c r="H105" i="10" s="1"/>
  <c r="F105" i="10" s="1"/>
  <c r="O32" i="10"/>
  <c r="O33" i="10" s="1"/>
  <c r="O35" i="10" s="1"/>
  <c r="K32" i="10"/>
  <c r="Z76" i="10"/>
  <c r="M32" i="10"/>
  <c r="G104" i="10"/>
  <c r="G105" i="10" s="1"/>
  <c r="E105" i="10" s="1"/>
  <c r="P32" i="10"/>
  <c r="P33" i="10" s="1"/>
  <c r="P35" i="10" s="1"/>
  <c r="G89" i="10"/>
  <c r="G90" i="10" s="1"/>
  <c r="E90" i="10" s="1"/>
  <c r="M50" i="10"/>
  <c r="M51" i="10" s="1"/>
  <c r="K51" i="10" s="1"/>
  <c r="L50" i="10"/>
  <c r="L51" i="10" s="1"/>
  <c r="J51" i="10" s="1"/>
  <c r="H89" i="10"/>
  <c r="H90" i="10" s="1"/>
  <c r="F90" i="10" s="1"/>
  <c r="AX50" i="10"/>
  <c r="AX51" i="10" s="1"/>
  <c r="AV51" i="10" s="1"/>
  <c r="AP140" i="33" l="1"/>
  <c r="AF140" i="33" s="1"/>
  <c r="AP140" i="34"/>
  <c r="AF140" i="34" s="1"/>
  <c r="AP140" i="31"/>
  <c r="AF140" i="31" s="1"/>
  <c r="Z93" i="10"/>
  <c r="AY50" i="10"/>
  <c r="AY51" i="10" s="1"/>
  <c r="AW51" i="10" s="1"/>
  <c r="AR39" i="10" s="1"/>
  <c r="K7" i="12" s="1"/>
  <c r="Z3" i="10"/>
  <c r="Z2" i="10" s="1"/>
  <c r="D7" i="12" s="1"/>
  <c r="I6" i="10"/>
  <c r="H6" i="10" s="1"/>
  <c r="H8" i="10"/>
  <c r="H14" i="10"/>
  <c r="H13" i="10"/>
  <c r="H11" i="10"/>
  <c r="H10" i="10"/>
  <c r="H15" i="10"/>
  <c r="H7" i="10"/>
  <c r="H9" i="10"/>
  <c r="H12" i="10"/>
  <c r="AT57" i="6"/>
  <c r="AM57" i="6" s="1"/>
  <c r="AT57" i="18"/>
  <c r="AM57" i="18" s="1"/>
  <c r="F56" i="15"/>
  <c r="D56" i="15" s="1"/>
  <c r="H101" i="19"/>
  <c r="F101" i="19" s="1"/>
  <c r="G10" i="11"/>
  <c r="I10" i="11" s="1"/>
  <c r="K10" i="11" s="1"/>
  <c r="G9" i="11"/>
  <c r="I9" i="11" s="1"/>
  <c r="K9" i="11" s="1"/>
  <c r="X57" i="17"/>
  <c r="Q57" i="17" s="1"/>
  <c r="X57" i="18"/>
  <c r="Q57" i="18" s="1"/>
  <c r="AQ104" i="5"/>
  <c r="AH104" i="5" s="1"/>
  <c r="X57" i="6"/>
  <c r="Q57" i="6" s="1"/>
  <c r="AP134" i="25"/>
  <c r="AF134" i="25" s="1"/>
  <c r="G63" i="10"/>
  <c r="AF22" i="10"/>
  <c r="AF26" i="10" s="1"/>
  <c r="AG22" i="10"/>
  <c r="AG31" i="10" s="1"/>
  <c r="AA22" i="10"/>
  <c r="AA27" i="10" s="1"/>
  <c r="AE22" i="10"/>
  <c r="AE30" i="10" s="1"/>
  <c r="AD22" i="10"/>
  <c r="AD27" i="10" s="1"/>
  <c r="AB22" i="10"/>
  <c r="AB27" i="10" s="1"/>
  <c r="AC22" i="10"/>
  <c r="AC24" i="10" s="1"/>
  <c r="Z63" i="10"/>
  <c r="A93" i="10"/>
  <c r="N7" i="12" s="1"/>
  <c r="O39" i="10"/>
  <c r="O40" i="10" s="1"/>
  <c r="M33" i="10"/>
  <c r="M35" i="10" s="1"/>
  <c r="M34" i="10"/>
  <c r="L34" i="10" s="1"/>
  <c r="F39" i="10"/>
  <c r="F40" i="10" s="1"/>
  <c r="Z78" i="10"/>
  <c r="Z75" i="10"/>
  <c r="G40" i="12" s="1"/>
  <c r="K33" i="10"/>
  <c r="K35" i="10" s="1"/>
  <c r="K34" i="10"/>
  <c r="A78" i="10"/>
  <c r="F11" i="11"/>
  <c r="G11" i="11"/>
  <c r="I11" i="11" s="1"/>
  <c r="K11" i="11" s="1"/>
  <c r="L33" i="10" l="1"/>
  <c r="L35" i="10" s="1"/>
  <c r="A20" i="10" s="1"/>
  <c r="M21" i="12" s="1"/>
  <c r="Z5" i="10"/>
  <c r="G3" i="10"/>
  <c r="G2" i="10" s="1"/>
  <c r="D5" i="12" s="1"/>
  <c r="AT57" i="17"/>
  <c r="AM57" i="17" s="1"/>
  <c r="I18" i="19"/>
  <c r="AG28" i="10"/>
  <c r="AG26" i="10"/>
  <c r="AA26" i="10"/>
  <c r="AC29" i="10"/>
  <c r="AA24" i="10"/>
  <c r="AB23" i="10"/>
  <c r="AA29" i="10"/>
  <c r="AA30" i="10"/>
  <c r="AA23" i="10"/>
  <c r="AG29" i="10"/>
  <c r="AG30" i="10"/>
  <c r="AG23" i="10"/>
  <c r="AG25" i="10"/>
  <c r="AB28" i="10"/>
  <c r="AG24" i="10"/>
  <c r="AG27" i="10"/>
  <c r="AF30" i="10"/>
  <c r="AF29" i="10"/>
  <c r="AF25" i="10"/>
  <c r="AC28" i="10"/>
  <c r="AD24" i="10"/>
  <c r="AF27" i="10"/>
  <c r="AF28" i="10"/>
  <c r="AF24" i="10"/>
  <c r="AF31" i="10"/>
  <c r="AC27" i="10"/>
  <c r="AD23" i="10"/>
  <c r="AD29" i="10"/>
  <c r="AF23" i="10"/>
  <c r="AC31" i="10"/>
  <c r="AC23" i="10"/>
  <c r="AE31" i="10"/>
  <c r="AE29" i="10"/>
  <c r="AE28" i="10"/>
  <c r="AE25" i="10"/>
  <c r="AE24" i="10"/>
  <c r="AE23" i="10"/>
  <c r="AD31" i="10"/>
  <c r="AA28" i="10"/>
  <c r="AA25" i="10"/>
  <c r="AA31" i="10"/>
  <c r="AD30" i="10"/>
  <c r="AD25" i="10"/>
  <c r="AE26" i="10"/>
  <c r="AE27" i="10"/>
  <c r="AC30" i="10"/>
  <c r="AC26" i="10"/>
  <c r="AD28" i="10"/>
  <c r="AD26" i="10"/>
  <c r="AC25" i="10"/>
  <c r="AB29" i="10"/>
  <c r="AB24" i="10"/>
  <c r="AB26" i="10"/>
  <c r="AB30" i="10"/>
  <c r="AB25" i="10"/>
  <c r="AB31" i="10"/>
  <c r="A94" i="10"/>
  <c r="I16" i="19"/>
  <c r="K5" i="12"/>
  <c r="A79" i="10"/>
  <c r="G12" i="11"/>
  <c r="I12" i="11" s="1"/>
  <c r="K12" i="11" s="1"/>
  <c r="F12" i="11"/>
  <c r="AR40" i="10"/>
  <c r="S3" i="34" l="1"/>
  <c r="B21" i="33"/>
  <c r="B21" i="34"/>
  <c r="B13" i="33"/>
  <c r="B13" i="34"/>
  <c r="S3" i="33"/>
  <c r="B24" i="31"/>
  <c r="B13" i="31"/>
  <c r="B21" i="31"/>
  <c r="S3" i="31"/>
  <c r="A18" i="10"/>
  <c r="A19" i="10" s="1"/>
  <c r="G5" i="10"/>
  <c r="V3" i="5"/>
  <c r="U3" i="18"/>
  <c r="U3" i="17"/>
  <c r="S3" i="25"/>
  <c r="U3" i="6"/>
  <c r="AA32" i="10"/>
  <c r="AA33" i="10" s="1"/>
  <c r="AA35" i="10" s="1"/>
  <c r="AG32" i="10"/>
  <c r="AG33" i="10" s="1"/>
  <c r="AG35" i="10" s="1"/>
  <c r="AF32" i="10"/>
  <c r="AF33" i="10" s="1"/>
  <c r="AF35" i="10" s="1"/>
  <c r="AB32" i="10"/>
  <c r="AE32" i="10"/>
  <c r="AE33" i="10" s="1"/>
  <c r="AE35" i="10" s="1"/>
  <c r="AD32" i="10"/>
  <c r="AD33" i="10" s="1"/>
  <c r="AD35" i="10" s="1"/>
  <c r="AC32" i="10"/>
  <c r="B15" i="19"/>
  <c r="A21" i="10"/>
  <c r="B45" i="5"/>
  <c r="B14" i="19"/>
  <c r="B19" i="25"/>
  <c r="G13" i="11"/>
  <c r="I13" i="11" s="1"/>
  <c r="K13" i="11" s="1"/>
  <c r="F13" i="11"/>
  <c r="AD34" i="10" l="1"/>
  <c r="AC33" i="10" s="1"/>
  <c r="AC35" i="10" s="1"/>
  <c r="F14" i="11"/>
  <c r="G14" i="11"/>
  <c r="I14" i="11" s="1"/>
  <c r="K14" i="11" s="1"/>
  <c r="AC34" i="10" l="1"/>
  <c r="F15" i="11"/>
  <c r="G15" i="11"/>
  <c r="I15" i="11" s="1"/>
  <c r="K15" i="11" s="1"/>
  <c r="AB34" i="10" l="1"/>
  <c r="AB33" i="10"/>
  <c r="AB35" i="10" s="1"/>
  <c r="F16" i="11"/>
  <c r="G16" i="11"/>
  <c r="I16" i="11" s="1"/>
  <c r="K16" i="11" s="1"/>
  <c r="R18" i="10" l="1"/>
  <c r="R19" i="10" s="1"/>
  <c r="R20" i="10"/>
  <c r="G17" i="11"/>
  <c r="I17" i="11" s="1"/>
  <c r="K17" i="11" s="1"/>
  <c r="F17" i="11"/>
  <c r="R21" i="10" l="1"/>
  <c r="N156" i="12"/>
  <c r="G18" i="11"/>
  <c r="I18" i="11" s="1"/>
  <c r="K18" i="11" s="1"/>
  <c r="F18" i="11"/>
  <c r="B33" i="5" l="1"/>
  <c r="F19" i="11"/>
  <c r="G19" i="11"/>
  <c r="I19" i="11" s="1"/>
  <c r="K19" i="11" s="1"/>
  <c r="F20" i="11" l="1"/>
  <c r="G20" i="11"/>
  <c r="I20" i="11" s="1"/>
  <c r="K20" i="11" s="1"/>
  <c r="G21" i="11" l="1"/>
  <c r="I21" i="11" s="1"/>
  <c r="K21" i="11" s="1"/>
  <c r="F21" i="11"/>
  <c r="F22" i="11" l="1"/>
  <c r="G22" i="11"/>
  <c r="I22" i="11" s="1"/>
  <c r="K22" i="11" s="1"/>
  <c r="G23" i="11" l="1"/>
  <c r="I23" i="11" s="1"/>
  <c r="K23" i="11" s="1"/>
  <c r="F23" i="11"/>
  <c r="G24" i="11" l="1"/>
  <c r="I24" i="11" s="1"/>
  <c r="K24" i="11" s="1"/>
  <c r="F24" i="11"/>
  <c r="G25" i="11" l="1"/>
  <c r="I25" i="11" s="1"/>
  <c r="K25" i="11" s="1"/>
  <c r="F25" i="11"/>
  <c r="F26" i="11" l="1"/>
  <c r="G26" i="11"/>
  <c r="I26" i="11" s="1"/>
  <c r="K26" i="11" s="1"/>
  <c r="F27" i="11" l="1"/>
  <c r="G27" i="11"/>
  <c r="I27" i="11" s="1"/>
  <c r="K27" i="11" s="1"/>
  <c r="G28" i="11" l="1"/>
  <c r="I28" i="11" s="1"/>
  <c r="K28" i="11" s="1"/>
  <c r="F28" i="11"/>
  <c r="G29" i="11" l="1"/>
  <c r="I29" i="11" s="1"/>
  <c r="K29" i="11" s="1"/>
  <c r="F29" i="11"/>
  <c r="F30" i="11" l="1"/>
  <c r="G30" i="11"/>
  <c r="I30" i="11" s="1"/>
  <c r="K30" i="11" s="1"/>
  <c r="F31" i="11" l="1"/>
  <c r="G31" i="11"/>
  <c r="I31" i="11" s="1"/>
  <c r="K31" i="11" s="1"/>
  <c r="F32" i="11" l="1"/>
  <c r="G32" i="11"/>
  <c r="I32" i="11" s="1"/>
  <c r="K32" i="11" s="1"/>
  <c r="G33" i="11" l="1"/>
  <c r="I33" i="11" s="1"/>
  <c r="K33" i="11" s="1"/>
  <c r="F33" i="11"/>
  <c r="G34" i="11" l="1"/>
  <c r="I34" i="11" s="1"/>
  <c r="K34" i="11" s="1"/>
  <c r="F34" i="11"/>
  <c r="G35" i="11" l="1"/>
  <c r="I35" i="11" s="1"/>
  <c r="K35" i="11" s="1"/>
  <c r="F35" i="11"/>
  <c r="G36" i="11" l="1"/>
  <c r="I36" i="11" s="1"/>
  <c r="K36" i="11" s="1"/>
  <c r="F36" i="11"/>
  <c r="F37" i="11" l="1"/>
  <c r="G37" i="11"/>
  <c r="I37" i="11" s="1"/>
  <c r="K37" i="11" s="1"/>
  <c r="G38" i="11" l="1"/>
  <c r="I38" i="11" s="1"/>
  <c r="K38" i="11" s="1"/>
  <c r="F38" i="11"/>
  <c r="F39" i="11" l="1"/>
  <c r="G39" i="11"/>
  <c r="I39" i="11" s="1"/>
  <c r="K39" i="11" s="1"/>
  <c r="F40" i="11" l="1"/>
  <c r="G40" i="11"/>
  <c r="I40" i="11" s="1"/>
  <c r="K40" i="11" s="1"/>
  <c r="F41" i="11" l="1"/>
  <c r="G41" i="11"/>
  <c r="I41" i="11" s="1"/>
  <c r="K41" i="11" s="1"/>
  <c r="F42" i="11" l="1"/>
  <c r="G42" i="11"/>
  <c r="I42" i="11" s="1"/>
  <c r="K42" i="11" s="1"/>
  <c r="G43" i="11" l="1"/>
  <c r="I43" i="11" s="1"/>
  <c r="K43" i="11" s="1"/>
  <c r="F43" i="11"/>
  <c r="G44" i="11" l="1"/>
  <c r="I44" i="11" s="1"/>
  <c r="K44" i="11" s="1"/>
  <c r="F44" i="11"/>
  <c r="F45" i="11" l="1"/>
  <c r="G45" i="11"/>
  <c r="I45" i="11" s="1"/>
  <c r="K45" i="11" s="1"/>
  <c r="G46" i="11" l="1"/>
  <c r="I46" i="11" s="1"/>
  <c r="K46" i="11" s="1"/>
  <c r="F46" i="11"/>
  <c r="G47" i="11" l="1"/>
  <c r="I47" i="11" s="1"/>
  <c r="K47" i="11" s="1"/>
  <c r="F47" i="11"/>
  <c r="F48" i="11" l="1"/>
  <c r="G48" i="11"/>
  <c r="I48" i="11" s="1"/>
  <c r="K48" i="11" s="1"/>
  <c r="F49" i="11" l="1"/>
  <c r="G49" i="11"/>
  <c r="I49" i="11" s="1"/>
  <c r="K49" i="11" s="1"/>
  <c r="F50" i="11" l="1"/>
  <c r="G50" i="11"/>
  <c r="I50" i="11" s="1"/>
  <c r="K50" i="11" s="1"/>
  <c r="F51" i="11" l="1"/>
  <c r="G51" i="11"/>
  <c r="I51" i="11" s="1"/>
  <c r="K51" i="11" s="1"/>
  <c r="G52" i="11" l="1"/>
  <c r="I52" i="11" s="1"/>
  <c r="K52" i="11" s="1"/>
  <c r="F52" i="11"/>
  <c r="G53" i="11" l="1"/>
  <c r="I53" i="11" s="1"/>
  <c r="K53" i="11" s="1"/>
  <c r="F53" i="11"/>
  <c r="F54" i="11" l="1"/>
  <c r="G54" i="11"/>
  <c r="I54" i="11" s="1"/>
  <c r="K54" i="11" s="1"/>
  <c r="G55" i="11" l="1"/>
  <c r="I55" i="11" s="1"/>
  <c r="K55" i="11" s="1"/>
  <c r="F55" i="11"/>
  <c r="G56" i="11" l="1"/>
  <c r="I56" i="11" s="1"/>
  <c r="K56" i="11" s="1"/>
  <c r="F56" i="11"/>
  <c r="G57" i="11" l="1"/>
  <c r="I57" i="11" s="1"/>
  <c r="K57" i="11" s="1"/>
  <c r="F57" i="11"/>
  <c r="F58" i="11" l="1"/>
  <c r="G58" i="11"/>
  <c r="I58" i="11" s="1"/>
  <c r="K58" i="11" s="1"/>
  <c r="G59" i="11" l="1"/>
  <c r="I59" i="11" s="1"/>
  <c r="K59" i="11" s="1"/>
  <c r="F59" i="11"/>
  <c r="F60" i="11" l="1"/>
  <c r="G60" i="11"/>
  <c r="I60" i="11" s="1"/>
  <c r="K60" i="11" s="1"/>
  <c r="F61" i="11" l="1"/>
  <c r="G61" i="11"/>
  <c r="I61" i="11" s="1"/>
  <c r="K61" i="11" s="1"/>
  <c r="G62" i="11" l="1"/>
  <c r="I62" i="11" s="1"/>
  <c r="K62" i="11" s="1"/>
  <c r="F62" i="11"/>
  <c r="F63" i="11" l="1"/>
  <c r="G63" i="11"/>
  <c r="I63" i="11" s="1"/>
  <c r="K63" i="11" s="1"/>
  <c r="F64" i="11" l="1"/>
  <c r="G64" i="11"/>
  <c r="I64" i="11" s="1"/>
  <c r="K64" i="11" s="1"/>
  <c r="F65" i="11" l="1"/>
  <c r="G65" i="11"/>
  <c r="I65" i="11" s="1"/>
  <c r="K65" i="11" s="1"/>
  <c r="B11" i="11" l="1"/>
  <c r="N8" i="12" s="1"/>
  <c r="M2" i="12"/>
  <c r="K2" i="12"/>
  <c r="A1" i="34" l="1"/>
  <c r="A1" i="33"/>
  <c r="B57" i="34"/>
  <c r="B57" i="33"/>
  <c r="B26" i="34"/>
  <c r="B26" i="33"/>
  <c r="B29" i="31"/>
  <c r="A1" i="31"/>
  <c r="B60" i="31"/>
  <c r="B14" i="5"/>
  <c r="B21" i="25"/>
  <c r="A1" i="25"/>
  <c r="C23" i="17"/>
  <c r="A1" i="18"/>
  <c r="A1" i="15"/>
  <c r="C23" i="18"/>
  <c r="B49" i="25"/>
  <c r="A1" i="6"/>
  <c r="A1" i="5"/>
  <c r="C23" i="6"/>
  <c r="A1" i="19"/>
  <c r="A1" i="17"/>
  <c r="H112" i="19" l="1"/>
  <c r="AJ38" i="10" l="1"/>
  <c r="AJ50" i="10" s="1"/>
  <c r="AQ38" i="10" l="1"/>
  <c r="AP38" i="10"/>
  <c r="AP44" i="10" l="1"/>
  <c r="AP45" i="10"/>
  <c r="AP43" i="10"/>
  <c r="AP41" i="10"/>
  <c r="AP47" i="10"/>
  <c r="AP49" i="10"/>
  <c r="AP46" i="10"/>
  <c r="AP48" i="10"/>
  <c r="AP42" i="10"/>
  <c r="AQ47" i="10"/>
  <c r="AQ48" i="10"/>
  <c r="AQ41" i="10"/>
  <c r="AQ49" i="10"/>
  <c r="AQ46" i="10"/>
  <c r="AQ44" i="10"/>
  <c r="AQ45" i="10"/>
  <c r="AQ42" i="10"/>
  <c r="AQ43" i="10"/>
  <c r="AP50" i="10" l="1"/>
  <c r="AP51" i="10" s="1"/>
  <c r="AN51" i="10" s="1"/>
  <c r="AQ50" i="10"/>
  <c r="AQ51" i="10" s="1"/>
  <c r="AO51" i="10" s="1"/>
  <c r="AJ39" i="10" l="1"/>
  <c r="AJ40" i="10" s="1"/>
</calcChain>
</file>

<file path=xl/connections.xml><?xml version="1.0" encoding="utf-8"?>
<connections xmlns="http://schemas.openxmlformats.org/spreadsheetml/2006/main">
  <connection id="1" name="False" type="6" refreshedVersion="0" background="1">
    <textPr prompt="0" sourceFile="False">
      <textFields>
        <textField/>
      </textFields>
    </textPr>
  </connection>
  <connection id="2" name="False1" type="6" refreshedVersion="0" background="1">
    <textPr prompt="0" sourceFile="False">
      <textFields>
        <textField/>
      </textFields>
    </textPr>
  </connection>
  <connection id="3" name="False10" type="6" refreshedVersion="0" background="1">
    <textPr prompt="0" sourceFile="False">
      <textFields>
        <textField/>
      </textFields>
    </textPr>
  </connection>
  <connection id="4" name="False11" type="6" refreshedVersion="0" background="1">
    <textPr prompt="0" sourceFile="False" decimal=",">
      <textFields>
        <textField/>
      </textFields>
    </textPr>
  </connection>
  <connection id="5" name="False12" type="6" refreshedVersion="0" background="1">
    <textPr prompt="0" sourceFile="False">
      <textFields>
        <textField/>
      </textFields>
    </textPr>
  </connection>
  <connection id="6" name="False13" type="6" refreshedVersion="0" background="1">
    <textPr prompt="0" sourceFile="False">
      <textFields>
        <textField/>
      </textFields>
    </textPr>
  </connection>
  <connection id="7" name="False14" type="6" refreshedVersion="0" background="1">
    <textPr prompt="0" sourceFile="False" thousands=" ">
      <textFields>
        <textField/>
      </textFields>
    </textPr>
  </connection>
  <connection id="8" name="False15" type="6" refreshedVersion="0" background="1">
    <textPr prompt="0" sourceFile="False" thousands=" ">
      <textFields>
        <textField/>
      </textFields>
    </textPr>
  </connection>
  <connection id="9" name="False16" type="6" refreshedVersion="0" background="1">
    <textPr prompt="0" sourceFile="False" thousands=" ">
      <textFields>
        <textField/>
      </textFields>
    </textPr>
  </connection>
  <connection id="10" name="False17" type="6" refreshedVersion="0" background="1">
    <textPr prompt="0" sourceFile="False" thousands=" ">
      <textFields>
        <textField/>
      </textFields>
    </textPr>
  </connection>
  <connection id="11" name="False2" type="6" refreshedVersion="0" background="1">
    <textPr prompt="0" sourceFile="False">
      <textFields>
        <textField/>
      </textFields>
    </textPr>
  </connection>
  <connection id="12" name="False3" type="6" refreshedVersion="0" background="1">
    <textPr prompt="0" sourceFile="False">
      <textFields>
        <textField/>
      </textFields>
    </textPr>
  </connection>
  <connection id="13" name="False4" type="6" refreshedVersion="0" background="1">
    <textPr prompt="0" sourceFile="False">
      <textFields>
        <textField/>
      </textFields>
    </textPr>
  </connection>
  <connection id="14" name="False5" type="6" refreshedVersion="0" background="1">
    <textPr prompt="0" sourceFile="False">
      <textFields>
        <textField/>
      </textFields>
    </textPr>
  </connection>
  <connection id="15" name="False6" type="6" refreshedVersion="0" background="1">
    <textPr prompt="0" sourceFile="False">
      <textFields>
        <textField/>
      </textFields>
    </textPr>
  </connection>
  <connection id="16" name="False7" type="6" refreshedVersion="0" background="1">
    <textPr prompt="0" sourceFile="False">
      <textFields>
        <textField/>
      </textFields>
    </textPr>
  </connection>
  <connection id="17" name="False8" type="6" refreshedVersion="0" background="1">
    <textPr prompt="0" sourceFile="False">
      <textFields>
        <textField/>
      </textFields>
    </textPr>
  </connection>
  <connection id="18" name="False9" type="6" refreshedVersion="0" background="1">
    <textPr prompt="0" sourceFile="False">
      <textFields>
        <textField/>
      </textFields>
    </textPr>
  </connection>
  <connection id="19" name="LD IMPORT" type="6" refreshedVersion="0" background="1">
    <textPr prompt="0" sourceFile="d:\Users\User\YandexDisk\Downloads\Contract\29.04.2014\LD IMPORT.csv">
      <textFields>
        <textField/>
      </textFields>
    </textPr>
  </connection>
  <connection id="20" name="LD IMPORT1" type="6" refreshedVersion="0" background="1">
    <textPr prompt="0" sourceFile="d:\Users\User\YandexDisk\Downloads\Contract\29.04.2014\LD IMPORT.csv">
      <textFields>
        <textField/>
      </textFields>
    </textPr>
  </connection>
</connections>
</file>

<file path=xl/sharedStrings.xml><?xml version="1.0" encoding="utf-8"?>
<sst xmlns="http://schemas.openxmlformats.org/spreadsheetml/2006/main" count="2267" uniqueCount="946">
  <si>
    <t>oğlu</t>
  </si>
  <si>
    <t>Atasının adı</t>
  </si>
  <si>
    <t>Adı</t>
  </si>
  <si>
    <t>Kredit mütəxəssisi</t>
  </si>
  <si>
    <t>Vəzifəsi</t>
  </si>
  <si>
    <t>Soyadı</t>
  </si>
  <si>
    <t>Rəhbərlik</t>
  </si>
  <si>
    <t>Faks nömrəsi</t>
  </si>
  <si>
    <t>Əlaqə nömrəsi</t>
  </si>
  <si>
    <t>Filialın adı</t>
  </si>
  <si>
    <t>Filalın ünvanı (Rayon və küçə)</t>
  </si>
  <si>
    <t>Filalin  yerləşdiyi şəhər</t>
  </si>
  <si>
    <t>Filial haqqında</t>
  </si>
  <si>
    <t>Ünvan</t>
  </si>
  <si>
    <t>ver.rayon</t>
  </si>
  <si>
    <t>ver.tarixi</t>
  </si>
  <si>
    <t>seria nöm.</t>
  </si>
  <si>
    <t>Əlaqə nöm.2</t>
  </si>
  <si>
    <t>Əlaqə nöm.1</t>
  </si>
  <si>
    <t>Girov əlavələrin cəmi:</t>
  </si>
  <si>
    <t>Doğum tarixi</t>
  </si>
  <si>
    <t>AZM</t>
  </si>
  <si>
    <t>Götürdüyü məbləğ</t>
  </si>
  <si>
    <t>Kredit götürən haqqında</t>
  </si>
  <si>
    <t>İllik faiz dər.</t>
  </si>
  <si>
    <t>Komisyon haqqı</t>
  </si>
  <si>
    <t>FİFD</t>
  </si>
  <si>
    <t>Güzəşt müddəti:</t>
  </si>
  <si>
    <t>Kreditin Bitmə tarixi</t>
  </si>
  <si>
    <t>Kreditin Başlama tarixi</t>
  </si>
  <si>
    <t>LD Nöm.</t>
  </si>
  <si>
    <t>Borc verən:______________________________</t>
  </si>
  <si>
    <t>İmza</t>
  </si>
  <si>
    <t>Ünvan:</t>
  </si>
  <si>
    <t>Bank Olmayan Kredit Təşkilatı</t>
  </si>
  <si>
    <t>11. TƏRƏFLƏRİN REKVİZİTLƏRİ VƏ İMZALARI</t>
  </si>
  <si>
    <t>Bu müqavilənin hər hansı bir müddəasının Azərbaycan Respublikasının qanunvericiliyinə əsasən etibarsız hesab edilməsi müqavilənin digər müddəalarının və bütövlükdə kredit müqaviləsinin etibarsızlığı ilə nəticələnə bilməz.</t>
  </si>
  <si>
    <t xml:space="preserve">7.2. </t>
  </si>
  <si>
    <t>Tərəflər bu müqavilə üzrə öhdəliklərin pozulması və ya lazımi qaydada icra edilməməsinə görə Azərbaycan Respublikası qanunvericiliyinə müvafiq olaraq məsuliyyət  daşıyırlar.</t>
  </si>
  <si>
    <t xml:space="preserve">7.1. </t>
  </si>
  <si>
    <t>9.2.</t>
  </si>
  <si>
    <t>6.5.</t>
  </si>
  <si>
    <t xml:space="preserve">8.2. </t>
  </si>
  <si>
    <t xml:space="preserve">6.3. </t>
  </si>
  <si>
    <t xml:space="preserve">6.2. </t>
  </si>
  <si>
    <t xml:space="preserve">6.1. </t>
  </si>
  <si>
    <t>c)</t>
  </si>
  <si>
    <t xml:space="preserve">b) </t>
  </si>
  <si>
    <t xml:space="preserve">5.1. </t>
  </si>
  <si>
    <t>a)</t>
  </si>
  <si>
    <t>5. DƏBBƏ PULU</t>
  </si>
  <si>
    <t xml:space="preserve">4.1.4. </t>
  </si>
  <si>
    <t>4.1.3.</t>
  </si>
  <si>
    <t>4.1.2.</t>
  </si>
  <si>
    <t>4.1.1.</t>
  </si>
  <si>
    <t xml:space="preserve">4.4.5. </t>
  </si>
  <si>
    <t>«Borc verən»in hüquqları:</t>
  </si>
  <si>
    <t>4.1</t>
  </si>
  <si>
    <t xml:space="preserve">4.4.4. </t>
  </si>
  <si>
    <t>3.1</t>
  </si>
  <si>
    <t>3. KREDİTİN TƏMİNATI</t>
  </si>
  <si>
    <t xml:space="preserve">4.4.3. </t>
  </si>
  <si>
    <t>4.4.2.</t>
  </si>
  <si>
    <t>Alınmış krediti və ona hesablanmış  faizləri vaxtlı-vaxtında ödəmək, ödənişləri vaxtında və tam  həcmdə yerinə yetirmək;</t>
  </si>
  <si>
    <t>4.4.1.</t>
  </si>
  <si>
    <t>4.4.</t>
  </si>
  <si>
    <t>2.5</t>
  </si>
  <si>
    <t>2.4</t>
  </si>
  <si>
    <t>2.3</t>
  </si>
  <si>
    <t>4.3.6.</t>
  </si>
  <si>
    <t>2.2</t>
  </si>
  <si>
    <t xml:space="preserve">4.3.5. </t>
  </si>
  <si>
    <t xml:space="preserve">4.3.4. </t>
  </si>
  <si>
    <t>2.1</t>
  </si>
  <si>
    <t>Kredit öhdəliklərinin icrasından sonra həmin öhdəlikləri təsdiq edən sənədləri  «Borc verən» dən tələb etmək;</t>
  </si>
  <si>
    <t xml:space="preserve">4.3.3. </t>
  </si>
  <si>
    <t xml:space="preserve">2. KREDİTİN VƏ FAİZLƏRİN HESABLANMASI QAYDASI </t>
  </si>
  <si>
    <t xml:space="preserve">«Borc verən»i 5 (beş) gün qabaq yazılı formada məlumatlandırmaq şərti ilə krediti (bir hissəsini və ya tam məbləğini) və kredit üzrə hesablanmış faizləri vaxtından əvvəl qaytarmaq; </t>
  </si>
  <si>
    <t xml:space="preserve">4.3.2.  </t>
  </si>
  <si>
    <t>Bu müqavilənin 1.2-ci bəndində göstərilən məbləğdə krediti almaq;</t>
  </si>
  <si>
    <t xml:space="preserve">4.3.1. </t>
  </si>
  <si>
    <t>1.4</t>
  </si>
  <si>
    <t xml:space="preserve">4.3. </t>
  </si>
  <si>
    <t xml:space="preserve">4.2.4. </t>
  </si>
  <si>
    <t>4.2.3.</t>
  </si>
  <si>
    <t>1.3</t>
  </si>
  <si>
    <t>Verilmiş kreditə görə hesablanan faizlərin düzgünlüyünə riayət etmək;</t>
  </si>
  <si>
    <t xml:space="preserve">4.2.2. </t>
  </si>
  <si>
    <t>1.2</t>
  </si>
  <si>
    <t xml:space="preserve">4.2.1. </t>
  </si>
  <si>
    <t xml:space="preserve">«Borc verən»in vəzifələri: </t>
  </si>
  <si>
    <t xml:space="preserve">4.2.  </t>
  </si>
  <si>
    <t xml:space="preserve">4.1.5. </t>
  </si>
  <si>
    <t>1.1</t>
  </si>
  <si>
    <t>1. MÜQAVİLƏNIN PREDMETİ</t>
  </si>
  <si>
    <t>g)</t>
  </si>
  <si>
    <t>Girov qoyan:________________________________</t>
  </si>
  <si>
    <t>İmza:</t>
  </si>
  <si>
    <t>Tərəflərdən biri öz hüquqi ünvanını və bank rekvizitlərini dəyişdikdə bu barədə digər tərəfi dərhal xəbərdar etməlidir.</t>
  </si>
  <si>
    <t xml:space="preserve">9.3. </t>
  </si>
  <si>
    <t xml:space="preserve">9.4. </t>
  </si>
  <si>
    <t>Girov saxlayan:________________________________</t>
  </si>
  <si>
    <t xml:space="preserve">9.1. </t>
  </si>
  <si>
    <t>9. DİGƏR ŞƏRTLƏR</t>
  </si>
  <si>
    <t>Kredit müqaviləsi üzrə öhdəliklərini yerinə yetirmədiyi və ya lazımınca yerinə yetirmədiyi təqdirdə,  «Girov saxlayan»ın girov predmetinə ödəniş yönəltməsi üçün zəruri şəraiti təmin etmək;</t>
  </si>
  <si>
    <t xml:space="preserve">4.2.8. </t>
  </si>
  <si>
    <t>Bu müqavilənin qüvvədə olduğu müddət ərzində müqavilə ilə girov predmetinə sərəncam verilməsi üzərində qoyulmuş məhdudiyyətlərə əməl etmək;</t>
  </si>
  <si>
    <t xml:space="preserve">4.2.7. </t>
  </si>
  <si>
    <t>Girov predmetinin təsədüfən itirilməsi (məhv olması) və ya zədələnməsi təhlükəsi yarandıqda  «Girov saxlayan»ı xəbərdar etmək;</t>
  </si>
  <si>
    <t xml:space="preserve">4.2.6. </t>
  </si>
  <si>
    <t xml:space="preserve">8.1. </t>
  </si>
  <si>
    <t>Girov predmetində baş vermiş hər-hansı  dəyişikliklər barəsində  «Girov saxlayan»ı dərhal (dəyişikliklərin baş verdiyi gündən sonrakı ilk iş günündən gec olmayaraq) yazılı surətdə xəbərdar etmək;</t>
  </si>
  <si>
    <t>4.2.5.</t>
  </si>
  <si>
    <t>«Girov saxlayan»ın yazılı razılığı olmadan girov predmetini sonrakı girova qoymamaq, dəyişməmək, satmamaq və əvəzsiz istifadəyə verməmək;</t>
  </si>
  <si>
    <t xml:space="preserve">4.2.3.  </t>
  </si>
  <si>
    <t>«Girov qoyan»ın vəzifələri:</t>
  </si>
  <si>
    <t xml:space="preserve">4.2. </t>
  </si>
  <si>
    <t>«Girov qoyan»ın girovun məhvinə və ya onun əmtəə görkəminin itirilməsinə səbəb ola biləcək hərəkətlər törədən hər bir kəsdən həmin hərəkəti dayandırmağı tələb etmək hüququ var.</t>
  </si>
  <si>
    <t>Girovla təmin edilən öhdəlik tam şəkildə yerinə yetirildiyi halda  «Girov saxlayan»dan bu girov müqaviləsinə xitam verilməsini tələb etmək hüququna malikdir;</t>
  </si>
  <si>
    <t xml:space="preserve">6.1.  </t>
  </si>
  <si>
    <t>Əşya «Girov qoyan»da saxlanılmaqla girov qoyulduqda «Girov qoyan» girov predmetindən onun təyinatına uyğun istifadə edə, o cümlədən girov qoyulmuş əmlakdan öz xeyrinə gəlir götürə bilər;</t>
  </si>
  <si>
    <t>6. GİROV QOYULMUŞ ƏMLAKA TUTMANIN 
YÖNƏLDİLMƏSİ</t>
  </si>
  <si>
    <t>«Girov qoyan» girov qoyulmuş əmlakı vəsiyyət etmək hüququna malikdir;</t>
  </si>
  <si>
    <t xml:space="preserve">4.1.1. </t>
  </si>
  <si>
    <t>Saxlanc girovunda olan girov predmeti ilə təmin edilən öhdəlik  «Girov qoyan» tərəfindən icra edildikdə girov predmetini  «Girov qoyan»a təhvil aktı əsasında qaytarmaq.</t>
  </si>
  <si>
    <t>«Girov qoyan»ın hüquqları:</t>
  </si>
  <si>
    <t xml:space="preserve">4.1. </t>
  </si>
  <si>
    <t>Saxlanc girovuna qoyulmuş əşyanın itməsi, zədələnməsi və ya məhv olmaması üçün lazımi tədbirlər görmək;</t>
  </si>
  <si>
    <t xml:space="preserve">5.2.3. </t>
  </si>
  <si>
    <t>4. GİROV QOYANIN HÜQUQ VƏ VƏZİFƏLƏRİ</t>
  </si>
  <si>
    <t xml:space="preserve">3.2. </t>
  </si>
  <si>
    <t xml:space="preserve">5.2.2. </t>
  </si>
  <si>
    <t xml:space="preserve">5.2.1. </t>
  </si>
  <si>
    <t>«Girov saxlayan»ın vəzifələri:</t>
  </si>
  <si>
    <t xml:space="preserve">5.2.  </t>
  </si>
  <si>
    <t xml:space="preserve">3.1. </t>
  </si>
  <si>
    <t>Girovla təmin edilmiş öhdəlik üzrə «Girov qoyan»ın həmin öhdəliyi icra etmədiyi halda girov qoyulmuş əmlakın dəyərindən  «Girov qoyan»ın digər kreditorlarına nisbətən üstün qaydada təminat almaq.</t>
  </si>
  <si>
    <t xml:space="preserve">5.1.8 </t>
  </si>
  <si>
    <t>3. GİROVLA TƏMİN EDİLƏN TƏLƏBİN HƏCMİ VƏ İCRA MÜDDƏTİ</t>
  </si>
  <si>
    <t xml:space="preserve">5.1.7 </t>
  </si>
  <si>
    <t xml:space="preserve">2.2. </t>
  </si>
  <si>
    <t>Girov qoyulmuş əmlakın məhv olması və ya zədələnməsi təhlükəsi yarandıqda  «Girov qoyan»dan girov predmetini eyni dəyərli başqa əmlakla əvəz etməyi tələb etmək;</t>
  </si>
  <si>
    <t>5.1.6</t>
  </si>
  <si>
    <t>Girov qoyulmuş əşyalar  «Girov saxlayan» və ya dəvət edilmiş müstəqil qiymətləndirici tərəfindən «Girov qoyan»ın iştirakı ilə qiymətləndirilir.</t>
  </si>
  <si>
    <t>2.1.</t>
  </si>
  <si>
    <t>Girov predmeti məhv olduqda və ya zədələndikdə yaxud girov predmetinə olan mülkiyyət hüququna xitam verildikdə  «Girov qoyan»dan girov predmetini bərpa etməyi və ya eyni dəyərli başqa əmlakla əvəz etməyi tələb etmək;</t>
  </si>
  <si>
    <t xml:space="preserve">5.1.5 </t>
  </si>
  <si>
    <t>2. GİROV QOYULMUŞ ƏMLAKIN QİYMƏTLƏNDİRİLMƏSİ VƏ DƏYƏRİ</t>
  </si>
  <si>
    <t>Girov qoyulmuş əmlakın hərracda satışı zamanı satışdan götürülmüş məbləğ tələbin tam ödənilməsi üçün yetərli olmadıqda çatışmayan məbləğin  «Girov qoyan» tərəfindən ödənilməsini tələb etmək;</t>
  </si>
  <si>
    <t>5.1.4</t>
  </si>
  <si>
    <t>1.4.</t>
  </si>
  <si>
    <t>«Girov qoyan» girov predmetinin digər yerdə girov qoyulmamasına, icarəyə verilməməsinə, axtarışda və ya həbsdə olmamasına zəmanət verir.</t>
  </si>
  <si>
    <t>1.3.</t>
  </si>
  <si>
    <t>5.1.3</t>
  </si>
  <si>
    <t>«Girov qoyan» təsdiq edir ki, girov predmeti «Girov qoyan»ın mülkiyyətindədir və üçüncü şəxslər qarşısında heç bir öhdəliklə yüklü edilməmişdir.</t>
  </si>
  <si>
    <t xml:space="preserve">1.2. </t>
  </si>
  <si>
    <t>5.1.2</t>
  </si>
  <si>
    <t>Girovun ilkin vəziyyətinin saxlanılması üçün «Girov qoyan»dan tədbirlər görməyi tələb etmək;</t>
  </si>
  <si>
    <t>5.1.1</t>
  </si>
  <si>
    <t>«Girov saxlayan»ın hüquqları:</t>
  </si>
  <si>
    <t>5. GİROV SAXLAYANIN HÜQUQ VƏ VƏZİFƏLƏRİ</t>
  </si>
  <si>
    <t>1.1.</t>
  </si>
  <si>
    <t>Girov qoyulmuş əmlakın istifadəsi və ya faktiki vəziyyəti barədə  «Girov saxlayan»ın tələbi ilə ona hesabat təqdim etmək.</t>
  </si>
  <si>
    <t xml:space="preserve">4.2.13. </t>
  </si>
  <si>
    <t>1. MÜQAVİLƏNİN PREDMETİ</t>
  </si>
  <si>
    <t xml:space="preserve">4.2.12. </t>
  </si>
  <si>
    <t xml:space="preserve">4.2.11. </t>
  </si>
  <si>
    <t>Girov predmetinin təsadüfən məhv olması, itirilməsi və ya təsadüfən zədələnməsi riskini daşımaq;</t>
  </si>
  <si>
    <t xml:space="preserve">4.2.10. </t>
  </si>
  <si>
    <t xml:space="preserve">2.2.4. </t>
  </si>
  <si>
    <t xml:space="preserve">2.2.3. </t>
  </si>
  <si>
    <t>Bu müqavilə tərəflərin imza və möhürü ilə təsdiq edildiyi andan hüquqi qüvvəyə minir. Müqavilənin hər hansı hissəsinin etibarsız hesab edilməsi, qalan hissələrinin etibarsızlığına səbəb olmur.</t>
  </si>
  <si>
    <t>6.2.</t>
  </si>
  <si>
    <t xml:space="preserve">2.2.2. </t>
  </si>
  <si>
    <t>Kredit verənin tələblərini ödədikdən sonra borcluya qarşı reqres tələbi irəli sürmək;</t>
  </si>
  <si>
    <t xml:space="preserve">2.2.1. </t>
  </si>
  <si>
    <t>6. DİGƏR ŞƏRTLƏR</t>
  </si>
  <si>
    <t>«Zamin»in hüquq və vəzifələri:</t>
  </si>
  <si>
    <t xml:space="preserve">2.2.  </t>
  </si>
  <si>
    <t>Birtərəfli qaydada aparılan dəyişikliklər hüquqi qüvvəyə malik deyil.</t>
  </si>
  <si>
    <t xml:space="preserve">5.3. </t>
  </si>
  <si>
    <t xml:space="preserve">2.1.3. </t>
  </si>
  <si>
    <t>Zaminliklə təmin edilmiş öhdəliyin icra edilməməsi barədə   «Zamin»ə məlumat vermək;</t>
  </si>
  <si>
    <t xml:space="preserve">2.1.2. </t>
  </si>
  <si>
    <t xml:space="preserve">5.2. </t>
  </si>
  <si>
    <t xml:space="preserve">Zaminliklə təmin edilmiş öhdəlik icra edilmədikdə və ya lazımınca icra edilmədikdə kredit məbləğinin, hesablanmış faizlərin, dəbbə pulunun və «Borc verən»in çəkmiş olduğu hər hansı digər xərc və zərərin bütünlüklə ödənilməsini  «Zamin»dən tələb etmək; </t>
  </si>
  <si>
    <t xml:space="preserve">2.1.1. </t>
  </si>
  <si>
    <t>«Borc verən»in hüquq və vəzifələri:</t>
  </si>
  <si>
    <t>5. MÜQAVİLƏNİN  MÜDDƏTİ VƏ ŞƏRTLƏRİNİN DƏYİŞDİRİLMƏSİ</t>
  </si>
  <si>
    <t>2. TƏRƏFLƏRİN HÜQUQ VƏ VƏZİFƏLƏRİ</t>
  </si>
  <si>
    <t>Razılaşma əldə edilmədikdə mübahisə Azərbaycan Respublikasının qüvvədə olan qanunvericiliyinə uyğun olaraq məhkəmə qaydasında həll edilir.</t>
  </si>
  <si>
    <t xml:space="preserve"> </t>
  </si>
  <si>
    <t>Bu müqavilə icra olunan müddət ərzində tərəflər arasında baş verən bütün mübahisələr qarşılıqlı danışıqlar yolu ilə həll edilir.</t>
  </si>
  <si>
    <t xml:space="preserve">1.4 </t>
  </si>
  <si>
    <t xml:space="preserve">Tərəflər bu müqavilədə nəzərdə tutulan öhdəliklərin yerinə yetirilməməsi və ya lazımı səviyyədə icra edilməməsi üçün Azərbaycan Respublikasının qüvvədə olan qanunvericiliyi ilə məsuliyyət daşıyırlar. </t>
  </si>
  <si>
    <t>4.1.</t>
  </si>
  <si>
    <t xml:space="preserve">1.3 </t>
  </si>
  <si>
    <t>4. MÜBAHİSƏLƏRİN HƏLLİ</t>
  </si>
  <si>
    <t xml:space="preserve">3.3. </t>
  </si>
  <si>
    <t xml:space="preserve">3.2.  </t>
  </si>
  <si>
    <t xml:space="preserve">2.3.3. </t>
  </si>
  <si>
    <t>Kredit müqaviləsi üzrə öhdəliklərin icra edilməsi barədə «Zamin»i məlumatlandırmaq;</t>
  </si>
  <si>
    <t xml:space="preserve">2.3.2. </t>
  </si>
  <si>
    <t>Kredit müqaviləsi üzrə öhdəliklərini vaxtında və lazımı qaydada icra etmək;</t>
  </si>
  <si>
    <t xml:space="preserve">2.3.1. </t>
  </si>
  <si>
    <t xml:space="preserve">2.3.  </t>
  </si>
  <si>
    <t xml:space="preserve">2.2.5. </t>
  </si>
  <si>
    <t>Cari balans</t>
  </si>
  <si>
    <t>Ödəniş</t>
  </si>
  <si>
    <t>Faiz məbləği</t>
  </si>
  <si>
    <t>Əsas məbləğ</t>
  </si>
  <si>
    <t>Ödənişin növü</t>
  </si>
  <si>
    <t>№</t>
  </si>
  <si>
    <t>Tarix</t>
  </si>
  <si>
    <t>Hazırladı:</t>
  </si>
  <si>
    <t>Məsləhətçi:</t>
  </si>
  <si>
    <t>Qeydiyyat nömrəsi:</t>
  </si>
  <si>
    <t>Hesab nömrəsi:</t>
  </si>
  <si>
    <t>Müddət:</t>
  </si>
  <si>
    <t>Faiz dərəcəsi:</t>
  </si>
  <si>
    <t>Məbləğ:</t>
  </si>
  <si>
    <t>Bu ödəniş cədvəli yuxarıda qeyd olunmuş kredit müqaviləsinin ayrılmaz tərkib hissəsidir.</t>
  </si>
  <si>
    <t>İmza:  ______________________________</t>
  </si>
  <si>
    <t>Tarix:   _____________________</t>
  </si>
  <si>
    <t>Bununla mən təsdiq edirəm ki, bu Anketdə verdiyim məlumatlar doğru və dəqiqdir.</t>
  </si>
  <si>
    <t xml:space="preserve">         Yox  </t>
  </si>
  <si>
    <t xml:space="preserve">         Hə,  </t>
  </si>
  <si>
    <t>Siz psixoloji və ya narkoloji dispanserində qeydiyyatdasınızmı?</t>
  </si>
  <si>
    <t xml:space="preserve">Məhkumluğunuz var   </t>
  </si>
  <si>
    <t>________________</t>
  </si>
  <si>
    <t xml:space="preserve">İstədiyiniz borc üçün nə kimi əmlak zəmanəti verə bilərsiniz? </t>
  </si>
  <si>
    <t xml:space="preserve">Kreditin təyinatı (məqsəd) </t>
  </si>
  <si>
    <t>Kreditin müddəti</t>
  </si>
  <si>
    <t xml:space="preserve">İstədiyiniz kredit məbləği </t>
  </si>
  <si>
    <t>Uşaqlar ____________</t>
  </si>
  <si>
    <t xml:space="preserve">Onların uşaqları varmı?  Varsa, onların sayı? </t>
  </si>
  <si>
    <t>Qadın ____________ Kişi_____________</t>
  </si>
  <si>
    <t>Çalışacaq işçilərin sayı</t>
  </si>
  <si>
    <t>Sizin biznesdə çalışan  işçilərin sayı</t>
  </si>
  <si>
    <t>_________</t>
  </si>
  <si>
    <t xml:space="preserve"> Kənd təsərrüfatı sahəsi üzrə o cümlədən mal-qara</t>
  </si>
  <si>
    <t>________</t>
  </si>
  <si>
    <t>Bu iş üçün özünüzün hansı şəxsi avadanlığınız var?</t>
  </si>
  <si>
    <t>Bu biznesinizlə neçə müddətdir ki məşğulsunuz?</t>
  </si>
  <si>
    <t xml:space="preserve">Mövcud öhdəliklər üzrə aylıq ödəniş </t>
  </si>
  <si>
    <t xml:space="preserve"> Kredit üzrə borc qalığı</t>
  </si>
  <si>
    <t>Borc haqqında məlumat:</t>
  </si>
  <si>
    <t>Təşkilatın və ya bankın adı</t>
  </si>
  <si>
    <t>         Xeyr</t>
  </si>
  <si>
    <t>         Bəli</t>
  </si>
  <si>
    <t xml:space="preserve">        Ödənişləri gecikdirmişdir:</t>
  </si>
  <si>
    <t>         Haradan ______________ Nə vaxt______________Məbləğ______________</t>
  </si>
  <si>
    <t>Kredit tarixi:</t>
  </si>
  <si>
    <t>         Bir dəfədən artıq kreditləşmişdi</t>
  </si>
  <si>
    <t>         Bir dəfə kreditləşmişdi</t>
  </si>
  <si>
    <t xml:space="preserve">         Bəli,  </t>
  </si>
  <si>
    <t>Əvvəllər kredit götürmüsünüzmü?</t>
  </si>
  <si>
    <t xml:space="preserve">Şəhadətnamə               o               </t>
  </si>
  <si>
    <t xml:space="preserve">Vergi müfəttişliyi tərəfindən </t>
  </si>
  <si>
    <t xml:space="preserve">Şəhadətnamə               o  </t>
  </si>
  <si>
    <t xml:space="preserve">Qeydiyyat orqanı tərəfindən </t>
  </si>
  <si>
    <t xml:space="preserve">  Digər                                                 </t>
  </si>
  <si>
    <t xml:space="preserve">  Metal istehsalı                                                </t>
  </si>
  <si>
    <t xml:space="preserve">  Plastik məmulatları</t>
  </si>
  <si>
    <t>o Fərdi</t>
  </si>
  <si>
    <t>o Qrup</t>
  </si>
  <si>
    <t>o Aid olmayan</t>
  </si>
  <si>
    <t>Biznesin növü</t>
  </si>
  <si>
    <t>Kiçik müəssisənin ( biznesin ) təsviri</t>
  </si>
  <si>
    <t>Müştəri ilə əlaqə</t>
  </si>
  <si>
    <t>İş yeri haqqında məlumat  (iş yerinin adı, ünvanı və telefon nömrəsi)</t>
  </si>
  <si>
    <t>oOrta     oNatamam orta    oOrta ixtisas      oNatamam ali     o Ali</t>
  </si>
  <si>
    <t>Təhsiliniz</t>
  </si>
  <si>
    <t>Rayon ____________qəs.___________küçə_____________bina____mənz. ___</t>
  </si>
  <si>
    <t>Qeydiyyat ünvanı</t>
  </si>
  <si>
    <t xml:space="preserve">  Uşaq ______</t>
  </si>
  <si>
    <t xml:space="preserve">  Qadın ____  </t>
  </si>
  <si>
    <t xml:space="preserve">  Kişi ______ </t>
  </si>
  <si>
    <t>Ailə tərkibi</t>
  </si>
  <si>
    <t>         Subay</t>
  </si>
  <si>
    <t>         Yerli</t>
  </si>
  <si>
    <t>         Ailəli</t>
  </si>
  <si>
    <t xml:space="preserve">         Məcburi köçkün </t>
  </si>
  <si>
    <t>Şəxsi məlumat</t>
  </si>
  <si>
    <t xml:space="preserve">         o gözlənilir            </t>
  </si>
  <si>
    <t xml:space="preserve">         o çəkmiş        </t>
  </si>
  <si>
    <t xml:space="preserve">         o azad</t>
  </si>
  <si>
    <t xml:space="preserve">        Hərbi mükəlləfiyətiniz     </t>
  </si>
  <si>
    <t>Təvəllüdünüz</t>
  </si>
  <si>
    <t>Şəxsiyyət vəsiqəsi Seriya AZE №________________tərəfindən_____________ tarixdə verilmişdir________</t>
  </si>
  <si>
    <t>Şəxsiyyətinizi təsdiq edən sənəd</t>
  </si>
  <si>
    <t>Vətəndaşlıq:</t>
  </si>
  <si>
    <t>Doğulduğu yer:</t>
  </si>
  <si>
    <t>Doğulduğu tarix:</t>
  </si>
  <si>
    <t xml:space="preserve">          </t>
  </si>
  <si>
    <t>Tələb olunan məlumatı verməyiniz xahiş olunur:</t>
  </si>
  <si>
    <t>A N K E T</t>
  </si>
  <si>
    <r>
      <rPr>
        <sz val="12"/>
        <rFont val="Times New Roman"/>
        <family val="1"/>
      </rPr>
      <t>"</t>
    </r>
    <r>
      <rPr>
        <u/>
        <sz val="12"/>
        <rFont val="Times New Roman"/>
        <family val="1"/>
      </rPr>
      <t xml:space="preserve">        </t>
    </r>
    <r>
      <rPr>
        <sz val="12"/>
        <rFont val="Times New Roman"/>
        <family val="1"/>
      </rPr>
      <t>"</t>
    </r>
    <r>
      <rPr>
        <u/>
        <sz val="12"/>
        <rFont val="Times New Roman"/>
        <family val="1"/>
      </rPr>
      <t xml:space="preserve">                                      </t>
    </r>
    <r>
      <rPr>
        <sz val="12"/>
        <rFont val="Times New Roman"/>
        <family val="1"/>
      </rPr>
      <t>20___</t>
    </r>
  </si>
  <si>
    <t>(adı, atasının adı, soyadı)</t>
  </si>
  <si>
    <t>Hörmətlə,</t>
  </si>
  <si>
    <t>kredit verməyinizi xahiş edirəm.</t>
  </si>
  <si>
    <t>məbləğində</t>
  </si>
  <si>
    <t xml:space="preserve">qızıl-zinət, ev əşyaları və ya zaminlik təminatı altında </t>
  </si>
  <si>
    <t xml:space="preserve">ay müddətinə şəxsi biznesimin inkişaf etdirmək məqsədi  üçün </t>
  </si>
  <si>
    <t>Sizdən</t>
  </si>
  <si>
    <t>Ə R İ Z Ə</t>
  </si>
  <si>
    <t xml:space="preserve">tərəfindən </t>
  </si>
  <si>
    <t>ünvanda yaşayan,</t>
  </si>
  <si>
    <t>cü</t>
  </si>
  <si>
    <t>ci</t>
  </si>
  <si>
    <t>cu</t>
  </si>
  <si>
    <t>9</t>
  </si>
  <si>
    <t>Dekabr</t>
  </si>
  <si>
    <t>cı</t>
  </si>
  <si>
    <t>8</t>
  </si>
  <si>
    <t>Noyabr</t>
  </si>
  <si>
    <t>7</t>
  </si>
  <si>
    <t>Oktyabr</t>
  </si>
  <si>
    <t>6</t>
  </si>
  <si>
    <t>Sentyabr</t>
  </si>
  <si>
    <t>5</t>
  </si>
  <si>
    <t>Avqust</t>
  </si>
  <si>
    <t>4</t>
  </si>
  <si>
    <t>İyul</t>
  </si>
  <si>
    <t>3</t>
  </si>
  <si>
    <t>İyun</t>
  </si>
  <si>
    <t>2</t>
  </si>
  <si>
    <t>May</t>
  </si>
  <si>
    <t>1</t>
  </si>
  <si>
    <t>Aprel</t>
  </si>
  <si>
    <t>0</t>
  </si>
  <si>
    <t>Mart</t>
  </si>
  <si>
    <t>Fevral</t>
  </si>
  <si>
    <t>Yanvar</t>
  </si>
  <si>
    <t>Kreditci</t>
  </si>
  <si>
    <t>USD</t>
  </si>
  <si>
    <t>ABŞ</t>
  </si>
  <si>
    <t>manat</t>
  </si>
  <si>
    <t>AZN</t>
  </si>
  <si>
    <t>qızı</t>
  </si>
  <si>
    <t>Pul Tipi</t>
  </si>
  <si>
    <t>Cins</t>
  </si>
  <si>
    <t>doxsan</t>
  </si>
  <si>
    <t>doqquz</t>
  </si>
  <si>
    <t>səksən</t>
  </si>
  <si>
    <t>səkkiz</t>
  </si>
  <si>
    <t>yetmiş</t>
  </si>
  <si>
    <t>yeddi</t>
  </si>
  <si>
    <t>altmış</t>
  </si>
  <si>
    <t>altı</t>
  </si>
  <si>
    <t>əlli</t>
  </si>
  <si>
    <t>beş</t>
  </si>
  <si>
    <t>qırx</t>
  </si>
  <si>
    <t>dörd</t>
  </si>
  <si>
    <t>otuz</t>
  </si>
  <si>
    <t>üç</t>
  </si>
  <si>
    <t>iyirmi</t>
  </si>
  <si>
    <t>iki</t>
  </si>
  <si>
    <t>on</t>
  </si>
  <si>
    <t>bir</t>
  </si>
  <si>
    <t>Güzəşt müddəti</t>
  </si>
  <si>
    <t>Siğorta</t>
  </si>
  <si>
    <t>İllik Faiz Dərəcəsi</t>
  </si>
  <si>
    <t>Kredit müddəti</t>
  </si>
  <si>
    <t>Nüsxə</t>
  </si>
  <si>
    <t>milyon</t>
  </si>
  <si>
    <t>min</t>
  </si>
  <si>
    <t>yüz</t>
  </si>
  <si>
    <t>Girovun məbləği</t>
  </si>
  <si>
    <t>Kreditin məbləği</t>
  </si>
  <si>
    <t>Müqavilə bitme tarixi</t>
  </si>
  <si>
    <t>Müqavilənin baslama tarixi</t>
  </si>
  <si>
    <t>Borrower of 61-65 years old:
Total insurance fee, % of loan amount</t>
  </si>
  <si>
    <t>61-65</t>
  </si>
  <si>
    <t>18-60</t>
  </si>
  <si>
    <t>Loan term in months in Column A means as follows</t>
  </si>
  <si>
    <t>IRR</t>
  </si>
  <si>
    <t>comission fee</t>
  </si>
  <si>
    <t>yas</t>
  </si>
  <si>
    <t>muddet (ay)</t>
  </si>
  <si>
    <t>faiz (illik)</t>
  </si>
  <si>
    <t>Initial amount</t>
  </si>
  <si>
    <t>mebleg</t>
  </si>
  <si>
    <t>payment (with insurance:18-60)</t>
  </si>
  <si>
    <t xml:space="preserve">life insurance </t>
  </si>
  <si>
    <t>payment (without insurance)</t>
  </si>
  <si>
    <t>principal</t>
  </si>
  <si>
    <t>interest</t>
  </si>
  <si>
    <t>qaliq</t>
  </si>
  <si>
    <t>period</t>
  </si>
  <si>
    <t>ONLY USE YELLOW CELLS, most of empty cells are included with formulas</t>
  </si>
  <si>
    <t>Zinət əşyalarının saxlandiqi yer</t>
  </si>
  <si>
    <t>Zərgər</t>
  </si>
  <si>
    <t>Yekun</t>
  </si>
  <si>
    <t>Qiyməti</t>
  </si>
  <si>
    <t>Qiymətli daşın adı</t>
  </si>
  <si>
    <t>Əyyarı (karat)</t>
  </si>
  <si>
    <t>Çəkisi (qr.)</t>
  </si>
  <si>
    <t>SAYI (əd)</t>
  </si>
  <si>
    <t>Girova Əlavələr Zinət əşyaları</t>
  </si>
  <si>
    <t>Birgə mülkiyyətçi1</t>
  </si>
  <si>
    <t>Qəbul edilmiş qiymət</t>
  </si>
  <si>
    <t>Real bazar qiyməti</t>
  </si>
  <si>
    <t>Rəngi</t>
  </si>
  <si>
    <t>Vəziyyəti</t>
  </si>
  <si>
    <t>Girova Əlavələr Ev</t>
  </si>
  <si>
    <t>Ş/vəsiqəsi</t>
  </si>
  <si>
    <t>Rəhimli</t>
  </si>
  <si>
    <t>Rahim</t>
  </si>
  <si>
    <t>Əziz</t>
  </si>
  <si>
    <t>ƏLAVƏ № 1</t>
  </si>
  <si>
    <t>ABŞ dolları</t>
  </si>
  <si>
    <t>Azərbaycan Beynəlxalq Bankı ASC-nin İmişli filialı</t>
  </si>
  <si>
    <t>Girov saxlayan:______________________________</t>
  </si>
  <si>
    <t>Girov qoyan:____________________________________</t>
  </si>
  <si>
    <t>VƏ QAYTARILMASI ŞƏRTLƏRİ</t>
  </si>
  <si>
    <t>4. TƏRƏFLƏRİN HÜQUQ VƏ VƏZİFƏLƏRİ</t>
  </si>
  <si>
    <t>Tərəflər bu müqaviləni imzalamaqla müqavilə mətnini diqqətlə oxuduqlarını, onun məzmununu tam dərk etdiklərini, onun şərtləri ilə tam şəkildə razı olduqlarını və müqavilədə nəzərdə tutulan hüquq və vəzifələri qəbul etdiklərini təsdiq edirlər.</t>
  </si>
  <si>
    <t>Kredit müddəti yari</t>
  </si>
  <si>
    <t>Girov predmeti məhv olduqda və ya zədələndikdə, girov predmetinə olan mülkiyyət hüququna xitam verildikdə «Girov qoyan» girov predmetini bərpa etmək və ya eyni dəyərli başqa əmlakla əvəz etmək;</t>
  </si>
  <si>
    <t>7. MÜBAHİSƏLƏRİN HƏLLİ QAYDASI</t>
  </si>
  <si>
    <t>Girov qoyulan zinət əşyalarının spesifikasiyası.</t>
  </si>
  <si>
    <t>«Girov qoyan» girov predmetinin əvəz edilməsi ilə bağlı bu müqavilənin şərtlərini pozduqda girovla təmin edilmiş öhdəliyin vaxtından əvvəl icrasını tələb etmək;</t>
  </si>
  <si>
    <t>«Girov qoyan» tərəfindən kredit müqaviləsi üzrə öhdəliklər tam şəkildə yerinə yetirildiyi təqdirdə  «Girov qoyan»ın yazılı müraciəti əsasında girov münasibətlərinə xitam verilməsi barədə ona yazılı sənəd vermək;</t>
  </si>
  <si>
    <t>«Girov qoyan» kredit müqaviləsi ilə öz üzərinə götürdüyü müqavilə öhdəliklərini vaxtından əvvəl yerinə yetirmək hüququna malikdir;</t>
  </si>
  <si>
    <t xml:space="preserve">Bu müqavilə hər iki tərəfin imzalandığı andan qüvvəyə minir və tərəflərin kredit müqaviləsi ilə üzərlərinə götürdükləri öhdəliklərin tam yerinə yetirilməsinə qədər qüvvədədir. </t>
  </si>
  <si>
    <t>Bu müqaviləyə əlavə və dəyişikliklər tərəflərin razılığı ilə yazılı formada aparılmalıdır. Belə əlavə və dəyişikliklər müqavilənin ayrılmaz hissəsi hesab edilir.</t>
  </si>
  <si>
    <t>Bu müqavilə qüvvədə olduğu müddətdə tərəflərin razılığı ilə dəyişdirilə və əlavələr edilə bilər. Dəyişikliklər və əlavələr hər bir tərəfin imzası olduğu halda qüvvəyə minir.</t>
  </si>
  <si>
    <t>Soyadı, аdı və  аtаsının аdı</t>
  </si>
  <si>
    <t>Soyadı, adı dəyişilib?
(əvvəlki məlumatı qeyd edin, dəyişmənin səbəbini və yerini göstərin)</t>
  </si>
  <si>
    <t>Kreditin və onun faizlərinin vaxtlı-vaxtında ödənilməsinə zəmanət verirəm.</t>
  </si>
  <si>
    <t>4.2.9.</t>
  </si>
  <si>
    <t>Bu müqavilə imzalandığı andan qüvvəyə minir. Müqavilənin hər hansı hissəsinin etibarsız hesab edilməsi, qalan hissələrinin etibarsızlığına səbəb olmur.</t>
  </si>
  <si>
    <t>«Girov saxlayan»ın yazılı razılığı olmadan girov predmetinin saxlanıldığı yeri dəyişdirməmək və ya girov predmetində onun bu müqavilə ilə müəyyən edilmiş dəyərinə təsir edə biləcək hər-hansı dəyişikliklər etməmək;</t>
  </si>
  <si>
    <t xml:space="preserve">Bu müqavilənin şərtlərinə uyğun olaraq girovun saxlanılma yeri bu müqavilənin ayrılmaz hissəsini təşkil edən əlavədə göstərilib. </t>
  </si>
  <si>
    <t>Girov predmeti  «Girov qoyan»ın mülkiyyətindən bu müqavilənin müddəalarına uyğun olmayaraq çıxdıqda  «Girov saxlayan»ın tələblərinin ödənilməsi üçün tutma girov qoyulmuş əmlaka yönəldilir.</t>
  </si>
  <si>
    <t>Bu müqavilədən irəli gələn və həlli bu müqavilə ilə müəyyən edilməmiş halların tənzimlənməsi zamanı Azərbaycan Respublikasının qanunvericiliyi əsas götürüləcəkdir.</t>
  </si>
  <si>
    <t>Yaşadığı ünvanı dəyişərsə 10 (on) gün müddətində  «Borc verən»ə yazılı şəkildə məlumat vermək.</t>
  </si>
  <si>
    <t>«Zamin»ə qarşı iddia qaldırıldığı halda onunla birlikdə işdə iştirak etmək.</t>
  </si>
  <si>
    <t>3. TƏRƏFLƏRİN MƏSULİYYƏTİ</t>
  </si>
  <si>
    <t>«Borc alan»ın maliyyə vəziyyəti müqavilə bağlanmazdan əvvəl pisləşdikdə və bu hal «Borc verən»ə yalnız müqavilə bağlandıqdan sonra məlum olduqda;</t>
  </si>
  <si>
    <t xml:space="preserve"> «Borc alan»ın mühasibat sənədləri və fəaliyyəti barədə məlumat almaq;</t>
  </si>
  <si>
    <t>«Borc alan» müqavilənin şərtlərinə əməl etmədikdə bu müqavilə və qanunvericilikdə nəzərdə tutulmuş tədbirlərə əl atmaq;</t>
  </si>
  <si>
    <t>Borc alan:____________________________________</t>
  </si>
  <si>
    <t>«Borc alan»ın hüquqları:</t>
  </si>
  <si>
    <t xml:space="preserve"> «Borc alan»ın vəzifələri:</t>
  </si>
  <si>
    <t>«Borc verən» bu müqavilə üzrə üzərinə götürdüyü vəzifələri icra etmədikdə «Borc alan»a vurulan zərərə görə məsuliyyət daşıyır.</t>
  </si>
  <si>
    <t>Bu müqavilə Azərbaycan dilində 2 (iki)  nüsxədə tərtib olunmuşdur. Hər bir nüsxə eyni hüquqi qüvvəyə malikdir. Müqavilənin 1 (bir) nüsxəsi «Borc verən»də, digər nüsxsi isə  «Borc alan»da qalır.</t>
  </si>
  <si>
    <t xml:space="preserve">Borc öhdəliyinin icra edilməsinin vaxtından əvvəl tələb edilməsi barədə «Borc verən» «Borc alan»ı yazılı surətdə xəbərdar etdikdən 5 (beş) gün müddətində «Borc alan» borc öhdəliyini qeyd şərtsiz icra etməlidir. </t>
  </si>
  <si>
    <t>Bu müqavilənin 1.2 bəndində göstərilən məbləğdə krediti müqavilə ilə müəyyən edilmiş qaydada «Borc alan»a vermək;</t>
  </si>
  <si>
    <t xml:space="preserve">«Borc alan»ın tələbi əsasında onun hesabı üzrə aparılmış əməliyyatlar barəsində ona arayış vermək; </t>
  </si>
  <si>
    <t>Kredit borcu «Borc alan» tərəfindən müqavilə şərtlərinə uyğun tərzdə qaytarıldığı halda, onu qəbul etmək.</t>
  </si>
  <si>
    <t>Qanunla «Borc alan»a aid edilmiş digər hüquqlara malik olmaq;</t>
  </si>
  <si>
    <t>Əlverişsiz şəraitin yaranması nəticəsində «Borc alan»ın lazımi qaydada borcu ödəmək qabiliyyəti olmadıqda;</t>
  </si>
  <si>
    <t>Üçüncü şəxslər tərəfindən «Borc alan»ın bütün əmlakı, yaxud onun əhəmiyyətli bir hissəsi barəsində məhkəmə mübahisəsi başlandıqda;</t>
  </si>
  <si>
    <t>«Borc alan» bu müqavilənin 1.3-cü bəndində göstərilən kredit müqaviləsi üzrə götürdüyü öhdəliyi icra etmədikdə və ya lazımınca icra etmədikdə  «Zamin» «Borc alan»la birgə məsuliyyət daşımağı, həmin kredit öhdəliyini tamamilə icra etməyi öhdəsinə götürür.</t>
  </si>
  <si>
    <t>«Borc alan» tərəfindən kredit müqaviləsi üzrə öhdəlik  icra edilmədikdə və ya lazımınca icra edilmədiyi halda «Borc verən» həm  «Borc alan»a, həm də  «Zamin»ə qarşı öz tələbini irəli sürə bilər.</t>
  </si>
  <si>
    <t>Zaminliklə təmin edilmiş öhdəlik  «Zamin» tərəfindən tamamilə icra edildikdən sonra «Borc alan»a qarşı tələbi təsdiqləyən sənədləri  «Zamin»in tələbi ilə ona təqdim etmək;</t>
  </si>
  <si>
    <t>Kredit verənin tələbini icra edənədək bu barədə  «Borc alan»a xəbərdar etmək;</t>
  </si>
  <si>
    <t>Ona qarşı iddia irəli sürüldüyü halda  «Borc alan»ı işdə iştirak etməyə cəlb etmək;</t>
  </si>
  <si>
    <t>«Borc alan»ın hüquq və vəzifələri:</t>
  </si>
  <si>
    <t xml:space="preserve">Tərəflər razılaşırlar ki,  «Borc alan»  öhdəliklərini icra etmədikdə və ya lazımınca icra etmədikdə  «Zamin» və  «Borc alan»  «Borc verən» qaşısında birgə məsuliyyət daşıyırlar. </t>
  </si>
  <si>
    <t>Bu müqavilə üzrə  «Zamin»  «Borc verən»in tələbinə qarşı  «Borc alan»ın  irəli sürə biləcəyi etirazları irəli sürmək hüququna malik deyil.</t>
  </si>
  <si>
    <t>Bu müqavilə hər iki tərəfin imzaladığı tarixdən qüvvəyə minir və bu müqavilənin 1.3-cü bəndində göstərilən kredit müqaviləsi üzrə  «Borc alan» «Borc verən» qarşısında öz öhdəliyini tamamilə icra edənədək qüvvədədir.</t>
  </si>
  <si>
    <t xml:space="preserve">Borc alan: </t>
  </si>
  <si>
    <t>Sayı:</t>
  </si>
  <si>
    <t>Girov qoyulmuş əmlakın mövcudluğunu, miqdarını, vəziyyətini və saxlama şəraitini sənədlər üzrə faktik olaraq yerində yoxlamaq;</t>
  </si>
  <si>
    <t>ç)</t>
  </si>
  <si>
    <t xml:space="preserve">d) </t>
  </si>
  <si>
    <t>e)</t>
  </si>
  <si>
    <t>ə)</t>
  </si>
  <si>
    <t xml:space="preserve">f) </t>
  </si>
  <si>
    <t xml:space="preserve">4.4.6. </t>
  </si>
  <si>
    <t xml:space="preserve">Girov predmetinin üçüncü şəxslərin tələblərindən müdafiə edilməsi üçün </t>
  </si>
  <si>
    <t>zəruri olan tədbirlər görmək;</t>
  </si>
  <si>
    <t>10. TƏRƏFLƏRİN REKVİZİTLƏRİ VƏ İMZALARI</t>
  </si>
  <si>
    <t>Kreditdən məqsədli təyinatına uyğun tam istifadə edilmədikdə;</t>
  </si>
  <si>
    <t>Girov predmeti məhv olduqda və ya zədələndikdə yaxud girov predmetinə olan mülkiyyət hüququna xitam verildikdə.</t>
  </si>
  <si>
    <t>8. MÜQAVİLƏNİN QÜVVƏDƏ OLMA MÜDDƏTİ VƏ 
DƏYİŞDİRİLMƏSİ QAYDASI</t>
  </si>
  <si>
    <t xml:space="preserve">Kredit məlumatlarının alınmasına dair </t>
  </si>
  <si>
    <t>razılıq ərizəsi</t>
  </si>
  <si>
    <t>Tarix: _______________</t>
  </si>
  <si>
    <t>Fiziki şəxs:</t>
  </si>
  <si>
    <t>Adı, Soyadı, Atasının adı: ____________________________________________</t>
  </si>
  <si>
    <t>VÖEN-i (olduqda): ________________________</t>
  </si>
  <si>
    <t xml:space="preserve">Ödəmə qabiliyyətinin yoxlanılması üçün Azərbaycan Respublikası Mərkəzi Bankının Mərkəzləşdirilmiş Kredit Reyestrindən haqqında olan bütün məlumatların alınmasına  razılıq  verirəm. </t>
  </si>
  <si>
    <t xml:space="preserve">Razılıq verilən bank və ya BOKT-nin: </t>
  </si>
  <si>
    <t>Adı: ________________________________________________________________</t>
  </si>
  <si>
    <t>Bu razılıq kredit alındığı halda yaranmış öhdəliyə xitam verilənədək qüvvədədir və geri götürülməyəcəkdir.</t>
  </si>
  <si>
    <t>Əlavə 5</t>
  </si>
  <si>
    <t>Şəxsiyyəti təsdiq edən sənədin seriyası və nömrəsi: ______________________________</t>
  </si>
  <si>
    <t>İmza: ____________________</t>
  </si>
  <si>
    <t>Zaminin1</t>
  </si>
  <si>
    <t>Zaminin2</t>
  </si>
  <si>
    <t>Zaminin3</t>
  </si>
  <si>
    <t>1-ci Zamin Haqqında</t>
  </si>
  <si>
    <t>2-ci Zamin Haqqında</t>
  </si>
  <si>
    <t>3-ci Zamin Haqqında</t>
  </si>
  <si>
    <t>Siğorta məbləği</t>
  </si>
  <si>
    <t>«Borcalan» və ya onun xeyrinə üçüncü şəxs tərəfindən ödənilən ödəniş birinci növbədə dəbbə pulunun (cərimə), ikinci növbədə kredit faizlərinin və üçüncü növbədə kredit məbləğinin ödənilməsinə yönəldilir.</t>
  </si>
  <si>
    <t>Siğorta şöbələri</t>
  </si>
  <si>
    <t>Əmlakın növü</t>
  </si>
  <si>
    <t>Müqavilənin tarixi</t>
  </si>
  <si>
    <t>16 oktyabr 2012-ci</t>
  </si>
  <si>
    <t>Müqavilənin nömrəsi</t>
  </si>
  <si>
    <t>09 iyun 2014-cü</t>
  </si>
  <si>
    <t>Səhhətiniz ilə əlaqədar məlumat</t>
  </si>
  <si>
    <t>Yuxarıda bildirdiyim məlumatlar haqqında həkimlərdən, tibb müəssisələrindən və ya digər şəxslərdən yaxud təşkilatlardan sağlamlıq vəziyyətim barədə istənilən yazılı sənədləri əldə etmək üçün  BOKT VF AzərKredit MMC-nin əməkdaşlıq etdiyi müvafiq sığorta şirkətinə səlahiyyət verirəm.</t>
  </si>
  <si>
    <t>Lisenziya                    o</t>
  </si>
  <si>
    <t>Azərkredit MMC-nin</t>
  </si>
  <si>
    <r>
      <rPr>
        <b/>
        <sz val="9"/>
        <rFont val="Times New Roman"/>
        <family val="1"/>
      </rPr>
      <t>Biznesin qeydiyyatı:</t>
    </r>
    <r>
      <rPr>
        <b/>
        <i/>
        <sz val="9"/>
        <rFont val="Times New Roman"/>
        <family val="1"/>
      </rPr>
      <t xml:space="preserve"> Qeyd  :  </t>
    </r>
    <r>
      <rPr>
        <i/>
        <sz val="9"/>
        <rFont val="Times New Roman"/>
        <family val="1"/>
      </rPr>
      <t>Əgər Biznes Qeydiyyatdan  keçmişsə və aşağıda göstərilən sənədlərin mövcudluğu qeyd edilərsə,həmin sənədlərin əsli tələb olunacaq</t>
    </r>
    <r>
      <rPr>
        <b/>
        <i/>
        <sz val="9"/>
        <rFont val="Times New Roman"/>
        <family val="1"/>
      </rPr>
      <t xml:space="preserve"> </t>
    </r>
  </si>
  <si>
    <t>o İstehsal/satış              oTicarət/satış                           o Xidmət                      o K/ T</t>
  </si>
  <si>
    <t xml:space="preserve">  Ərzaq/tərəvəz                Ərzaq                                      Ərzaq                            Ərzaq                          </t>
  </si>
  <si>
    <t xml:space="preserve">  Geyim Əşyaları             Geyim Əşyaları                      Geyim Əşyaları             Quşçuluq/toyuq</t>
  </si>
  <si>
    <t xml:space="preserve">  Istehsalı                         Gündəlik tələbat                      Nəqliyyat                      Südçülük</t>
  </si>
  <si>
    <t xml:space="preserve">  Ağac emalı                     Topdan satış                           Maliyyə xidmətləri        Heyvandarlıq</t>
  </si>
  <si>
    <t xml:space="preserve">  Quşçuluq/yumurta         Digər                                      Tibbi xidmətləri              Arıçılıq                                                                                                                                                                                                            istehsalı                                                                           Digər                              Digər</t>
  </si>
  <si>
    <t>Hazırki ünvanı</t>
  </si>
  <si>
    <t>Əvvəlki ünvanı</t>
  </si>
  <si>
    <t>Biznes ünvanı</t>
  </si>
  <si>
    <t>Yaşadığı Ünvan</t>
  </si>
  <si>
    <t>Qeydiy.Ünvan</t>
  </si>
  <si>
    <t>Filiallar</t>
  </si>
  <si>
    <t>Quba</t>
  </si>
  <si>
    <t>Qobustan</t>
  </si>
  <si>
    <t>Ucar</t>
  </si>
  <si>
    <t>Astara</t>
  </si>
  <si>
    <t>Lerik</t>
  </si>
  <si>
    <t>Samux</t>
  </si>
  <si>
    <t>Yevlax</t>
  </si>
  <si>
    <t>Zərdab</t>
  </si>
  <si>
    <t>Ağdaş</t>
  </si>
  <si>
    <t>Masallı</t>
  </si>
  <si>
    <t>Qovlar</t>
  </si>
  <si>
    <t>Ağsu</t>
  </si>
  <si>
    <t>Zaqatala</t>
  </si>
  <si>
    <t>Sabunçu</t>
  </si>
  <si>
    <t>Hacıqabul</t>
  </si>
  <si>
    <t>Şamaxı</t>
  </si>
  <si>
    <t>Qusar</t>
  </si>
  <si>
    <t>Kürdəmir</t>
  </si>
  <si>
    <t>Neftçala</t>
  </si>
  <si>
    <t>Yardımlı</t>
  </si>
  <si>
    <t>Lənkəran</t>
  </si>
  <si>
    <t>Balakən</t>
  </si>
  <si>
    <t>Qax</t>
  </si>
  <si>
    <t>Şəki</t>
  </si>
  <si>
    <t>Oğuz</t>
  </si>
  <si>
    <t>Qəbələ</t>
  </si>
  <si>
    <t>Ağcabədi</t>
  </si>
  <si>
    <t xml:space="preserve">Ağdam </t>
  </si>
  <si>
    <t xml:space="preserve">Aşağı Ağcakənd </t>
  </si>
  <si>
    <t xml:space="preserve">Bakı </t>
  </si>
  <si>
    <t>Bala-Bəhmənli</t>
  </si>
  <si>
    <t xml:space="preserve">Bərdə </t>
  </si>
  <si>
    <t xml:space="preserve">Beyləqan </t>
  </si>
  <si>
    <t xml:space="preserve">Biləsuvar </t>
  </si>
  <si>
    <t xml:space="preserve">Cəlilabad </t>
  </si>
  <si>
    <t xml:space="preserve">Gədəbəy </t>
  </si>
  <si>
    <t xml:space="preserve">Gəncə </t>
  </si>
  <si>
    <t xml:space="preserve">Gəncə-Kəpəz </t>
  </si>
  <si>
    <t xml:space="preserve">Goranboy </t>
  </si>
  <si>
    <t xml:space="preserve">Göyçay </t>
  </si>
  <si>
    <t xml:space="preserve">Göygöl </t>
  </si>
  <si>
    <t xml:space="preserve">Həzi Aslanov </t>
  </si>
  <si>
    <t xml:space="preserve">Horadiz </t>
  </si>
  <si>
    <t xml:space="preserve">İmişli </t>
  </si>
  <si>
    <t xml:space="preserve">İsmayıllı </t>
  </si>
  <si>
    <t xml:space="preserve">Lökbatan </t>
  </si>
  <si>
    <t xml:space="preserve">Mərdəkan </t>
  </si>
  <si>
    <t xml:space="preserve">Mingəçevir </t>
  </si>
  <si>
    <t xml:space="preserve">Qaradağ </t>
  </si>
  <si>
    <t xml:space="preserve">Qazax </t>
  </si>
  <si>
    <t xml:space="preserve">Saatlı </t>
  </si>
  <si>
    <t xml:space="preserve">Sabirabad </t>
  </si>
  <si>
    <t xml:space="preserve">Şabran </t>
  </si>
  <si>
    <t xml:space="preserve">Salyan </t>
  </si>
  <si>
    <t xml:space="preserve">Şəmkir </t>
  </si>
  <si>
    <t xml:space="preserve">Sumqayıt </t>
  </si>
  <si>
    <t xml:space="preserve">Tərtər </t>
  </si>
  <si>
    <t xml:space="preserve">Tovuz </t>
  </si>
  <si>
    <t xml:space="preserve">Xaçmaz </t>
  </si>
  <si>
    <t>Komisyon haqqı:</t>
  </si>
  <si>
    <t>Komission haqqi</t>
  </si>
  <si>
    <t>Üzük</t>
  </si>
  <si>
    <t>Cinsi</t>
  </si>
  <si>
    <t>AZE №</t>
  </si>
  <si>
    <t>Valyuta</t>
  </si>
  <si>
    <t>Rayonlar</t>
  </si>
  <si>
    <t>«Vijn Fond Azərkredit» MMC</t>
  </si>
  <si>
    <t>RPŞ</t>
  </si>
  <si>
    <t>ŞPŞ</t>
  </si>
  <si>
    <t>Model</t>
  </si>
  <si>
    <t>ADI
Növü                             Model</t>
  </si>
  <si>
    <t>Sep</t>
  </si>
  <si>
    <t>Qolbağı</t>
  </si>
  <si>
    <t>Sünbül</t>
  </si>
  <si>
    <t>Xaç</t>
  </si>
  <si>
    <t>Güllü</t>
  </si>
  <si>
    <t>-</t>
  </si>
  <si>
    <r>
      <t xml:space="preserve">ADI
Əşyaların və                       Modeli
ya heyvanların                                  </t>
    </r>
    <r>
      <rPr>
        <b/>
        <sz val="12"/>
        <color rgb="FF00B0F0"/>
        <rFont val="Times New Roman"/>
        <family val="1"/>
      </rPr>
      <t>.</t>
    </r>
  </si>
  <si>
    <t>Zinət əşyalarının saxlandıqı yer</t>
  </si>
  <si>
    <t>biznes avadanlıqları</t>
  </si>
  <si>
    <t>ev əşyaları</t>
  </si>
  <si>
    <t>ev heyvanları</t>
  </si>
  <si>
    <t>ev əşyaları və heyvanları</t>
  </si>
  <si>
    <t>Zinət əşyalarının məbləği:</t>
  </si>
  <si>
    <t>S.S</t>
  </si>
  <si>
    <t>Rəhbərliyə Aid olan hissə</t>
  </si>
  <si>
    <t>Kredit Mütəxəssislərinə aid olan hissə</t>
  </si>
  <si>
    <t>SVSeriasi</t>
  </si>
  <si>
    <t>SVVerRayon</t>
  </si>
  <si>
    <t>SVVerYer</t>
  </si>
  <si>
    <t>RayonSheher</t>
  </si>
  <si>
    <t>KuchKendQes</t>
  </si>
  <si>
    <t>Eshyalar</t>
  </si>
  <si>
    <t>Veziyyet</t>
  </si>
  <si>
    <t>Rengi</t>
  </si>
  <si>
    <t>GirovaElave</t>
  </si>
  <si>
    <t>QizilEshyalari</t>
  </si>
  <si>
    <t>QizilEshyaNovu</t>
  </si>
  <si>
    <t>QiymetliDashinAdi</t>
  </si>
  <si>
    <t>ValyutaSozle</t>
  </si>
  <si>
    <t>Gəncə-Kəpəz</t>
  </si>
  <si>
    <t>Asan-Gəncə</t>
  </si>
  <si>
    <t>Xanlar</t>
  </si>
  <si>
    <t>Göygöl</t>
  </si>
  <si>
    <t>Saatlı</t>
  </si>
  <si>
    <t>Daşkəsən</t>
  </si>
  <si>
    <t>Naftalan</t>
  </si>
  <si>
    <t>RPİ</t>
  </si>
  <si>
    <t>ŞPİ</t>
  </si>
  <si>
    <t>Gəncə şəh.,</t>
  </si>
  <si>
    <t>Samux ray.,</t>
  </si>
  <si>
    <t>Kəlbəcər ray.,</t>
  </si>
  <si>
    <t>Cəbrayıl ray.,</t>
  </si>
  <si>
    <t>Göygöl ray.,</t>
  </si>
  <si>
    <t>Xocalı ray.,</t>
  </si>
  <si>
    <t>Baş kredit mütəxəssisi</t>
  </si>
  <si>
    <t>Kiçik kredit mütəxəssisi</t>
  </si>
  <si>
    <t>Tv</t>
  </si>
  <si>
    <t>İcraçı kodu</t>
  </si>
  <si>
    <t>Kredit müqaviləsinin müddətinin bitməsi və ya müqaviləyə xitam verilməsi «Borc alan»ı  «Borc verən»ə vurulan zərəri ödəmək vəzifəsindən azad etmir.</t>
  </si>
  <si>
    <t>6. MƏSULİYYƏT</t>
  </si>
  <si>
    <t>6.3.</t>
  </si>
  <si>
    <t>6.4.</t>
  </si>
  <si>
    <t>7. MƏXFİLİK</t>
  </si>
  <si>
    <t>7.1.</t>
  </si>
  <si>
    <t>8. MÜQAVİLƏNİN TƏSİR MÜDDƏTİ VƏ DƏYİŞDİRİLMƏSİ 
QAYDASI</t>
  </si>
  <si>
    <t xml:space="preserve">9. MÜBAHİSƏLƏRİN HƏLLİ QAYDASI </t>
  </si>
  <si>
    <t>9.1.</t>
  </si>
  <si>
    <t>Sabit faiz</t>
  </si>
  <si>
    <t>Kreditin Müddəti:</t>
  </si>
  <si>
    <t>Kom. haqqı</t>
  </si>
  <si>
    <t>kompyuter personal</t>
  </si>
  <si>
    <t xml:space="preserve">mebel (dəst) </t>
  </si>
  <si>
    <t xml:space="preserve">notebook </t>
  </si>
  <si>
    <t>kondisioner</t>
  </si>
  <si>
    <t>paltaryuyan</t>
  </si>
  <si>
    <t>soyuducu</t>
  </si>
  <si>
    <t>plazma Tv</t>
  </si>
  <si>
    <t>planşet</t>
  </si>
  <si>
    <t>yataq mebeli</t>
  </si>
  <si>
    <t>divar mebeli</t>
  </si>
  <si>
    <t>stenka mebeli</t>
  </si>
  <si>
    <t>yumşaq mebeli</t>
  </si>
  <si>
    <t>stol stul</t>
  </si>
  <si>
    <t>divan kreslo</t>
  </si>
  <si>
    <t>dvd</t>
  </si>
  <si>
    <t>peyk antena</t>
  </si>
  <si>
    <t>krosna</t>
  </si>
  <si>
    <t>xalça</t>
  </si>
  <si>
    <t>gəvə</t>
  </si>
  <si>
    <t>qonaq mebeli</t>
  </si>
  <si>
    <t>musiqi mərkəzi</t>
  </si>
  <si>
    <t>lcd Tv</t>
  </si>
  <si>
    <t>mətbəx mebeli</t>
  </si>
  <si>
    <t>mikrodalğalı soba</t>
  </si>
  <si>
    <t>toshiba</t>
  </si>
  <si>
    <t>super max</t>
  </si>
  <si>
    <t>samsunq</t>
  </si>
  <si>
    <t>acer</t>
  </si>
  <si>
    <t>daewoo</t>
  </si>
  <si>
    <t>çinar</t>
  </si>
  <si>
    <t>panasonic</t>
  </si>
  <si>
    <t>lg</t>
  </si>
  <si>
    <t>arçelik</t>
  </si>
  <si>
    <t>ariston</t>
  </si>
  <si>
    <t>biryusa</t>
  </si>
  <si>
    <t>siemens</t>
  </si>
  <si>
    <t>susler</t>
  </si>
  <si>
    <t>galaxi</t>
  </si>
  <si>
    <t>sony</t>
  </si>
  <si>
    <t>hitachi</t>
  </si>
  <si>
    <t>dell</t>
  </si>
  <si>
    <t>orsu</t>
  </si>
  <si>
    <t>hp</t>
  </si>
  <si>
    <t>nord</t>
  </si>
  <si>
    <t>svizer</t>
  </si>
  <si>
    <t>shivaki</t>
  </si>
  <si>
    <t>riqa</t>
  </si>
  <si>
    <t>pozes</t>
  </si>
  <si>
    <t>mitsubishi</t>
  </si>
  <si>
    <t>vestel</t>
  </si>
  <si>
    <t>beko</t>
  </si>
  <si>
    <t>indesit</t>
  </si>
  <si>
    <t>bosh</t>
  </si>
  <si>
    <t>lenova</t>
  </si>
  <si>
    <t>grundi</t>
  </si>
  <si>
    <t>təzə</t>
  </si>
  <si>
    <t>orta</t>
  </si>
  <si>
    <t>yaxşı</t>
  </si>
  <si>
    <t>köhnə</t>
  </si>
  <si>
    <t>əla</t>
  </si>
  <si>
    <t>normal</t>
  </si>
  <si>
    <t>ağ</t>
  </si>
  <si>
    <t>boz</t>
  </si>
  <si>
    <t>qəhvəyi</t>
  </si>
  <si>
    <t>metalik</t>
  </si>
  <si>
    <t>qarışıq</t>
  </si>
  <si>
    <t>qırmızı</t>
  </si>
  <si>
    <t>krem</t>
  </si>
  <si>
    <t>açıq qəhvəyi</t>
  </si>
  <si>
    <t>sarı</t>
  </si>
  <si>
    <t>əlvan</t>
  </si>
  <si>
    <t>qızılı</t>
  </si>
  <si>
    <t>gümüşü</t>
  </si>
  <si>
    <t>yaşıl</t>
  </si>
  <si>
    <t>göy</t>
  </si>
  <si>
    <t>mavi</t>
  </si>
  <si>
    <t>cəhrayi</t>
  </si>
  <si>
    <t>Ağdam</t>
  </si>
  <si>
    <t>Füzuli ray.,</t>
  </si>
  <si>
    <t>Ağdam ray.,</t>
  </si>
  <si>
    <t>Yasamal</t>
  </si>
  <si>
    <t>Xocalı</t>
  </si>
  <si>
    <t>meneceri</t>
  </si>
  <si>
    <t xml:space="preserve">İsmayılov </t>
  </si>
  <si>
    <t>İsmayıl</t>
  </si>
  <si>
    <t xml:space="preserve">Seyfullah </t>
  </si>
  <si>
    <t>kredit meneceri</t>
  </si>
  <si>
    <t>Mustafayev</t>
  </si>
  <si>
    <t xml:space="preserve">Xəqani </t>
  </si>
  <si>
    <t xml:space="preserve">Bəhram </t>
  </si>
  <si>
    <t xml:space="preserve">Əhmədov </t>
  </si>
  <si>
    <t xml:space="preserve">Bəhruz </t>
  </si>
  <si>
    <t xml:space="preserve">Tofiq </t>
  </si>
  <si>
    <t>6005 M.Məhəmməd</t>
  </si>
  <si>
    <t xml:space="preserve">Məhəmməd </t>
  </si>
  <si>
    <t xml:space="preserve">Nizam </t>
  </si>
  <si>
    <t>6010 Q.Zaur</t>
  </si>
  <si>
    <t xml:space="preserve">Qəniyev </t>
  </si>
  <si>
    <t xml:space="preserve">Zaur </t>
  </si>
  <si>
    <t>Rasim</t>
  </si>
  <si>
    <t>6011 M.Orxan</t>
  </si>
  <si>
    <t xml:space="preserve">Məmmədov </t>
  </si>
  <si>
    <t xml:space="preserve">Orxan </t>
  </si>
  <si>
    <t>Salman</t>
  </si>
  <si>
    <t xml:space="preserve">İbişov </t>
  </si>
  <si>
    <t xml:space="preserve">Zamin </t>
  </si>
  <si>
    <t>Rövşən</t>
  </si>
  <si>
    <t>6025 M.Ziya</t>
  </si>
  <si>
    <t xml:space="preserve">Kredit mütəxəssisi </t>
  </si>
  <si>
    <t xml:space="preserve">Möylamov </t>
  </si>
  <si>
    <t xml:space="preserve">Ziya </t>
  </si>
  <si>
    <t xml:space="preserve">Rafiq </t>
  </si>
  <si>
    <t>6030 İ.Nəsib</t>
  </si>
  <si>
    <t xml:space="preserve">Nəsib </t>
  </si>
  <si>
    <t xml:space="preserve">Abil </t>
  </si>
  <si>
    <t>6031 T.Elşən</t>
  </si>
  <si>
    <t xml:space="preserve">Talıblı </t>
  </si>
  <si>
    <t xml:space="preserve">Elşən </t>
  </si>
  <si>
    <t xml:space="preserve">Müqabil </t>
  </si>
  <si>
    <t>İ.Qayıbov 2</t>
  </si>
  <si>
    <t>(+994 24) 274 13 23</t>
  </si>
  <si>
    <t>(+994 24) 274 20 24</t>
  </si>
  <si>
    <t>Mingəçevir</t>
  </si>
  <si>
    <t>Mingəçevir şəh.,</t>
  </si>
  <si>
    <t>Ağdaş ray.,</t>
  </si>
  <si>
    <t>Ağdam şəh.,</t>
  </si>
  <si>
    <t>Qəbələ ray.,</t>
  </si>
  <si>
    <t>Yevlax ray.,</t>
  </si>
  <si>
    <t>Yevlax şəh.,</t>
  </si>
  <si>
    <t>Şəki ŞRPŞ</t>
  </si>
  <si>
    <t>Şəki ray.,</t>
  </si>
  <si>
    <t>Şəki şəh.,</t>
  </si>
  <si>
    <t>Laçın</t>
  </si>
  <si>
    <t>Laçın ray.,</t>
  </si>
  <si>
    <t>6015 İ.Zamin</t>
  </si>
  <si>
    <t>Səyyar-Asan1</t>
  </si>
  <si>
    <t>Paltaryuyan</t>
  </si>
  <si>
    <t>Kondisioner</t>
  </si>
  <si>
    <t>qara</t>
  </si>
  <si>
    <t>Goranboy</t>
  </si>
  <si>
    <t>Goranboy ray.,</t>
  </si>
  <si>
    <t>Həsənov</t>
  </si>
  <si>
    <t>Kənan</t>
  </si>
  <si>
    <t>Asdan</t>
  </si>
  <si>
    <t>055-915-96-56</t>
  </si>
  <si>
    <t>14577224</t>
  </si>
  <si>
    <t>H.Əliyev PR., ev. 76/1, m. 22</t>
  </si>
  <si>
    <t>Hacıyeva</t>
  </si>
  <si>
    <t>Rahilə</t>
  </si>
  <si>
    <t>Zahid</t>
  </si>
  <si>
    <t>024-275-66-82</t>
  </si>
  <si>
    <t>03508631</t>
  </si>
  <si>
    <t>Əsgərova</t>
  </si>
  <si>
    <t>Aynur</t>
  </si>
  <si>
    <t>Əsdan</t>
  </si>
  <si>
    <t>050-721-73-34</t>
  </si>
  <si>
    <t>08959750</t>
  </si>
  <si>
    <t>A.Qurbani küç., ev. 4, m. 1</t>
  </si>
  <si>
    <t>Samsunq-102 ekran</t>
  </si>
  <si>
    <t>Vestel</t>
  </si>
  <si>
    <t xml:space="preserve">Kompyüter </t>
  </si>
  <si>
    <t>Asus</t>
  </si>
  <si>
    <t>Bosh</t>
  </si>
  <si>
    <t>Yataq</t>
  </si>
  <si>
    <t>Pianino</t>
  </si>
  <si>
    <t>Belorus</t>
  </si>
  <si>
    <t>Divan-kreslo</t>
  </si>
  <si>
    <t>Televizor altı</t>
  </si>
  <si>
    <t>Xalça</t>
  </si>
  <si>
    <t>Rəqəmsal antena</t>
  </si>
  <si>
    <t>Super max</t>
  </si>
  <si>
    <t>Musterinin Adi:</t>
  </si>
  <si>
    <t>Meslehetci:</t>
  </si>
  <si>
    <t>Qeydiyyat Nomresi:</t>
  </si>
  <si>
    <t>Hazirladi:</t>
  </si>
  <si>
    <t>Muqavilenin Nomresi:</t>
  </si>
  <si>
    <t>Valyuta:</t>
  </si>
  <si>
    <t>Kredit Mehsulu:</t>
  </si>
  <si>
    <t>Muddet:</t>
  </si>
  <si>
    <t>Tesdiq Olunma Tarixi:</t>
  </si>
  <si>
    <t>Faiz Derecesi:</t>
  </si>
  <si>
    <t>Tesdiq Olunmus Mebleg:</t>
  </si>
  <si>
    <t>Komisyon Haqqi:</t>
  </si>
  <si>
    <t>Hesab Nomresi:</t>
  </si>
  <si>
    <t>__________________________</t>
  </si>
  <si>
    <t>___________________________________</t>
  </si>
  <si>
    <t>______________________</t>
  </si>
  <si>
    <t>Verilen Vesait</t>
  </si>
  <si>
    <t>Esas Mebleg</t>
  </si>
  <si>
    <t>Faiz Meblegi</t>
  </si>
  <si>
    <t>Komisyon Haqqi</t>
  </si>
  <si>
    <t>Sabit Faiz/Sigorta haqqi</t>
  </si>
  <si>
    <t>Cemi Odenis</t>
  </si>
  <si>
    <t>Qaliq Balans</t>
  </si>
  <si>
    <t>0.00</t>
  </si>
  <si>
    <t>=========</t>
  </si>
  <si>
    <t>C E M I</t>
  </si>
  <si>
    <t>1,000.00</t>
  </si>
  <si>
    <t>KƏBT</t>
  </si>
  <si>
    <t>Ağcabədi şəhəri</t>
  </si>
  <si>
    <t>10. DİGƏR ŞƏRTLƏR</t>
  </si>
  <si>
    <t xml:space="preserve">10.1. </t>
  </si>
  <si>
    <t xml:space="preserve">10.2. </t>
  </si>
  <si>
    <t>10.3.</t>
  </si>
  <si>
    <t>Kreditin təyinatına uyğun istifadəsinə, borcalanın maliyyə vəziyyətinə, ödənişləri gecikdirdiyi halda ödənişlərin ödənilməməsinin səbəblərinə və ödənişlərin edilməsinə nəzarət etmək məqsədi ilə baxışlar keçirmək;</t>
  </si>
  <si>
    <t xml:space="preserve">7.3. </t>
  </si>
  <si>
    <t>Borc verən:____________________________________</t>
  </si>
  <si>
    <t>«Borc alan»</t>
  </si>
  <si>
    <t>«Borc alan» ödəniş cədvəlində nəzərdə tutulmuş aylıq ödənişlərdən artıq məbləğdə ödəniş edərsə, ödəniş vaxtı çatmamış məbləğlər «Borc alanın» balansında saxlanılır və yalnız ödəniş cədvəli üzrə vaxtı çatdıqda onun borcundan silinir.</t>
  </si>
  <si>
    <t xml:space="preserve"> «Borc alan»ın vəzifələri</t>
  </si>
  <si>
    <t xml:space="preserve">Bank olmayan  kredit  təşkilatı «Vijn  Fond </t>
  </si>
  <si>
    <t>«Borc verən»  tərəfindən tələb edilən sənədləri ona təqdim etmək və bu müqavilənin qüvvədə olduğu dövrdə «Borc verən» tərəfindən «Borc alan»ın maliyyə vəziyyətinin təhlil edilməsinə, kreditin qaytarmaq qabiliyyətinin müəyyən edilməsinə, kredit ödənişinin gecikdirildiyi halda ödənişlərin edilməməsinin səbəblərinin «Borc verən» tərəfindən müəyyən edilməsinə şərait yaratmaq;</t>
  </si>
  <si>
    <t>«Borc verən» «Borc alana» göndərdiyi məktubları «Borc alanın» yaşadığı və ya qeydiyyatda olduğu və/və ya əmək fəaliyyəti ilə məşğul olduğu ünvana «Borc alana» çatdırılması üçün göndərə bilər. Bu ünvanların hər hansı birində dəyişiklik olduqda «Borc alan» 5 (beş) gün ərzində «Borc verən»ə yazılı şəkildə bildirməlidir.</t>
  </si>
  <si>
    <t>«Borc verən»</t>
  </si>
  <si>
    <t>Bank Olmayan Kredit Təşkilatı »Vijn Fond Azərkredit» MMC,</t>
  </si>
  <si>
    <t>«Girov saxlayan»</t>
  </si>
  <si>
    <t>«Girov qoyan»</t>
  </si>
  <si>
    <t>«Zamin»</t>
  </si>
  <si>
    <t>»Vijn Fond Azərkredit» MMC,</t>
  </si>
  <si>
    <t xml:space="preserve">«Mərkəzləşdirilmiş Kredit Reyestrinin aparılması və istifadəsi Qaydaları»na
</t>
  </si>
  <si>
    <t>Bank olmayan kredit təşkilatı «Vijn Fond  Azərkredit» MMC haqqında kimdən məlumat almısınız?</t>
  </si>
  <si>
    <t>Hər hansı bir xəstəliklə əlaqədar müalicə/əməliyyat olunmusunuzmu?      Bəli / Xeyr
Cavabınız «bəli»-dirsə xəstəliyi qeyd edin ___________________________________________</t>
  </si>
  <si>
    <t xml:space="preserve">Hər hansı bir daimi xəstəliyiniz varmı?      Bəli / Xeyr
Cavabınız «bəli»-dirsə xəstəliyi qeyd edin____________________________________________  </t>
  </si>
  <si>
    <t>«Atəşgah Həyat» Sığorta Şirkəti ASC</t>
  </si>
  <si>
    <t>«PAŞA Həyat Sığorta» ASC</t>
  </si>
  <si>
    <t>Müqavilə forması</t>
  </si>
  <si>
    <t>Müqavilənin forması</t>
  </si>
  <si>
    <t>SADIQOV NIYAZ ISMAYIL</t>
  </si>
  <si>
    <t>Elvin Safarov</t>
  </si>
  <si>
    <t>316274 F/R : 1</t>
  </si>
  <si>
    <t>TT7BU</t>
  </si>
  <si>
    <t>LD/15212/00143</t>
  </si>
  <si>
    <t>P13 - Aile krediti (AZM)</t>
  </si>
  <si>
    <t>10 ay</t>
  </si>
  <si>
    <t>31 JUL 2015</t>
  </si>
  <si>
    <t>1%</t>
  </si>
  <si>
    <t>2639289</t>
  </si>
  <si>
    <t>10.00</t>
  </si>
  <si>
    <t>100.00</t>
  </si>
  <si>
    <t>22.17</t>
  </si>
  <si>
    <t>122.17</t>
  </si>
  <si>
    <t>900.00</t>
  </si>
  <si>
    <t>19.95</t>
  </si>
  <si>
    <t>119.95</t>
  </si>
  <si>
    <t>800.00</t>
  </si>
  <si>
    <t>17.73</t>
  </si>
  <si>
    <t>117.73</t>
  </si>
  <si>
    <t>700.00</t>
  </si>
  <si>
    <t>15.52</t>
  </si>
  <si>
    <t>115.52</t>
  </si>
  <si>
    <t>600.00</t>
  </si>
  <si>
    <t>13.30</t>
  </si>
  <si>
    <t>113.30</t>
  </si>
  <si>
    <t>500.00</t>
  </si>
  <si>
    <t>10.71</t>
  </si>
  <si>
    <t>110.71</t>
  </si>
  <si>
    <t>400.00</t>
  </si>
  <si>
    <t>8.87</t>
  </si>
  <si>
    <t>108.87</t>
  </si>
  <si>
    <t>300.00</t>
  </si>
  <si>
    <t>6.87</t>
  </si>
  <si>
    <t>106.87</t>
  </si>
  <si>
    <t>200.00</t>
  </si>
  <si>
    <t>4.29</t>
  </si>
  <si>
    <t>104.29</t>
  </si>
  <si>
    <t>2.29</t>
  </si>
  <si>
    <t>102.29</t>
  </si>
  <si>
    <t>121.70</t>
  </si>
  <si>
    <t>1,131.70</t>
  </si>
  <si>
    <t>Konvertasiya</t>
  </si>
  <si>
    <t>Konvertasiya edilmiş krediti və ona hesablanmış  faizləri vaxtlı-vaxtında ödəmək, ödənişləri vaxtında və tam  həcmdə yerinə yetirmək;</t>
  </si>
  <si>
    <t>Bu müqavilənin 1.2-ci bəndində göstərilən qalıq kredit öhdəliyinin manat ekvivalentində yeni kredit öhdəliyinə konvertasiya edilməsini tələb etmək;</t>
  </si>
  <si>
    <t>Bu müqavilənin 1.2-ci bəndində göstərilən qalıq kredit öhdəliyini manat ekvivalentində yeni kredit öhdəliyinə konvertasiya etmək;</t>
  </si>
  <si>
    <t>Köhnə LD haqqında məlumat</t>
  </si>
  <si>
    <t>Başlama tarixi</t>
  </si>
  <si>
    <t>Məbləğ</t>
  </si>
  <si>
    <t>1234567890</t>
  </si>
  <si>
    <t>OLD Müqavilənin baslama tarixi</t>
  </si>
  <si>
    <t>OLD Kreditin məbləği</t>
  </si>
  <si>
    <t xml:space="preserve">Ağcabədi </t>
  </si>
  <si>
    <t xml:space="preserve">Masallı </t>
  </si>
  <si>
    <t xml:space="preserve">Yevlax </t>
  </si>
  <si>
    <t>0.6 %</t>
  </si>
  <si>
    <t>Bu müqavilə rəsmiləşdirilən zaman tərəflərin bir-birinə təqdim etdiyi məlumatlar «Kommersiya sirri haqqında»  Azərbaycan Respublikasının Qanunu ilə müəyyən edilmiş kommersiya sirrini təşkil edən məlumatlar kateqoriyasına aid edilir  və mövcud qanunvericiliklə müəyyən edilmiş qaydada açıqlanması halları istisna olmaqla üçüncü şəxslərə  ötürülməsi qadağandır.</t>
  </si>
  <si>
    <t>Filialı</t>
  </si>
  <si>
    <t>Bu müqavilənin 1.2-ci bəndində göstərilən qalıq kredit öhdəliyini yeni kredit öhdəliyi kimi restrukturizasiya etmək;</t>
  </si>
  <si>
    <t>Bu müqavilənin 1.2-ci bəndində göstərilən qalıq kredit öhdəliyinin yeni kredit öhdəliyi kimi restrukturizasiya edilməsini tələb etmək;</t>
  </si>
  <si>
    <t>Restrukturizasiya edilmiş krediti və ona hesablanmış  faizləri vaxtlı-vaxtında ödəmək, ödənişləri vaxtında və tam  həcmdə yerinə yetirmək;</t>
  </si>
  <si>
    <t>27.07.2014</t>
  </si>
  <si>
    <t>Yeni müqavilə</t>
  </si>
  <si>
    <t>RS Köhnə LD</t>
  </si>
  <si>
    <t>RS Yeni LD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</si>
</sst>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42C]d\ mmmm\ yyyy;@"/>
    <numFmt numFmtId="165" formatCode="_-* #,##0.00&quot;р.&quot;_-;\-* #,##0.00&quot;р.&quot;_-;_-* &quot;-&quot;??&quot;р.&quot;_-;_-@_-"/>
    <numFmt numFmtId="166" formatCode="dd\.mm\.yyyy;@"/>
    <numFmt numFmtId="167" formatCode="0.0"/>
  </numFmts>
  <fonts count="89" x14ac:knownFonts="1">
    <font>
      <sz val="10"/>
      <name val="Arial"/>
    </font>
    <font>
      <sz val="11"/>
      <color theme="1"/>
      <name val="Calibri"/>
      <family val="2"/>
      <scheme val="minor"/>
    </font>
    <font>
      <sz val="11"/>
      <color theme="1"/>
      <name val="Calibri"/>
      <family val="2"/>
      <scheme val="minor"/>
    </font>
    <font>
      <sz val="10"/>
      <name val="Arial"/>
      <family val="2"/>
      <charset val="204"/>
    </font>
    <font>
      <sz val="11"/>
      <color indexed="8"/>
      <name val="Calibri"/>
      <family val="2"/>
      <charset val="204"/>
    </font>
    <font>
      <sz val="11"/>
      <color indexed="9"/>
      <name val="Calibri"/>
      <family val="2"/>
      <charset val="204"/>
    </font>
    <font>
      <sz val="11"/>
      <color indexed="20"/>
      <name val="Calibri"/>
      <family val="2"/>
      <charset val="204"/>
    </font>
    <font>
      <b/>
      <sz val="11"/>
      <color indexed="52"/>
      <name val="Calibri"/>
      <family val="2"/>
      <charset val="204"/>
    </font>
    <font>
      <b/>
      <sz val="11"/>
      <color indexed="9"/>
      <name val="Calibri"/>
      <family val="2"/>
      <charset val="204"/>
    </font>
    <font>
      <sz val="11"/>
      <color indexed="8"/>
      <name val="Calibri"/>
      <family val="2"/>
      <charset val="186"/>
    </font>
    <font>
      <sz val="10"/>
      <name val="Arial Cyr"/>
      <charset val="204"/>
    </font>
    <font>
      <i/>
      <sz val="11"/>
      <color indexed="23"/>
      <name val="Calibri"/>
      <family val="2"/>
      <charset val="204"/>
    </font>
    <font>
      <sz val="11"/>
      <color indexed="17"/>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sz val="11"/>
      <color indexed="62"/>
      <name val="Calibri"/>
      <family val="2"/>
      <charset val="204"/>
    </font>
    <font>
      <sz val="11"/>
      <color indexed="52"/>
      <name val="Calibri"/>
      <family val="2"/>
      <charset val="204"/>
    </font>
    <font>
      <sz val="11"/>
      <color indexed="60"/>
      <name val="Calibri"/>
      <family val="2"/>
      <charset val="204"/>
    </font>
    <font>
      <sz val="11"/>
      <color indexed="8"/>
      <name val="Calibri"/>
      <family val="2"/>
    </font>
    <font>
      <b/>
      <sz val="11"/>
      <color indexed="63"/>
      <name val="Calibri"/>
      <family val="2"/>
      <charset val="204"/>
    </font>
    <font>
      <b/>
      <sz val="18"/>
      <color indexed="56"/>
      <name val="Cambria"/>
      <family val="2"/>
      <charset val="204"/>
    </font>
    <font>
      <b/>
      <sz val="11"/>
      <color indexed="8"/>
      <name val="Calibri"/>
      <family val="2"/>
      <charset val="204"/>
    </font>
    <font>
      <sz val="11"/>
      <color indexed="10"/>
      <name val="Calibri"/>
      <family val="2"/>
      <charset val="204"/>
    </font>
    <font>
      <sz val="10"/>
      <name val="Arial"/>
      <family val="2"/>
    </font>
    <font>
      <sz val="12"/>
      <name val="Times New Roman"/>
      <family val="1"/>
    </font>
    <font>
      <b/>
      <sz val="12"/>
      <name val="Times New Roman"/>
      <family val="1"/>
    </font>
    <font>
      <sz val="12"/>
      <name val="Times New Roman"/>
      <family val="1"/>
      <charset val="204"/>
    </font>
    <font>
      <b/>
      <sz val="11"/>
      <name val="Times New Roman"/>
      <family val="1"/>
    </font>
    <font>
      <b/>
      <sz val="10"/>
      <name val="Times New Roman"/>
      <family val="1"/>
    </font>
    <font>
      <sz val="10"/>
      <name val="Times New Roman"/>
      <family val="1"/>
    </font>
    <font>
      <u/>
      <sz val="12"/>
      <name val="Times New Roman"/>
      <family val="1"/>
    </font>
    <font>
      <sz val="10"/>
      <color indexed="8"/>
      <name val="Times New Roman"/>
      <family val="1"/>
      <charset val="204"/>
    </font>
    <font>
      <sz val="8"/>
      <name val="Times New Roman"/>
      <family val="1"/>
      <charset val="204"/>
    </font>
    <font>
      <b/>
      <sz val="8"/>
      <name val="Times New Roman"/>
      <family val="1"/>
      <charset val="204"/>
    </font>
    <font>
      <b/>
      <sz val="10"/>
      <name val="Times New Roman"/>
      <family val="1"/>
      <charset val="204"/>
    </font>
    <font>
      <sz val="10"/>
      <name val="Times New Roman"/>
      <family val="1"/>
      <charset val="204"/>
    </font>
    <font>
      <i/>
      <sz val="8"/>
      <name val="Times New Roman"/>
      <family val="1"/>
      <charset val="204"/>
    </font>
    <font>
      <sz val="11"/>
      <color indexed="8"/>
      <name val="Times New Roman"/>
      <family val="1"/>
      <charset val="162"/>
    </font>
    <font>
      <sz val="14"/>
      <color indexed="8"/>
      <name val="Times New Roman"/>
      <family val="1"/>
      <charset val="162"/>
    </font>
    <font>
      <b/>
      <sz val="11"/>
      <color indexed="8"/>
      <name val="Times New Roman"/>
      <family val="1"/>
    </font>
    <font>
      <sz val="12"/>
      <color indexed="9"/>
      <name val="Times New Roman"/>
      <family val="1"/>
      <charset val="162"/>
    </font>
    <font>
      <b/>
      <sz val="12"/>
      <color indexed="8"/>
      <name val="Times New Roman"/>
      <family val="1"/>
    </font>
    <font>
      <sz val="9"/>
      <color indexed="8"/>
      <name val="Times New Roman"/>
      <family val="1"/>
    </font>
    <font>
      <sz val="9"/>
      <name val="Times New Roman"/>
      <family val="1"/>
    </font>
    <font>
      <b/>
      <sz val="9"/>
      <name val="Times New Roman"/>
      <family val="1"/>
    </font>
    <font>
      <b/>
      <sz val="9"/>
      <color indexed="8"/>
      <name val="Times New Roman"/>
      <family val="1"/>
    </font>
    <font>
      <sz val="16"/>
      <color indexed="8"/>
      <name val="Times New Roman"/>
      <family val="1"/>
      <charset val="162"/>
    </font>
    <font>
      <b/>
      <i/>
      <sz val="16"/>
      <color indexed="8"/>
      <name val="Times New Roman"/>
      <family val="1"/>
      <charset val="162"/>
    </font>
    <font>
      <b/>
      <sz val="16"/>
      <color indexed="8"/>
      <name val="Times New Roman"/>
      <family val="1"/>
      <charset val="162"/>
    </font>
    <font>
      <b/>
      <sz val="8.5"/>
      <name val="Times New Roman"/>
      <family val="1"/>
    </font>
    <font>
      <sz val="8.5"/>
      <name val="Times New Roman"/>
      <family val="1"/>
    </font>
    <font>
      <b/>
      <i/>
      <sz val="8.5"/>
      <name val="Times New Roman"/>
      <family val="1"/>
    </font>
    <font>
      <sz val="10"/>
      <name val="Arial"/>
      <family val="2"/>
      <charset val="204"/>
    </font>
    <font>
      <b/>
      <sz val="8.5"/>
      <name val="Times New Roman"/>
      <family val="1"/>
      <charset val="204"/>
    </font>
    <font>
      <sz val="9"/>
      <name val="Arial"/>
      <family val="2"/>
    </font>
    <font>
      <b/>
      <i/>
      <sz val="9"/>
      <name val="Times New Roman"/>
      <family val="1"/>
    </font>
    <font>
      <i/>
      <sz val="9"/>
      <name val="Times New Roman"/>
      <family val="1"/>
    </font>
    <font>
      <sz val="11"/>
      <name val="Times New Roman"/>
      <family val="1"/>
    </font>
    <font>
      <sz val="8.5"/>
      <color indexed="8"/>
      <name val="Times New Roman"/>
      <family val="1"/>
    </font>
    <font>
      <b/>
      <sz val="8.5"/>
      <color indexed="8"/>
      <name val="Times New Roman"/>
      <family val="1"/>
    </font>
    <font>
      <sz val="11"/>
      <color theme="1"/>
      <name val="Calibri"/>
      <family val="2"/>
      <scheme val="minor"/>
    </font>
    <font>
      <u/>
      <sz val="10"/>
      <color theme="10"/>
      <name val="Arial"/>
      <family val="2"/>
      <charset val="204"/>
    </font>
    <font>
      <sz val="11"/>
      <color theme="1"/>
      <name val="Calibri"/>
      <family val="2"/>
      <charset val="186"/>
      <scheme val="minor"/>
    </font>
    <font>
      <sz val="12"/>
      <color rgb="FFFFFF00"/>
      <name val="Times New Roman"/>
      <family val="1"/>
      <charset val="162"/>
    </font>
    <font>
      <b/>
      <sz val="12"/>
      <color rgb="FF00B050"/>
      <name val="Times New Roman"/>
      <family val="1"/>
    </font>
    <font>
      <sz val="12"/>
      <color rgb="FFFF0000"/>
      <name val="Times New Roman"/>
      <family val="1"/>
    </font>
    <font>
      <sz val="11"/>
      <color rgb="FF000000"/>
      <name val="Times New Roman"/>
      <family val="1"/>
    </font>
    <font>
      <sz val="9"/>
      <color theme="0" tint="-0.249977111117893"/>
      <name val="Times New Roman"/>
      <family val="1"/>
    </font>
    <font>
      <b/>
      <sz val="12"/>
      <color rgb="FF00B0F0"/>
      <name val="Times New Roman"/>
      <family val="1"/>
    </font>
    <font>
      <sz val="12"/>
      <color theme="1"/>
      <name val="Times New Roman"/>
      <family val="1"/>
    </font>
    <font>
      <sz val="12"/>
      <color theme="0"/>
      <name val="Times New Roman"/>
      <family val="1"/>
    </font>
    <font>
      <b/>
      <sz val="12"/>
      <color theme="0"/>
      <name val="Times New Roman"/>
      <family val="1"/>
    </font>
    <font>
      <sz val="12"/>
      <color rgb="FFC4C4C4"/>
      <name val="Times New Roman"/>
      <family val="1"/>
    </font>
    <font>
      <b/>
      <sz val="10"/>
      <name val="Arial"/>
      <family val="2"/>
      <charset val="204"/>
    </font>
    <font>
      <b/>
      <sz val="14"/>
      <name val="Times New Roman"/>
      <family val="1"/>
    </font>
    <font>
      <b/>
      <sz val="10"/>
      <name val="Arial"/>
      <family val="2"/>
    </font>
    <font>
      <b/>
      <sz val="12"/>
      <name val="Arial"/>
      <family val="2"/>
    </font>
    <font>
      <b/>
      <sz val="12"/>
      <color rgb="FFFF0000"/>
      <name val="Times New Roman"/>
      <family val="1"/>
    </font>
    <font>
      <sz val="10"/>
      <color rgb="FFFF0000"/>
      <name val="Arial"/>
      <family val="2"/>
    </font>
    <font>
      <i/>
      <sz val="12"/>
      <color rgb="FF000000"/>
      <name val="Times New Roman"/>
      <family val="1"/>
    </font>
    <font>
      <i/>
      <sz val="14"/>
      <color rgb="FF000000"/>
      <name val="Times New Roman"/>
      <family val="1"/>
    </font>
    <font>
      <i/>
      <sz val="14"/>
      <color rgb="FFFF0000"/>
      <name val="Times New Roman"/>
      <family val="1"/>
    </font>
    <font>
      <b/>
      <sz val="26"/>
      <color rgb="FF000000"/>
      <name val="Times New Roman"/>
      <family val="1"/>
    </font>
    <font>
      <b/>
      <sz val="16"/>
      <color rgb="FFFF0000"/>
      <name val="Times New Roman"/>
      <family val="1"/>
    </font>
    <font>
      <i/>
      <sz val="20"/>
      <color rgb="FFFF0000"/>
      <name val="Times New Roman"/>
      <family val="1"/>
    </font>
    <font>
      <sz val="8"/>
      <color rgb="FF000000"/>
      <name val="Segoe UI"/>
      <family val="2"/>
    </font>
    <font>
      <b/>
      <sz val="12"/>
      <color rgb="FF000000"/>
      <name val="Times New Roman"/>
      <family val="1"/>
    </font>
    <font>
      <sz val="16"/>
      <color rgb="FF000000"/>
      <name val="Times New Roman"/>
      <family val="1"/>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9"/>
        <bgColor indexed="64"/>
      </patternFill>
    </fill>
    <fill>
      <patternFill patternType="solid">
        <fgColor indexed="17"/>
        <bgColor indexed="64"/>
      </patternFill>
    </fill>
    <fill>
      <patternFill patternType="solid">
        <fgColor indexed="43"/>
        <bgColor indexed="64"/>
      </patternFill>
    </fill>
    <fill>
      <patternFill patternType="solid">
        <fgColor indexed="10"/>
        <bgColor indexed="64"/>
      </patternFill>
    </fill>
    <fill>
      <patternFill patternType="solid">
        <fgColor rgb="FFFFFF00"/>
        <bgColor indexed="64"/>
      </patternFill>
    </fill>
    <fill>
      <patternFill patternType="solid">
        <fgColor rgb="FF66FF33"/>
        <bgColor indexed="64"/>
      </patternFill>
    </fill>
    <fill>
      <patternFill patternType="solid">
        <fgColor rgb="FF00B0F0"/>
        <bgColor indexed="64"/>
      </patternFill>
    </fill>
    <fill>
      <patternFill patternType="solid">
        <fgColor theme="3" tint="0.59999389629810485"/>
        <bgColor indexed="64"/>
      </patternFill>
    </fill>
    <fill>
      <patternFill patternType="solid">
        <fgColor rgb="FF00FF00"/>
        <bgColor indexed="64"/>
      </patternFill>
    </fill>
    <fill>
      <patternFill patternType="solid">
        <fgColor rgb="FF92D050"/>
        <bgColor indexed="64"/>
      </patternFill>
    </fill>
    <fill>
      <patternFill patternType="solid">
        <fgColor rgb="FFFEC2F7"/>
        <bgColor indexed="64"/>
      </patternFill>
    </fill>
    <fill>
      <patternFill patternType="solid">
        <fgColor theme="3" tint="0.79998168889431442"/>
        <bgColor indexed="64"/>
      </patternFill>
    </fill>
    <fill>
      <patternFill patternType="solid">
        <fgColor theme="9" tint="0.59999389629810485"/>
        <bgColor indexed="64"/>
      </patternFill>
    </fill>
  </fills>
  <borders count="9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right/>
      <top/>
      <bottom style="thin">
        <color indexed="64"/>
      </bottom>
      <diagonal/>
    </border>
    <border>
      <left/>
      <right/>
      <top style="mediumDashed">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Dashed">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Dashed">
        <color indexed="64"/>
      </top>
      <bottom style="mediumDashed">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style="hair">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s>
  <cellStyleXfs count="63">
    <xf numFmtId="164" fontId="0" fillId="0" borderId="0"/>
    <xf numFmtId="164" fontId="4" fillId="2" borderId="0" applyNumberFormat="0" applyBorder="0" applyAlignment="0" applyProtection="0"/>
    <xf numFmtId="164" fontId="4" fillId="3" borderId="0" applyNumberFormat="0" applyBorder="0" applyAlignment="0" applyProtection="0"/>
    <xf numFmtId="164" fontId="4" fillId="4" borderId="0" applyNumberFormat="0" applyBorder="0" applyAlignment="0" applyProtection="0"/>
    <xf numFmtId="164" fontId="4" fillId="5" borderId="0" applyNumberFormat="0" applyBorder="0" applyAlignment="0" applyProtection="0"/>
    <xf numFmtId="164" fontId="4" fillId="6" borderId="0" applyNumberFormat="0" applyBorder="0" applyAlignment="0" applyProtection="0"/>
    <xf numFmtId="164" fontId="4" fillId="7" borderId="0" applyNumberFormat="0" applyBorder="0" applyAlignment="0" applyProtection="0"/>
    <xf numFmtId="164" fontId="4" fillId="8" borderId="0" applyNumberFormat="0" applyBorder="0" applyAlignment="0" applyProtection="0"/>
    <xf numFmtId="164" fontId="4" fillId="9" borderId="0" applyNumberFormat="0" applyBorder="0" applyAlignment="0" applyProtection="0"/>
    <xf numFmtId="164" fontId="4" fillId="10" borderId="0" applyNumberFormat="0" applyBorder="0" applyAlignment="0" applyProtection="0"/>
    <xf numFmtId="164" fontId="4" fillId="5" borderId="0" applyNumberFormat="0" applyBorder="0" applyAlignment="0" applyProtection="0"/>
    <xf numFmtId="164" fontId="4" fillId="8" borderId="0" applyNumberFormat="0" applyBorder="0" applyAlignment="0" applyProtection="0"/>
    <xf numFmtId="164" fontId="4" fillId="11" borderId="0" applyNumberFormat="0" applyBorder="0" applyAlignment="0" applyProtection="0"/>
    <xf numFmtId="164" fontId="5" fillId="12" borderId="0" applyNumberFormat="0" applyBorder="0" applyAlignment="0" applyProtection="0"/>
    <xf numFmtId="164" fontId="5" fillId="9" borderId="0" applyNumberFormat="0" applyBorder="0" applyAlignment="0" applyProtection="0"/>
    <xf numFmtId="164" fontId="5" fillId="10" borderId="0" applyNumberFormat="0" applyBorder="0" applyAlignment="0" applyProtection="0"/>
    <xf numFmtId="164" fontId="5" fillId="13" borderId="0" applyNumberFormat="0" applyBorder="0" applyAlignment="0" applyProtection="0"/>
    <xf numFmtId="164" fontId="5" fillId="14" borderId="0" applyNumberFormat="0" applyBorder="0" applyAlignment="0" applyProtection="0"/>
    <xf numFmtId="164" fontId="5" fillId="15" borderId="0" applyNumberFormat="0" applyBorder="0" applyAlignment="0" applyProtection="0"/>
    <xf numFmtId="164" fontId="5" fillId="16" borderId="0" applyNumberFormat="0" applyBorder="0" applyAlignment="0" applyProtection="0"/>
    <xf numFmtId="164" fontId="5" fillId="17" borderId="0" applyNumberFormat="0" applyBorder="0" applyAlignment="0" applyProtection="0"/>
    <xf numFmtId="164" fontId="5" fillId="18" borderId="0" applyNumberFormat="0" applyBorder="0" applyAlignment="0" applyProtection="0"/>
    <xf numFmtId="164" fontId="5" fillId="13" borderId="0" applyNumberFormat="0" applyBorder="0" applyAlignment="0" applyProtection="0"/>
    <xf numFmtId="164" fontId="5" fillId="14" borderId="0" applyNumberFormat="0" applyBorder="0" applyAlignment="0" applyProtection="0"/>
    <xf numFmtId="164" fontId="5" fillId="19" borderId="0" applyNumberFormat="0" applyBorder="0" applyAlignment="0" applyProtection="0"/>
    <xf numFmtId="164" fontId="6" fillId="3" borderId="0" applyNumberFormat="0" applyBorder="0" applyAlignment="0" applyProtection="0"/>
    <xf numFmtId="164" fontId="7" fillId="20" borderId="1" applyNumberFormat="0" applyAlignment="0" applyProtection="0"/>
    <xf numFmtId="164" fontId="8" fillId="21" borderId="2" applyNumberFormat="0" applyAlignment="0" applyProtection="0"/>
    <xf numFmtId="43" fontId="24" fillId="0" borderId="0" applyFont="0" applyFill="0" applyBorder="0" applyAlignment="0" applyProtection="0"/>
    <xf numFmtId="43" fontId="9" fillId="0" borderId="0" applyFont="0" applyFill="0" applyBorder="0" applyAlignment="0" applyProtection="0"/>
    <xf numFmtId="165" fontId="10" fillId="0" borderId="0" applyFont="0" applyFill="0" applyBorder="0" applyAlignment="0" applyProtection="0"/>
    <xf numFmtId="164" fontId="11" fillId="0" borderId="0" applyNumberFormat="0" applyFill="0" applyBorder="0" applyAlignment="0" applyProtection="0"/>
    <xf numFmtId="164" fontId="12" fillId="4" borderId="0" applyNumberFormat="0" applyBorder="0" applyAlignment="0" applyProtection="0"/>
    <xf numFmtId="164" fontId="13" fillId="0" borderId="3" applyNumberFormat="0" applyFill="0" applyAlignment="0" applyProtection="0"/>
    <xf numFmtId="164" fontId="14" fillId="0" borderId="4" applyNumberFormat="0" applyFill="0" applyAlignment="0" applyProtection="0"/>
    <xf numFmtId="164" fontId="15" fillId="0" borderId="5" applyNumberFormat="0" applyFill="0" applyAlignment="0" applyProtection="0"/>
    <xf numFmtId="164" fontId="15" fillId="0" borderId="0" applyNumberFormat="0" applyFill="0" applyBorder="0" applyAlignment="0" applyProtection="0"/>
    <xf numFmtId="164" fontId="62" fillId="0" borderId="0" applyNumberFormat="0" applyFill="0" applyBorder="0" applyAlignment="0" applyProtection="0"/>
    <xf numFmtId="164" fontId="16" fillId="7" borderId="1" applyNumberFormat="0" applyAlignment="0" applyProtection="0"/>
    <xf numFmtId="164" fontId="17" fillId="0" borderId="6" applyNumberFormat="0" applyFill="0" applyAlignment="0" applyProtection="0"/>
    <xf numFmtId="164" fontId="18" fillId="22" borderId="0" applyNumberFormat="0" applyBorder="0" applyAlignment="0" applyProtection="0"/>
    <xf numFmtId="164" fontId="10" fillId="0" borderId="0"/>
    <xf numFmtId="164" fontId="61" fillId="0" borderId="0"/>
    <xf numFmtId="164" fontId="3" fillId="0" borderId="0"/>
    <xf numFmtId="164" fontId="63" fillId="0" borderId="0"/>
    <xf numFmtId="164" fontId="24" fillId="0" borderId="0"/>
    <xf numFmtId="164" fontId="19" fillId="0" borderId="0"/>
    <xf numFmtId="164" fontId="19" fillId="0" borderId="0"/>
    <xf numFmtId="164" fontId="10" fillId="0" borderId="0"/>
    <xf numFmtId="164" fontId="10" fillId="23" borderId="7" applyNumberFormat="0" applyFont="0" applyAlignment="0" applyProtection="0"/>
    <xf numFmtId="164" fontId="20" fillId="20" borderId="8" applyNumberFormat="0" applyAlignment="0" applyProtection="0"/>
    <xf numFmtId="9" fontId="53" fillId="0" borderId="0" applyFont="0" applyFill="0" applyBorder="0" applyAlignment="0" applyProtection="0"/>
    <xf numFmtId="9" fontId="10" fillId="0" borderId="0" applyFont="0" applyFill="0" applyBorder="0" applyAlignment="0" applyProtection="0"/>
    <xf numFmtId="9" fontId="9" fillId="0" borderId="0" applyFont="0" applyFill="0" applyBorder="0" applyAlignment="0" applyProtection="0"/>
    <xf numFmtId="164" fontId="21" fillId="0" borderId="0" applyNumberFormat="0" applyFill="0" applyBorder="0" applyAlignment="0" applyProtection="0"/>
    <xf numFmtId="164" fontId="22" fillId="0" borderId="9" applyNumberFormat="0" applyFill="0" applyAlignment="0" applyProtection="0"/>
    <xf numFmtId="164" fontId="23" fillId="0" borderId="0" applyNumberFormat="0" applyFill="0" applyBorder="0" applyAlignment="0" applyProtection="0"/>
    <xf numFmtId="164" fontId="24" fillId="0" borderId="0"/>
    <xf numFmtId="0" fontId="2" fillId="0" borderId="0"/>
    <xf numFmtId="164" fontId="24" fillId="0" borderId="0"/>
    <xf numFmtId="43" fontId="24" fillId="0" borderId="0" applyFont="0" applyFill="0" applyBorder="0" applyAlignment="0" applyProtection="0"/>
    <xf numFmtId="164" fontId="2" fillId="0" borderId="0"/>
    <xf numFmtId="9" fontId="3" fillId="0" borderId="0" applyFont="0" applyFill="0" applyBorder="0" applyAlignment="0" applyProtection="0"/>
  </cellStyleXfs>
  <cellXfs count="991">
    <xf numFmtId="164" fontId="0" fillId="0" borderId="0" xfId="0"/>
    <xf numFmtId="164" fontId="3" fillId="0" borderId="0" xfId="0" applyFont="1"/>
    <xf numFmtId="0" fontId="25" fillId="29" borderId="0" xfId="0" applyNumberFormat="1" applyFont="1" applyFill="1" applyBorder="1" applyAlignment="1">
      <alignment horizontal="left" vertical="center" wrapText="1"/>
    </xf>
    <xf numFmtId="0" fontId="25" fillId="0" borderId="10" xfId="0" applyNumberFormat="1" applyFont="1" applyBorder="1" applyAlignment="1">
      <alignment horizontal="left" vertical="center" wrapText="1"/>
    </xf>
    <xf numFmtId="0" fontId="25" fillId="0" borderId="11" xfId="0" applyNumberFormat="1" applyFont="1" applyFill="1" applyBorder="1" applyAlignment="1">
      <alignment horizontal="left" vertical="center" wrapText="1"/>
    </xf>
    <xf numFmtId="0" fontId="25" fillId="0" borderId="0" xfId="0" applyNumberFormat="1" applyFont="1" applyBorder="1" applyAlignment="1">
      <alignment horizontal="left" vertical="center" wrapText="1"/>
    </xf>
    <xf numFmtId="0" fontId="25" fillId="25" borderId="0" xfId="0" applyNumberFormat="1" applyFont="1" applyFill="1" applyBorder="1" applyAlignment="1">
      <alignment horizontal="left" vertical="center" wrapText="1"/>
    </xf>
    <xf numFmtId="0" fontId="25" fillId="0" borderId="12" xfId="0" applyNumberFormat="1" applyFont="1" applyFill="1" applyBorder="1" applyAlignment="1">
      <alignment horizontal="left" vertical="center" wrapText="1"/>
    </xf>
    <xf numFmtId="0" fontId="25" fillId="0" borderId="0" xfId="0" applyNumberFormat="1" applyFont="1" applyFill="1" applyBorder="1" applyAlignment="1">
      <alignment horizontal="left" vertical="center" wrapText="1"/>
    </xf>
    <xf numFmtId="0" fontId="25" fillId="25" borderId="0" xfId="0" applyNumberFormat="1" applyFont="1" applyFill="1" applyBorder="1" applyAlignment="1">
      <alignment horizontal="left" vertical="center"/>
    </xf>
    <xf numFmtId="164" fontId="25" fillId="0" borderId="0" xfId="0" applyNumberFormat="1" applyFont="1" applyAlignment="1">
      <alignment horizontal="left" vertical="center"/>
    </xf>
    <xf numFmtId="164" fontId="25" fillId="0" borderId="0" xfId="0" applyNumberFormat="1" applyFont="1" applyBorder="1" applyAlignment="1">
      <alignment horizontal="left" vertical="center"/>
    </xf>
    <xf numFmtId="164" fontId="25" fillId="0" borderId="13" xfId="0" applyNumberFormat="1" applyFont="1" applyBorder="1" applyAlignment="1">
      <alignment horizontal="left" vertical="center"/>
    </xf>
    <xf numFmtId="164" fontId="25" fillId="0" borderId="14" xfId="0" applyNumberFormat="1" applyFont="1" applyBorder="1" applyAlignment="1">
      <alignment vertical="center"/>
    </xf>
    <xf numFmtId="0" fontId="37" fillId="0" borderId="0" xfId="48" applyNumberFormat="1" applyFont="1" applyFill="1" applyBorder="1" applyAlignment="1"/>
    <xf numFmtId="0" fontId="32" fillId="0" borderId="0" xfId="0" applyNumberFormat="1" applyFont="1" applyFill="1" applyBorder="1"/>
    <xf numFmtId="0" fontId="33" fillId="0" borderId="0" xfId="48" applyNumberFormat="1" applyFont="1" applyFill="1" applyBorder="1"/>
    <xf numFmtId="0" fontId="33" fillId="0" borderId="0" xfId="48" applyNumberFormat="1" applyFont="1" applyFill="1" applyBorder="1" applyAlignment="1">
      <alignment horizontal="left"/>
    </xf>
    <xf numFmtId="0" fontId="36" fillId="0" borderId="0" xfId="48" applyNumberFormat="1" applyFont="1" applyFill="1" applyBorder="1" applyAlignment="1">
      <alignment horizontal="left"/>
    </xf>
    <xf numFmtId="0" fontId="38" fillId="0" borderId="0" xfId="44" applyNumberFormat="1" applyFont="1" applyAlignment="1" applyProtection="1">
      <alignment horizontal="center" vertical="center"/>
      <protection hidden="1"/>
    </xf>
    <xf numFmtId="0" fontId="39" fillId="0" borderId="0" xfId="44" applyNumberFormat="1" applyFont="1" applyAlignment="1" applyProtection="1">
      <alignment horizontal="center" vertical="center"/>
      <protection hidden="1"/>
    </xf>
    <xf numFmtId="0" fontId="38" fillId="0" borderId="0" xfId="53" applyNumberFormat="1" applyFont="1" applyAlignment="1" applyProtection="1">
      <alignment horizontal="center" vertical="center"/>
      <protection hidden="1"/>
    </xf>
    <xf numFmtId="0" fontId="38" fillId="0" borderId="15" xfId="53" applyNumberFormat="1" applyFont="1" applyBorder="1" applyAlignment="1" applyProtection="1">
      <alignment horizontal="center" vertical="center"/>
      <protection hidden="1"/>
    </xf>
    <xf numFmtId="0" fontId="38" fillId="0" borderId="16" xfId="53" applyNumberFormat="1" applyFont="1" applyBorder="1" applyAlignment="1" applyProtection="1">
      <alignment horizontal="center" vertical="center"/>
      <protection hidden="1"/>
    </xf>
    <xf numFmtId="0" fontId="38" fillId="0" borderId="17" xfId="44" applyNumberFormat="1" applyFont="1" applyBorder="1" applyAlignment="1" applyProtection="1">
      <alignment horizontal="center" vertical="center"/>
      <protection hidden="1"/>
    </xf>
    <xf numFmtId="0" fontId="38" fillId="0" borderId="18" xfId="53" applyNumberFormat="1" applyFont="1" applyBorder="1" applyAlignment="1" applyProtection="1">
      <alignment horizontal="center" vertical="center"/>
      <protection hidden="1"/>
    </xf>
    <xf numFmtId="0" fontId="38" fillId="0" borderId="19" xfId="53" applyNumberFormat="1" applyFont="1" applyBorder="1" applyAlignment="1" applyProtection="1">
      <alignment horizontal="center" vertical="center"/>
      <protection hidden="1"/>
    </xf>
    <xf numFmtId="0" fontId="38" fillId="0" borderId="20" xfId="44" applyNumberFormat="1" applyFont="1" applyBorder="1" applyAlignment="1" applyProtection="1">
      <alignment horizontal="center" vertical="center"/>
      <protection hidden="1"/>
    </xf>
    <xf numFmtId="0" fontId="38" fillId="0" borderId="0" xfId="44" applyNumberFormat="1" applyFont="1" applyFill="1" applyAlignment="1" applyProtection="1">
      <alignment horizontal="center" vertical="center"/>
      <protection hidden="1"/>
    </xf>
    <xf numFmtId="0" fontId="28" fillId="24" borderId="15" xfId="53" applyNumberFormat="1" applyFont="1" applyFill="1" applyBorder="1" applyAlignment="1" applyProtection="1">
      <alignment horizontal="center" vertical="center"/>
      <protection hidden="1"/>
    </xf>
    <xf numFmtId="0" fontId="41" fillId="26" borderId="17" xfId="44" applyNumberFormat="1" applyFont="1" applyFill="1" applyBorder="1" applyAlignment="1" applyProtection="1">
      <alignment horizontal="center" vertical="center"/>
      <protection hidden="1"/>
    </xf>
    <xf numFmtId="0" fontId="28" fillId="24" borderId="18" xfId="44" applyNumberFormat="1" applyFont="1" applyFill="1" applyBorder="1" applyAlignment="1" applyProtection="1">
      <alignment horizontal="center" vertical="center"/>
      <protection hidden="1"/>
    </xf>
    <xf numFmtId="0" fontId="41" fillId="26" borderId="20" xfId="44" applyNumberFormat="1" applyFont="1" applyFill="1" applyBorder="1" applyAlignment="1" applyProtection="1">
      <alignment horizontal="center" vertical="center"/>
      <protection hidden="1"/>
    </xf>
    <xf numFmtId="0" fontId="39" fillId="0" borderId="0" xfId="44" applyNumberFormat="1" applyFont="1" applyFill="1" applyAlignment="1" applyProtection="1">
      <alignment horizontal="center" vertical="center"/>
      <protection hidden="1"/>
    </xf>
    <xf numFmtId="0" fontId="40" fillId="24" borderId="21" xfId="44" applyNumberFormat="1" applyFont="1" applyFill="1" applyBorder="1" applyAlignment="1" applyProtection="1">
      <alignment horizontal="center" vertical="center"/>
      <protection hidden="1"/>
    </xf>
    <xf numFmtId="0" fontId="41" fillId="26" borderId="22" xfId="44" applyNumberFormat="1" applyFont="1" applyFill="1" applyBorder="1" applyAlignment="1" applyProtection="1">
      <alignment horizontal="center" vertical="center"/>
      <protection hidden="1"/>
    </xf>
    <xf numFmtId="0" fontId="43" fillId="0" borderId="0" xfId="46" applyNumberFormat="1" applyFont="1" applyFill="1" applyAlignment="1">
      <alignment vertical="center"/>
    </xf>
    <xf numFmtId="0" fontId="43" fillId="0" borderId="0" xfId="46" applyNumberFormat="1" applyFont="1" applyFill="1" applyBorder="1" applyAlignment="1">
      <alignment vertical="center"/>
    </xf>
    <xf numFmtId="0" fontId="43" fillId="0" borderId="0" xfId="46" applyNumberFormat="1" applyFont="1" applyFill="1" applyBorder="1" applyAlignment="1"/>
    <xf numFmtId="0" fontId="44" fillId="0" borderId="0" xfId="41" applyNumberFormat="1" applyFont="1" applyFill="1" applyBorder="1" applyAlignment="1">
      <alignment vertical="center"/>
    </xf>
    <xf numFmtId="0" fontId="44" fillId="0" borderId="0" xfId="41" quotePrefix="1" applyNumberFormat="1" applyFont="1" applyFill="1" applyBorder="1" applyAlignment="1">
      <alignment vertical="center"/>
    </xf>
    <xf numFmtId="0" fontId="32" fillId="0" borderId="0" xfId="0" applyNumberFormat="1" applyFont="1" applyFill="1"/>
    <xf numFmtId="0" fontId="36" fillId="0" borderId="0" xfId="0" applyNumberFormat="1" applyFont="1" applyFill="1"/>
    <xf numFmtId="0" fontId="33" fillId="0" borderId="28" xfId="0" applyNumberFormat="1" applyFont="1" applyFill="1" applyBorder="1" applyAlignment="1">
      <alignment horizontal="center"/>
    </xf>
    <xf numFmtId="0" fontId="33" fillId="0" borderId="29" xfId="0" applyNumberFormat="1" applyFont="1" applyFill="1" applyBorder="1" applyAlignment="1">
      <alignment horizontal="center"/>
    </xf>
    <xf numFmtId="0" fontId="33" fillId="0" borderId="30" xfId="0" applyNumberFormat="1" applyFont="1" applyFill="1" applyBorder="1" applyAlignment="1">
      <alignment horizontal="center"/>
    </xf>
    <xf numFmtId="0" fontId="33" fillId="0" borderId="31" xfId="0" applyNumberFormat="1" applyFont="1" applyFill="1" applyBorder="1" applyAlignment="1">
      <alignment horizontal="center"/>
    </xf>
    <xf numFmtId="0" fontId="33" fillId="0" borderId="32" xfId="0" applyNumberFormat="1" applyFont="1" applyFill="1" applyBorder="1" applyAlignment="1">
      <alignment horizontal="center"/>
    </xf>
    <xf numFmtId="0" fontId="33" fillId="0" borderId="33" xfId="0" applyNumberFormat="1" applyFont="1" applyFill="1" applyBorder="1" applyAlignment="1">
      <alignment horizontal="center"/>
    </xf>
    <xf numFmtId="0" fontId="33" fillId="0" borderId="0" xfId="48" applyNumberFormat="1" applyFont="1" applyFill="1" applyAlignment="1">
      <alignment horizontal="left"/>
    </xf>
    <xf numFmtId="0" fontId="33" fillId="0" borderId="34" xfId="48" applyNumberFormat="1" applyFont="1" applyFill="1" applyBorder="1"/>
    <xf numFmtId="0" fontId="33" fillId="0" borderId="35" xfId="48" applyNumberFormat="1" applyFont="1" applyFill="1" applyBorder="1"/>
    <xf numFmtId="0" fontId="33" fillId="0" borderId="36" xfId="48" applyNumberFormat="1" applyFont="1" applyFill="1" applyBorder="1"/>
    <xf numFmtId="0" fontId="33" fillId="0" borderId="37" xfId="48" applyNumberFormat="1" applyFont="1" applyFill="1" applyBorder="1"/>
    <xf numFmtId="0" fontId="33" fillId="0" borderId="38" xfId="48" applyNumberFormat="1" applyFont="1" applyFill="1" applyBorder="1"/>
    <xf numFmtId="0" fontId="33" fillId="0" borderId="39" xfId="48" applyNumberFormat="1" applyFont="1" applyFill="1" applyBorder="1"/>
    <xf numFmtId="0" fontId="33" fillId="0" borderId="28" xfId="48" applyNumberFormat="1" applyFont="1" applyFill="1" applyBorder="1"/>
    <xf numFmtId="0" fontId="33" fillId="0" borderId="29" xfId="48" applyNumberFormat="1" applyFont="1" applyFill="1" applyBorder="1"/>
    <xf numFmtId="0" fontId="33" fillId="0" borderId="30" xfId="48" applyNumberFormat="1" applyFont="1" applyFill="1" applyBorder="1"/>
    <xf numFmtId="0" fontId="33" fillId="0" borderId="31" xfId="48" applyNumberFormat="1" applyFont="1" applyFill="1" applyBorder="1"/>
    <xf numFmtId="0" fontId="33" fillId="0" borderId="32" xfId="48" applyNumberFormat="1" applyFont="1" applyFill="1" applyBorder="1"/>
    <xf numFmtId="0" fontId="33" fillId="0" borderId="33" xfId="48" applyNumberFormat="1" applyFont="1" applyFill="1" applyBorder="1"/>
    <xf numFmtId="0" fontId="33" fillId="0" borderId="28" xfId="48" applyNumberFormat="1" applyFont="1" applyFill="1" applyBorder="1" applyAlignment="1">
      <alignment horizontal="left"/>
    </xf>
    <xf numFmtId="0" fontId="33" fillId="0" borderId="29" xfId="48" applyNumberFormat="1" applyFont="1" applyFill="1" applyBorder="1" applyAlignment="1">
      <alignment horizontal="left"/>
    </xf>
    <xf numFmtId="0" fontId="33" fillId="0" borderId="30" xfId="48" applyNumberFormat="1" applyFont="1" applyFill="1" applyBorder="1" applyAlignment="1">
      <alignment horizontal="left"/>
    </xf>
    <xf numFmtId="0" fontId="33" fillId="0" borderId="40" xfId="48" applyNumberFormat="1" applyFont="1" applyFill="1" applyBorder="1"/>
    <xf numFmtId="0" fontId="33" fillId="0" borderId="41" xfId="48" applyNumberFormat="1" applyFont="1" applyFill="1" applyBorder="1" applyAlignment="1"/>
    <xf numFmtId="0" fontId="33" fillId="0" borderId="42" xfId="48" applyNumberFormat="1" applyFont="1" applyFill="1" applyBorder="1" applyAlignment="1"/>
    <xf numFmtId="0" fontId="33" fillId="0" borderId="19" xfId="48" applyNumberFormat="1" applyFont="1" applyFill="1" applyBorder="1" applyAlignment="1">
      <alignment horizontal="center"/>
    </xf>
    <xf numFmtId="0" fontId="27" fillId="0" borderId="43" xfId="0" applyNumberFormat="1" applyFont="1" applyFill="1" applyBorder="1" applyAlignment="1"/>
    <xf numFmtId="0" fontId="27" fillId="0" borderId="44" xfId="0" applyNumberFormat="1" applyFont="1" applyFill="1" applyBorder="1" applyAlignment="1"/>
    <xf numFmtId="0" fontId="27" fillId="0" borderId="45" xfId="0" applyNumberFormat="1" applyFont="1" applyFill="1" applyBorder="1" applyAlignment="1"/>
    <xf numFmtId="0" fontId="32" fillId="0" borderId="44" xfId="0" applyNumberFormat="1" applyFont="1" applyFill="1" applyBorder="1"/>
    <xf numFmtId="0" fontId="47" fillId="0" borderId="0" xfId="44" applyNumberFormat="1" applyFont="1" applyAlignment="1" applyProtection="1">
      <alignment horizontal="center" vertical="center"/>
      <protection hidden="1"/>
    </xf>
    <xf numFmtId="0" fontId="48" fillId="0" borderId="0" xfId="44" applyNumberFormat="1" applyFont="1" applyAlignment="1" applyProtection="1">
      <alignment horizontal="center" vertical="center"/>
      <protection hidden="1"/>
    </xf>
    <xf numFmtId="0" fontId="48" fillId="0" borderId="0" xfId="53" applyNumberFormat="1" applyFont="1" applyAlignment="1" applyProtection="1">
      <alignment horizontal="center" vertical="center"/>
      <protection hidden="1"/>
    </xf>
    <xf numFmtId="0" fontId="48" fillId="0" borderId="46" xfId="42" applyNumberFormat="1" applyFont="1" applyBorder="1" applyAlignment="1" applyProtection="1">
      <alignment horizontal="center" vertical="center"/>
      <protection hidden="1"/>
    </xf>
    <xf numFmtId="0" fontId="48" fillId="0" borderId="19" xfId="42" applyNumberFormat="1" applyFont="1" applyBorder="1" applyAlignment="1" applyProtection="1">
      <alignment horizontal="center" vertical="center"/>
      <protection hidden="1"/>
    </xf>
    <xf numFmtId="0" fontId="49" fillId="0" borderId="19" xfId="29" applyNumberFormat="1" applyFont="1" applyBorder="1" applyAlignment="1" applyProtection="1">
      <alignment horizontal="center" vertical="center"/>
      <protection hidden="1"/>
    </xf>
    <xf numFmtId="0" fontId="49" fillId="0" borderId="19" xfId="42" applyNumberFormat="1" applyFont="1" applyBorder="1" applyAlignment="1" applyProtection="1">
      <alignment horizontal="center" vertical="center"/>
      <protection hidden="1"/>
    </xf>
    <xf numFmtId="0" fontId="47" fillId="0" borderId="19" xfId="42" applyNumberFormat="1" applyFont="1" applyBorder="1" applyAlignment="1" applyProtection="1">
      <alignment horizontal="center" vertical="center"/>
      <protection hidden="1"/>
    </xf>
    <xf numFmtId="0" fontId="47" fillId="0" borderId="19" xfId="29" applyNumberFormat="1" applyFont="1" applyBorder="1" applyAlignment="1" applyProtection="1">
      <alignment horizontal="center" vertical="center"/>
      <protection hidden="1"/>
    </xf>
    <xf numFmtId="0" fontId="48" fillId="0" borderId="46" xfId="42" applyNumberFormat="1" applyFont="1" applyBorder="1" applyAlignment="1" applyProtection="1">
      <alignment horizontal="center" vertical="center" wrapText="1"/>
      <protection hidden="1"/>
    </xf>
    <xf numFmtId="0" fontId="48" fillId="0" borderId="19" xfId="42" applyNumberFormat="1" applyFont="1" applyBorder="1" applyAlignment="1" applyProtection="1">
      <alignment horizontal="center" vertical="center" wrapText="1"/>
      <protection hidden="1"/>
    </xf>
    <xf numFmtId="10" fontId="64" fillId="26" borderId="19" xfId="44" applyNumberFormat="1" applyFont="1" applyFill="1" applyBorder="1" applyAlignment="1" applyProtection="1">
      <alignment horizontal="center" vertical="center"/>
      <protection hidden="1"/>
    </xf>
    <xf numFmtId="0" fontId="65" fillId="29" borderId="19" xfId="44" applyNumberFormat="1" applyFont="1" applyFill="1" applyBorder="1" applyAlignment="1" applyProtection="1">
      <alignment horizontal="center" vertical="center"/>
      <protection hidden="1"/>
    </xf>
    <xf numFmtId="0" fontId="51" fillId="0" borderId="0" xfId="0" applyNumberFormat="1" applyFont="1" applyFill="1" applyAlignment="1">
      <alignment horizontal="justify" vertical="top" wrapText="1"/>
    </xf>
    <xf numFmtId="0" fontId="51" fillId="0" borderId="0" xfId="0" applyNumberFormat="1" applyFont="1" applyFill="1" applyAlignment="1">
      <alignment vertical="top" wrapText="1"/>
    </xf>
    <xf numFmtId="0" fontId="50" fillId="0" borderId="0" xfId="0" applyNumberFormat="1" applyFont="1" applyFill="1" applyAlignment="1">
      <alignment vertical="top"/>
    </xf>
    <xf numFmtId="0" fontId="51" fillId="0" borderId="0" xfId="0" applyNumberFormat="1" applyFont="1" applyFill="1" applyBorder="1" applyAlignment="1">
      <alignment horizontal="left" vertical="top" wrapText="1"/>
    </xf>
    <xf numFmtId="0" fontId="50" fillId="0" borderId="0" xfId="0" applyNumberFormat="1" applyFont="1" applyFill="1" applyBorder="1" applyAlignment="1">
      <alignment horizontal="center" vertical="top"/>
    </xf>
    <xf numFmtId="0" fontId="51" fillId="0" borderId="0" xfId="0" applyNumberFormat="1" applyFont="1" applyFill="1" applyBorder="1" applyAlignment="1">
      <alignment horizontal="left" vertical="top"/>
    </xf>
    <xf numFmtId="0" fontId="50" fillId="0" borderId="0" xfId="0" applyNumberFormat="1" applyFont="1" applyFill="1" applyBorder="1" applyAlignment="1">
      <alignment vertical="top"/>
    </xf>
    <xf numFmtId="0" fontId="50" fillId="0" borderId="0" xfId="0" applyNumberFormat="1" applyFont="1" applyFill="1" applyAlignment="1">
      <alignment horizontal="center" vertical="top"/>
    </xf>
    <xf numFmtId="0" fontId="51" fillId="0" borderId="0" xfId="0" applyNumberFormat="1" applyFont="1" applyFill="1" applyAlignment="1">
      <alignment horizontal="left" vertical="top"/>
    </xf>
    <xf numFmtId="0" fontId="51" fillId="0" borderId="0" xfId="0" applyNumberFormat="1" applyFont="1" applyFill="1" applyAlignment="1">
      <alignment vertical="top"/>
    </xf>
    <xf numFmtId="0" fontId="51" fillId="0" borderId="0" xfId="0" applyNumberFormat="1" applyFont="1" applyFill="1" applyBorder="1" applyAlignment="1">
      <alignment horizontal="right" vertical="top"/>
    </xf>
    <xf numFmtId="0" fontId="50" fillId="0" borderId="0" xfId="0" applyNumberFormat="1" applyFont="1" applyFill="1" applyAlignment="1">
      <alignment horizontal="left" vertical="top"/>
    </xf>
    <xf numFmtId="0" fontId="51" fillId="0" borderId="0" xfId="0" applyNumberFormat="1" applyFont="1" applyFill="1" applyAlignment="1">
      <alignment horizontal="justify" vertical="top"/>
    </xf>
    <xf numFmtId="0" fontId="50" fillId="0" borderId="0" xfId="28" applyNumberFormat="1" applyFont="1" applyFill="1" applyAlignment="1">
      <alignment horizontal="left" vertical="top" wrapText="1"/>
    </xf>
    <xf numFmtId="0" fontId="50" fillId="0" borderId="0" xfId="0" applyNumberFormat="1" applyFont="1" applyFill="1" applyBorder="1" applyAlignment="1">
      <alignment horizontal="left" vertical="top" wrapText="1"/>
    </xf>
    <xf numFmtId="0" fontId="51" fillId="0" borderId="0" xfId="0" applyNumberFormat="1" applyFont="1" applyFill="1" applyBorder="1" applyAlignment="1">
      <alignment horizontal="justify" vertical="top" wrapText="1"/>
    </xf>
    <xf numFmtId="0" fontId="51" fillId="0" borderId="0" xfId="0" applyNumberFormat="1" applyFont="1" applyFill="1" applyBorder="1" applyAlignment="1">
      <alignment vertical="top" wrapText="1"/>
    </xf>
    <xf numFmtId="0" fontId="50" fillId="0" borderId="49" xfId="0" applyNumberFormat="1" applyFont="1" applyFill="1" applyBorder="1" applyAlignment="1">
      <alignment horizontal="center" vertical="top"/>
    </xf>
    <xf numFmtId="0" fontId="51" fillId="0" borderId="50" xfId="0" applyNumberFormat="1" applyFont="1" applyFill="1" applyBorder="1" applyAlignment="1">
      <alignment horizontal="left" vertical="top"/>
    </xf>
    <xf numFmtId="0" fontId="51" fillId="0" borderId="49" xfId="0" applyNumberFormat="1" applyFont="1" applyFill="1" applyBorder="1" applyAlignment="1">
      <alignment horizontal="left" vertical="top"/>
    </xf>
    <xf numFmtId="0" fontId="51" fillId="0" borderId="0" xfId="0" applyNumberFormat="1" applyFont="1" applyFill="1" applyBorder="1" applyAlignment="1">
      <alignment vertical="top"/>
    </xf>
    <xf numFmtId="0" fontId="51" fillId="0" borderId="49" xfId="0" applyNumberFormat="1" applyFont="1" applyFill="1" applyBorder="1" applyAlignment="1">
      <alignment vertical="top"/>
    </xf>
    <xf numFmtId="0" fontId="50" fillId="0" borderId="0" xfId="0" applyNumberFormat="1" applyFont="1" applyFill="1" applyBorder="1" applyAlignment="1">
      <alignment vertical="top" wrapText="1"/>
    </xf>
    <xf numFmtId="0" fontId="50" fillId="0" borderId="49" xfId="0" applyNumberFormat="1" applyFont="1" applyFill="1" applyBorder="1" applyAlignment="1">
      <alignment vertical="top" wrapText="1"/>
    </xf>
    <xf numFmtId="0" fontId="51" fillId="0" borderId="49" xfId="0" applyNumberFormat="1" applyFont="1" applyFill="1" applyBorder="1" applyAlignment="1">
      <alignment horizontal="left" vertical="top" wrapText="1"/>
    </xf>
    <xf numFmtId="0" fontId="50" fillId="0" borderId="49" xfId="0" applyNumberFormat="1" applyFont="1" applyFill="1" applyBorder="1" applyAlignment="1">
      <alignment vertical="top"/>
    </xf>
    <xf numFmtId="0" fontId="50" fillId="0" borderId="0" xfId="0" applyNumberFormat="1" applyFont="1" applyFill="1" applyBorder="1" applyAlignment="1">
      <alignment horizontal="left" vertical="top"/>
    </xf>
    <xf numFmtId="0" fontId="51" fillId="0" borderId="0" xfId="0" applyNumberFormat="1" applyFont="1" applyFill="1" applyAlignment="1">
      <alignment horizontal="center" vertical="top"/>
    </xf>
    <xf numFmtId="0" fontId="50" fillId="0" borderId="0" xfId="0" applyNumberFormat="1" applyFont="1" applyFill="1" applyAlignment="1">
      <alignment horizontal="justify" vertical="top"/>
    </xf>
    <xf numFmtId="0" fontId="50" fillId="0" borderId="0" xfId="0" applyNumberFormat="1" applyFont="1" applyFill="1" applyAlignment="1">
      <alignment horizontal="justify" vertical="top" wrapText="1"/>
    </xf>
    <xf numFmtId="0" fontId="51" fillId="0" borderId="50" xfId="0" applyNumberFormat="1" applyFont="1" applyFill="1" applyBorder="1" applyAlignment="1">
      <alignment vertical="top"/>
    </xf>
    <xf numFmtId="0" fontId="50" fillId="0" borderId="0" xfId="0" applyNumberFormat="1" applyFont="1" applyFill="1" applyBorder="1" applyAlignment="1">
      <alignment horizontal="right" vertical="top"/>
    </xf>
    <xf numFmtId="0" fontId="51" fillId="0" borderId="0" xfId="0" applyNumberFormat="1" applyFont="1" applyFill="1" applyBorder="1" applyAlignment="1">
      <alignment vertical="center"/>
    </xf>
    <xf numFmtId="0" fontId="51" fillId="0" borderId="0" xfId="0" applyNumberFormat="1" applyFont="1" applyFill="1" applyAlignment="1">
      <alignment horizontal="left" vertical="center"/>
    </xf>
    <xf numFmtId="0" fontId="50" fillId="0" borderId="0" xfId="0" applyNumberFormat="1" applyFont="1" applyFill="1" applyAlignment="1">
      <alignment horizontal="left" vertical="center"/>
    </xf>
    <xf numFmtId="0" fontId="50" fillId="0" borderId="0" xfId="0" applyNumberFormat="1" applyFont="1" applyFill="1" applyBorder="1" applyAlignment="1">
      <alignment vertical="center"/>
    </xf>
    <xf numFmtId="0" fontId="51" fillId="0" borderId="0" xfId="0" applyNumberFormat="1" applyFont="1" applyFill="1" applyBorder="1" applyAlignment="1">
      <alignment vertical="center" wrapText="1"/>
    </xf>
    <xf numFmtId="0" fontId="51" fillId="0" borderId="0" xfId="0" applyNumberFormat="1" applyFont="1" applyFill="1" applyBorder="1" applyAlignment="1">
      <alignment horizontal="left" vertical="center"/>
    </xf>
    <xf numFmtId="0" fontId="51" fillId="0" borderId="0" xfId="0" applyNumberFormat="1" applyFont="1" applyFill="1" applyAlignment="1">
      <alignment vertical="center"/>
    </xf>
    <xf numFmtId="0" fontId="51" fillId="0" borderId="0" xfId="0" applyNumberFormat="1" applyFont="1" applyFill="1" applyBorder="1" applyAlignment="1">
      <alignment horizontal="justify" vertical="top"/>
    </xf>
    <xf numFmtId="0" fontId="50" fillId="0" borderId="0" xfId="0" applyNumberFormat="1" applyFont="1" applyFill="1" applyAlignment="1">
      <alignment vertical="center"/>
    </xf>
    <xf numFmtId="0" fontId="51" fillId="0" borderId="0" xfId="0" applyNumberFormat="1" applyFont="1" applyFill="1" applyAlignment="1">
      <alignment horizontal="center" vertical="center"/>
    </xf>
    <xf numFmtId="0" fontId="50" fillId="0" borderId="0" xfId="0" applyNumberFormat="1" applyFont="1" applyFill="1" applyBorder="1" applyAlignment="1">
      <alignment horizontal="justify" vertical="top"/>
    </xf>
    <xf numFmtId="0" fontId="50" fillId="0" borderId="49" xfId="0" applyNumberFormat="1" applyFont="1" applyFill="1" applyBorder="1" applyAlignment="1">
      <alignment horizontal="left" vertical="top"/>
    </xf>
    <xf numFmtId="0" fontId="51" fillId="0" borderId="51" xfId="0" applyNumberFormat="1" applyFont="1" applyFill="1" applyBorder="1" applyAlignment="1">
      <alignment horizontal="justify" vertical="top"/>
    </xf>
    <xf numFmtId="0" fontId="51" fillId="0" borderId="52" xfId="0" applyNumberFormat="1" applyFont="1" applyFill="1" applyBorder="1" applyAlignment="1">
      <alignment horizontal="justify" vertical="top"/>
    </xf>
    <xf numFmtId="0" fontId="50" fillId="0" borderId="49" xfId="0" applyNumberFormat="1" applyFont="1" applyFill="1" applyBorder="1" applyAlignment="1">
      <alignment horizontal="justify" vertical="top"/>
    </xf>
    <xf numFmtId="0" fontId="50" fillId="0" borderId="50" xfId="0" applyNumberFormat="1" applyFont="1" applyFill="1" applyBorder="1" applyAlignment="1">
      <alignment horizontal="justify" vertical="top"/>
    </xf>
    <xf numFmtId="0" fontId="51" fillId="0" borderId="49" xfId="0" applyNumberFormat="1" applyFont="1" applyFill="1" applyBorder="1" applyAlignment="1">
      <alignment horizontal="justify" vertical="top"/>
    </xf>
    <xf numFmtId="0" fontId="51" fillId="0" borderId="50" xfId="0" applyNumberFormat="1" applyFont="1" applyFill="1" applyBorder="1" applyAlignment="1">
      <alignment vertical="center"/>
    </xf>
    <xf numFmtId="0" fontId="51" fillId="0" borderId="50" xfId="0" applyNumberFormat="1" applyFont="1" applyFill="1" applyBorder="1" applyAlignment="1">
      <alignment horizontal="justify" vertical="top"/>
    </xf>
    <xf numFmtId="0" fontId="51" fillId="0" borderId="50" xfId="0" applyNumberFormat="1" applyFont="1" applyFill="1" applyBorder="1" applyAlignment="1">
      <alignment horizontal="justify" vertical="top" wrapText="1"/>
    </xf>
    <xf numFmtId="0" fontId="50" fillId="0" borderId="49" xfId="0" applyNumberFormat="1" applyFont="1" applyFill="1" applyBorder="1" applyAlignment="1">
      <alignment horizontal="justify" vertical="top" wrapText="1"/>
    </xf>
    <xf numFmtId="0" fontId="50" fillId="0" borderId="0" xfId="0" applyNumberFormat="1" applyFont="1" applyFill="1" applyBorder="1" applyAlignment="1">
      <alignment horizontal="justify" vertical="top" wrapText="1"/>
    </xf>
    <xf numFmtId="0" fontId="51" fillId="0" borderId="49" xfId="0" applyNumberFormat="1" applyFont="1" applyFill="1" applyBorder="1" applyAlignment="1">
      <alignment horizontal="right" vertical="top"/>
    </xf>
    <xf numFmtId="0" fontId="50" fillId="0" borderId="49" xfId="0" applyNumberFormat="1" applyFont="1" applyFill="1" applyBorder="1" applyAlignment="1">
      <alignment horizontal="right" vertical="top"/>
    </xf>
    <xf numFmtId="0" fontId="50" fillId="0" borderId="49" xfId="0" applyNumberFormat="1" applyFont="1" applyFill="1" applyBorder="1" applyAlignment="1">
      <alignment horizontal="left" vertical="top" wrapText="1"/>
    </xf>
    <xf numFmtId="0" fontId="50" fillId="0" borderId="53" xfId="0" applyNumberFormat="1" applyFont="1" applyFill="1" applyBorder="1" applyAlignment="1">
      <alignment horizontal="left" vertical="top"/>
    </xf>
    <xf numFmtId="0" fontId="51" fillId="0" borderId="13" xfId="0" applyNumberFormat="1" applyFont="1" applyFill="1" applyBorder="1" applyAlignment="1">
      <alignment horizontal="justify" vertical="top"/>
    </xf>
    <xf numFmtId="0" fontId="51" fillId="0" borderId="13" xfId="0" applyNumberFormat="1" applyFont="1" applyFill="1" applyBorder="1" applyAlignment="1">
      <alignment horizontal="justify" vertical="top" wrapText="1"/>
    </xf>
    <xf numFmtId="0" fontId="51" fillId="0" borderId="54" xfId="0" applyNumberFormat="1" applyFont="1" applyFill="1" applyBorder="1" applyAlignment="1">
      <alignment horizontal="justify" vertical="top"/>
    </xf>
    <xf numFmtId="0" fontId="51" fillId="0" borderId="53" xfId="0" applyNumberFormat="1" applyFont="1" applyFill="1" applyBorder="1" applyAlignment="1">
      <alignment horizontal="justify" vertical="top"/>
    </xf>
    <xf numFmtId="0" fontId="51" fillId="0" borderId="0" xfId="0" applyNumberFormat="1" applyFont="1" applyFill="1" applyAlignment="1">
      <alignment horizontal="left" vertical="top" wrapText="1"/>
    </xf>
    <xf numFmtId="0" fontId="51" fillId="0" borderId="50" xfId="0" applyNumberFormat="1" applyFont="1" applyFill="1" applyBorder="1" applyAlignment="1">
      <alignment vertical="top" wrapText="1"/>
    </xf>
    <xf numFmtId="0" fontId="50" fillId="0" borderId="44" xfId="0" applyNumberFormat="1" applyFont="1" applyFill="1" applyBorder="1" applyAlignment="1">
      <alignment vertical="center"/>
    </xf>
    <xf numFmtId="164" fontId="25" fillId="0" borderId="14" xfId="0" applyNumberFormat="1" applyFont="1" applyBorder="1" applyAlignment="1">
      <alignment horizontal="left"/>
    </xf>
    <xf numFmtId="164" fontId="24" fillId="0" borderId="0" xfId="0" applyFont="1" applyAlignment="1">
      <alignment horizontal="left"/>
    </xf>
    <xf numFmtId="0" fontId="50" fillId="0" borderId="0" xfId="0" applyNumberFormat="1" applyFont="1" applyFill="1" applyAlignment="1" applyProtection="1">
      <alignment horizontal="center" vertical="center"/>
    </xf>
    <xf numFmtId="0" fontId="50" fillId="0" borderId="0" xfId="0" applyNumberFormat="1" applyFont="1" applyFill="1" applyAlignment="1" applyProtection="1">
      <alignment horizontal="left" vertical="center"/>
    </xf>
    <xf numFmtId="0" fontId="51" fillId="0" borderId="0" xfId="0" applyNumberFormat="1" applyFont="1" applyFill="1" applyAlignment="1" applyProtection="1">
      <alignment horizontal="justify" vertical="top"/>
    </xf>
    <xf numFmtId="0" fontId="51" fillId="0" borderId="0" xfId="0" applyNumberFormat="1" applyFont="1" applyFill="1" applyBorder="1" applyAlignment="1" applyProtection="1">
      <alignment horizontal="center" vertical="center"/>
    </xf>
    <xf numFmtId="0" fontId="51" fillId="0" borderId="0" xfId="0" applyNumberFormat="1" applyFont="1" applyFill="1" applyAlignment="1" applyProtection="1">
      <alignment horizontal="left" vertical="center"/>
    </xf>
    <xf numFmtId="0" fontId="50" fillId="0" borderId="0" xfId="0" applyNumberFormat="1" applyFont="1" applyFill="1" applyBorder="1" applyAlignment="1" applyProtection="1">
      <alignment horizontal="justify" vertical="top"/>
    </xf>
    <xf numFmtId="0" fontId="51" fillId="0" borderId="0" xfId="0" applyNumberFormat="1" applyFont="1" applyFill="1" applyBorder="1" applyAlignment="1" applyProtection="1">
      <alignment horizontal="justify" vertical="top"/>
    </xf>
    <xf numFmtId="0" fontId="51" fillId="0" borderId="0" xfId="0" applyNumberFormat="1" applyFont="1" applyFill="1" applyBorder="1" applyAlignment="1" applyProtection="1">
      <alignment horizontal="left" vertical="center" wrapText="1"/>
    </xf>
    <xf numFmtId="0" fontId="51" fillId="0" borderId="0" xfId="0" applyNumberFormat="1" applyFont="1" applyFill="1" applyBorder="1" applyAlignment="1" applyProtection="1">
      <alignment vertical="center" wrapText="1"/>
    </xf>
    <xf numFmtId="0" fontId="50" fillId="0" borderId="0" xfId="0" applyNumberFormat="1" applyFont="1" applyFill="1" applyBorder="1" applyAlignment="1" applyProtection="1">
      <alignment horizontal="left" vertical="center"/>
    </xf>
    <xf numFmtId="0" fontId="50" fillId="0" borderId="0" xfId="0" applyNumberFormat="1" applyFont="1" applyFill="1" applyAlignment="1" applyProtection="1">
      <alignment horizontal="justify" vertical="top"/>
    </xf>
    <xf numFmtId="0" fontId="51" fillId="0" borderId="0" xfId="0" applyNumberFormat="1" applyFont="1" applyFill="1" applyBorder="1" applyAlignment="1" applyProtection="1">
      <alignment horizontal="left" vertical="center"/>
    </xf>
    <xf numFmtId="0" fontId="51" fillId="0" borderId="0" xfId="0" applyNumberFormat="1" applyFont="1" applyFill="1" applyBorder="1" applyAlignment="1" applyProtection="1">
      <alignment vertical="center"/>
    </xf>
    <xf numFmtId="0" fontId="50" fillId="0" borderId="0" xfId="0" applyNumberFormat="1" applyFont="1" applyFill="1" applyBorder="1" applyAlignment="1" applyProtection="1">
      <alignment horizontal="center" vertical="center"/>
    </xf>
    <xf numFmtId="0" fontId="52" fillId="0" borderId="0" xfId="0" applyNumberFormat="1" applyFont="1" applyFill="1" applyBorder="1" applyAlignment="1" applyProtection="1">
      <alignment horizontal="left" vertical="center"/>
    </xf>
    <xf numFmtId="0" fontId="51" fillId="0" borderId="0" xfId="0" applyNumberFormat="1" applyFont="1" applyFill="1" applyBorder="1" applyAlignment="1" applyProtection="1">
      <alignment horizontal="justify" vertical="top" wrapText="1"/>
    </xf>
    <xf numFmtId="0" fontId="50" fillId="0" borderId="0" xfId="0" applyNumberFormat="1" applyFont="1" applyFill="1" applyBorder="1" applyAlignment="1" applyProtection="1">
      <alignment horizontal="justify" vertical="top" wrapText="1"/>
    </xf>
    <xf numFmtId="0" fontId="50" fillId="0" borderId="45" xfId="0" applyNumberFormat="1" applyFont="1" applyFill="1" applyBorder="1" applyAlignment="1" applyProtection="1">
      <alignment horizontal="center" vertical="center" wrapText="1"/>
    </xf>
    <xf numFmtId="0" fontId="50" fillId="0" borderId="49" xfId="0" applyNumberFormat="1" applyFont="1" applyFill="1" applyBorder="1" applyAlignment="1" applyProtection="1">
      <alignment horizontal="left" vertical="center"/>
    </xf>
    <xf numFmtId="0" fontId="50" fillId="0" borderId="0" xfId="0" applyNumberFormat="1" applyFont="1" applyFill="1" applyBorder="1" applyAlignment="1" applyProtection="1">
      <alignment vertical="center"/>
    </xf>
    <xf numFmtId="0" fontId="51" fillId="0" borderId="49" xfId="0" applyNumberFormat="1" applyFont="1" applyFill="1" applyBorder="1" applyAlignment="1" applyProtection="1">
      <alignment vertical="center" wrapText="1"/>
    </xf>
    <xf numFmtId="0" fontId="51" fillId="0" borderId="50" xfId="0" applyNumberFormat="1" applyFont="1" applyFill="1" applyBorder="1" applyAlignment="1" applyProtection="1">
      <alignment horizontal="left" vertical="center"/>
    </xf>
    <xf numFmtId="0" fontId="51" fillId="0" borderId="49" xfId="0" applyNumberFormat="1" applyFont="1" applyFill="1" applyBorder="1" applyAlignment="1" applyProtection="1">
      <alignment horizontal="left" vertical="center"/>
    </xf>
    <xf numFmtId="0" fontId="51" fillId="0" borderId="49" xfId="0" applyNumberFormat="1" applyFont="1" applyFill="1" applyBorder="1" applyAlignment="1" applyProtection="1">
      <alignment vertical="center"/>
    </xf>
    <xf numFmtId="0" fontId="50" fillId="0" borderId="0" xfId="0" applyNumberFormat="1" applyFont="1" applyFill="1" applyBorder="1" applyAlignment="1" applyProtection="1">
      <alignment vertical="center" wrapText="1"/>
    </xf>
    <xf numFmtId="0" fontId="51" fillId="0" borderId="49" xfId="0" applyNumberFormat="1" applyFont="1" applyFill="1" applyBorder="1" applyAlignment="1" applyProtection="1">
      <alignment horizontal="left" vertical="center" wrapText="1"/>
    </xf>
    <xf numFmtId="0" fontId="50" fillId="0" borderId="0" xfId="0" applyNumberFormat="1" applyFont="1" applyFill="1" applyBorder="1" applyAlignment="1" applyProtection="1">
      <alignment vertical="top"/>
    </xf>
    <xf numFmtId="0" fontId="51" fillId="0" borderId="0" xfId="0" applyNumberFormat="1" applyFont="1" applyFill="1" applyBorder="1" applyAlignment="1" applyProtection="1">
      <alignment horizontal="center" vertical="center" wrapText="1"/>
    </xf>
    <xf numFmtId="0" fontId="50" fillId="0" borderId="49" xfId="0" applyNumberFormat="1" applyFont="1" applyFill="1" applyBorder="1" applyAlignment="1" applyProtection="1">
      <alignment horizontal="center" vertical="center"/>
    </xf>
    <xf numFmtId="0" fontId="51" fillId="0" borderId="53" xfId="0" applyNumberFormat="1" applyFont="1" applyFill="1" applyBorder="1" applyAlignment="1" applyProtection="1">
      <alignment horizontal="left" vertical="center"/>
    </xf>
    <xf numFmtId="0" fontId="51" fillId="0" borderId="13" xfId="0" applyNumberFormat="1" applyFont="1" applyFill="1" applyBorder="1" applyAlignment="1" applyProtection="1">
      <alignment horizontal="left" vertical="center"/>
    </xf>
    <xf numFmtId="0" fontId="51" fillId="0" borderId="54" xfId="0" applyNumberFormat="1" applyFont="1" applyFill="1" applyBorder="1" applyAlignment="1" applyProtection="1">
      <alignment horizontal="left" vertical="center"/>
    </xf>
    <xf numFmtId="0" fontId="44" fillId="0" borderId="0" xfId="41" applyNumberFormat="1" applyFont="1" applyFill="1" applyAlignment="1" applyProtection="1">
      <alignment vertical="center"/>
    </xf>
    <xf numFmtId="0" fontId="43" fillId="0" borderId="0" xfId="46" applyNumberFormat="1" applyFont="1" applyFill="1" applyAlignment="1" applyProtection="1">
      <alignment vertical="center"/>
    </xf>
    <xf numFmtId="0" fontId="43" fillId="0" borderId="0" xfId="46" applyNumberFormat="1" applyFont="1" applyFill="1" applyBorder="1" applyAlignment="1" applyProtection="1">
      <alignment vertical="center"/>
    </xf>
    <xf numFmtId="0" fontId="44" fillId="0" borderId="19" xfId="41" applyNumberFormat="1" applyFont="1" applyFill="1" applyBorder="1" applyAlignment="1" applyProtection="1">
      <alignment horizontal="center" vertical="center" wrapText="1"/>
    </xf>
    <xf numFmtId="0" fontId="44" fillId="0" borderId="43" xfId="41" applyNumberFormat="1" applyFont="1" applyFill="1" applyBorder="1" applyAlignment="1" applyProtection="1">
      <alignment horizontal="center" vertical="center" wrapText="1"/>
    </xf>
    <xf numFmtId="0" fontId="45" fillId="0" borderId="19" xfId="41" applyNumberFormat="1" applyFont="1" applyFill="1" applyBorder="1" applyAlignment="1" applyProtection="1">
      <alignment horizontal="center" vertical="center"/>
    </xf>
    <xf numFmtId="0" fontId="44" fillId="0" borderId="19" xfId="41" applyNumberFormat="1" applyFont="1" applyFill="1" applyBorder="1" applyAlignment="1" applyProtection="1">
      <alignment horizontal="center" vertical="center"/>
    </xf>
    <xf numFmtId="0" fontId="44" fillId="0" borderId="43" xfId="41" applyNumberFormat="1" applyFont="1" applyFill="1" applyBorder="1" applyAlignment="1" applyProtection="1">
      <alignment horizontal="center" vertical="center"/>
    </xf>
    <xf numFmtId="0" fontId="44" fillId="0" borderId="0" xfId="41" applyNumberFormat="1" applyFont="1" applyFill="1" applyAlignment="1" applyProtection="1">
      <alignment horizontal="left" vertical="center"/>
    </xf>
    <xf numFmtId="0" fontId="43" fillId="0" borderId="49" xfId="46" applyNumberFormat="1" applyFont="1" applyFill="1" applyBorder="1" applyAlignment="1" applyProtection="1">
      <alignment vertical="center"/>
    </xf>
    <xf numFmtId="0" fontId="44" fillId="0" borderId="52" xfId="41" applyNumberFormat="1" applyFont="1" applyFill="1" applyBorder="1" applyAlignment="1" applyProtection="1">
      <alignment vertical="center" wrapText="1"/>
    </xf>
    <xf numFmtId="0" fontId="43" fillId="0" borderId="51" xfId="46" applyNumberFormat="1" applyFont="1" applyFill="1" applyBorder="1" applyAlignment="1" applyProtection="1">
      <alignment vertical="center"/>
    </xf>
    <xf numFmtId="0" fontId="43" fillId="0" borderId="52" xfId="46" applyNumberFormat="1" applyFont="1" applyFill="1" applyBorder="1" applyAlignment="1" applyProtection="1">
      <alignment vertical="center"/>
    </xf>
    <xf numFmtId="0" fontId="43" fillId="0" borderId="49" xfId="46" applyNumberFormat="1" applyFont="1" applyFill="1" applyBorder="1" applyAlignment="1" applyProtection="1">
      <alignment vertical="center" wrapText="1"/>
    </xf>
    <xf numFmtId="0" fontId="43" fillId="0" borderId="0" xfId="46" applyNumberFormat="1" applyFont="1" applyFill="1" applyBorder="1" applyAlignment="1" applyProtection="1">
      <alignment vertical="center" wrapText="1"/>
    </xf>
    <xf numFmtId="0" fontId="45" fillId="0" borderId="49" xfId="41" applyNumberFormat="1" applyFont="1" applyFill="1" applyBorder="1" applyAlignment="1" applyProtection="1">
      <alignment horizontal="left" vertical="top" wrapText="1"/>
    </xf>
    <xf numFmtId="0" fontId="44" fillId="0" borderId="49" xfId="41" applyNumberFormat="1" applyFont="1" applyFill="1" applyBorder="1" applyAlignment="1" applyProtection="1">
      <alignment vertical="top" wrapText="1"/>
    </xf>
    <xf numFmtId="0" fontId="44" fillId="0" borderId="0" xfId="41" applyNumberFormat="1" applyFont="1" applyFill="1" applyBorder="1" applyAlignment="1" applyProtection="1">
      <alignment vertical="top" wrapText="1"/>
    </xf>
    <xf numFmtId="0" fontId="50" fillId="0" borderId="49" xfId="0" applyNumberFormat="1" applyFont="1" applyFill="1" applyBorder="1" applyAlignment="1" applyProtection="1">
      <alignment horizontal="right" vertical="top" wrapText="1"/>
    </xf>
    <xf numFmtId="0" fontId="44" fillId="0" borderId="0" xfId="41" applyNumberFormat="1" applyFont="1" applyFill="1" applyBorder="1" applyAlignment="1" applyProtection="1">
      <alignment horizontal="left" vertical="top" wrapText="1"/>
    </xf>
    <xf numFmtId="0" fontId="43" fillId="0" borderId="50" xfId="46" applyNumberFormat="1" applyFont="1" applyFill="1" applyBorder="1" applyAlignment="1" applyProtection="1">
      <alignment vertical="center"/>
    </xf>
    <xf numFmtId="0" fontId="45" fillId="0" borderId="49" xfId="41" applyNumberFormat="1" applyFont="1" applyFill="1" applyBorder="1" applyAlignment="1" applyProtection="1">
      <alignment horizontal="right" vertical="center" wrapText="1"/>
    </xf>
    <xf numFmtId="0" fontId="44" fillId="0" borderId="13" xfId="41" applyNumberFormat="1" applyFont="1" applyFill="1" applyBorder="1" applyAlignment="1" applyProtection="1">
      <alignment vertical="center" wrapText="1"/>
    </xf>
    <xf numFmtId="0" fontId="44" fillId="0" borderId="0" xfId="41" applyNumberFormat="1" applyFont="1" applyFill="1" applyBorder="1" applyAlignment="1" applyProtection="1">
      <alignment vertical="center" wrapText="1"/>
    </xf>
    <xf numFmtId="0" fontId="44" fillId="0" borderId="53" xfId="41" applyNumberFormat="1" applyFont="1" applyFill="1" applyBorder="1" applyAlignment="1" applyProtection="1">
      <alignment vertical="center"/>
    </xf>
    <xf numFmtId="0" fontId="44" fillId="0" borderId="13" xfId="41" applyNumberFormat="1" applyFont="1" applyFill="1" applyBorder="1" applyAlignment="1" applyProtection="1">
      <alignment vertical="center"/>
    </xf>
    <xf numFmtId="0" fontId="43" fillId="0" borderId="13" xfId="46" applyNumberFormat="1" applyFont="1" applyFill="1" applyBorder="1" applyAlignment="1" applyProtection="1"/>
    <xf numFmtId="0" fontId="43" fillId="0" borderId="53" xfId="46" applyNumberFormat="1" applyFont="1" applyFill="1" applyBorder="1" applyAlignment="1" applyProtection="1"/>
    <xf numFmtId="0" fontId="44" fillId="0" borderId="54" xfId="41" applyNumberFormat="1" applyFont="1" applyFill="1" applyBorder="1" applyAlignment="1" applyProtection="1">
      <alignment vertical="center" wrapText="1"/>
    </xf>
    <xf numFmtId="0" fontId="51" fillId="0" borderId="0" xfId="0" applyNumberFormat="1" applyFont="1" applyFill="1" applyAlignment="1" applyProtection="1">
      <alignment horizontal="justify" vertical="top" wrapText="1"/>
    </xf>
    <xf numFmtId="0" fontId="51" fillId="0" borderId="0" xfId="0" applyNumberFormat="1" applyFont="1" applyFill="1" applyAlignment="1" applyProtection="1">
      <alignment vertical="top" wrapText="1"/>
    </xf>
    <xf numFmtId="164" fontId="30" fillId="0" borderId="0" xfId="0" applyFont="1"/>
    <xf numFmtId="164" fontId="30" fillId="0" borderId="0" xfId="0" applyFont="1" applyAlignment="1">
      <alignment horizontal="justify" vertical="top" wrapText="1"/>
    </xf>
    <xf numFmtId="164" fontId="29" fillId="0" borderId="0" xfId="0" applyFont="1"/>
    <xf numFmtId="164" fontId="30" fillId="0" borderId="0" xfId="0" applyFont="1" applyAlignment="1">
      <alignment horizontal="right" vertical="center"/>
    </xf>
    <xf numFmtId="164" fontId="30" fillId="0" borderId="0" xfId="0" applyFont="1" applyAlignment="1">
      <alignment horizontal="left"/>
    </xf>
    <xf numFmtId="164" fontId="30" fillId="0" borderId="0" xfId="0" applyFont="1" applyAlignment="1">
      <alignment horizontal="right"/>
    </xf>
    <xf numFmtId="0" fontId="25" fillId="0" borderId="24" xfId="0" applyNumberFormat="1" applyFont="1" applyBorder="1" applyAlignment="1">
      <alignment horizontal="left" vertical="center" wrapText="1"/>
    </xf>
    <xf numFmtId="0" fontId="25" fillId="0" borderId="23" xfId="0" applyNumberFormat="1" applyFont="1" applyBorder="1" applyAlignment="1">
      <alignment horizontal="left" vertical="center" wrapText="1"/>
    </xf>
    <xf numFmtId="0" fontId="25" fillId="0" borderId="24" xfId="0" applyNumberFormat="1" applyFont="1" applyFill="1" applyBorder="1" applyAlignment="1">
      <alignment horizontal="left" vertical="center" wrapText="1"/>
    </xf>
    <xf numFmtId="0" fontId="46" fillId="0" borderId="49" xfId="46" applyNumberFormat="1" applyFont="1" applyFill="1" applyBorder="1" applyAlignment="1" applyProtection="1">
      <alignment horizontal="right" vertical="center" wrapText="1"/>
    </xf>
    <xf numFmtId="0" fontId="46" fillId="0" borderId="0" xfId="46" applyNumberFormat="1" applyFont="1" applyFill="1" applyBorder="1" applyAlignment="1" applyProtection="1">
      <alignment horizontal="right" vertical="center" wrapText="1"/>
    </xf>
    <xf numFmtId="0" fontId="33" fillId="0" borderId="0" xfId="48" applyNumberFormat="1" applyFont="1" applyFill="1" applyBorder="1" applyAlignment="1"/>
    <xf numFmtId="0" fontId="52" fillId="0" borderId="0" xfId="47" applyNumberFormat="1" applyFont="1" applyFill="1" applyAlignment="1" applyProtection="1">
      <alignment vertical="top" wrapText="1"/>
    </xf>
    <xf numFmtId="0" fontId="50" fillId="0" borderId="0" xfId="0" applyNumberFormat="1" applyFont="1" applyFill="1" applyBorder="1" applyAlignment="1" applyProtection="1">
      <alignment horizontal="right" vertical="top" wrapText="1"/>
    </xf>
    <xf numFmtId="167" fontId="54" fillId="0" borderId="0" xfId="0" applyNumberFormat="1" applyFont="1" applyFill="1" applyBorder="1" applyAlignment="1">
      <alignment horizontal="left" vertical="top"/>
    </xf>
    <xf numFmtId="0" fontId="32" fillId="0" borderId="0" xfId="0" applyNumberFormat="1" applyFont="1" applyFill="1" applyProtection="1">
      <protection locked="0"/>
    </xf>
    <xf numFmtId="0" fontId="25" fillId="0" borderId="0" xfId="0" applyNumberFormat="1" applyFont="1" applyFill="1" applyBorder="1" applyAlignment="1" applyProtection="1">
      <alignment horizontal="left" vertical="center" wrapText="1"/>
      <protection locked="0"/>
    </xf>
    <xf numFmtId="0" fontId="25" fillId="0" borderId="10" xfId="0" applyNumberFormat="1" applyFont="1" applyFill="1" applyBorder="1" applyAlignment="1">
      <alignment horizontal="left" vertical="center" wrapText="1"/>
    </xf>
    <xf numFmtId="0" fontId="25" fillId="0" borderId="10" xfId="0" applyNumberFormat="1" applyFont="1" applyFill="1" applyBorder="1" applyAlignment="1" applyProtection="1">
      <alignment horizontal="left" vertical="center" wrapText="1"/>
      <protection locked="0"/>
    </xf>
    <xf numFmtId="164" fontId="25" fillId="0" borderId="0" xfId="0" applyNumberFormat="1" applyFont="1" applyAlignment="1">
      <alignment vertical="center"/>
    </xf>
    <xf numFmtId="164" fontId="25" fillId="0" borderId="55" xfId="0" applyNumberFormat="1" applyFont="1" applyBorder="1" applyAlignment="1">
      <alignment vertical="center"/>
    </xf>
    <xf numFmtId="164" fontId="45" fillId="0" borderId="0" xfId="0" applyNumberFormat="1" applyFont="1" applyAlignment="1">
      <alignment horizontal="center" vertical="center"/>
    </xf>
    <xf numFmtId="164" fontId="55" fillId="0" borderId="0" xfId="0" applyFont="1"/>
    <xf numFmtId="164" fontId="44" fillId="0" borderId="0" xfId="0" applyNumberFormat="1" applyFont="1" applyAlignment="1">
      <alignment vertical="center"/>
    </xf>
    <xf numFmtId="164" fontId="44" fillId="0" borderId="0" xfId="0" applyNumberFormat="1" applyFont="1"/>
    <xf numFmtId="164" fontId="45" fillId="0" borderId="19" xfId="0" applyNumberFormat="1" applyFont="1" applyBorder="1" applyAlignment="1">
      <alignment vertical="center" wrapText="1"/>
    </xf>
    <xf numFmtId="164" fontId="44" fillId="0" borderId="0" xfId="0" applyNumberFormat="1" applyFont="1" applyBorder="1" applyAlignment="1">
      <alignment vertical="center" wrapText="1"/>
    </xf>
    <xf numFmtId="164" fontId="44" fillId="0" borderId="46" xfId="0" applyNumberFormat="1" applyFont="1" applyBorder="1" applyAlignment="1">
      <alignment vertical="center" wrapText="1"/>
    </xf>
    <xf numFmtId="164" fontId="44" fillId="0" borderId="56" xfId="0" applyNumberFormat="1" applyFont="1" applyBorder="1" applyAlignment="1">
      <alignment vertical="center" wrapText="1"/>
    </xf>
    <xf numFmtId="164" fontId="44" fillId="0" borderId="0" xfId="0" applyNumberFormat="1" applyFont="1" applyBorder="1" applyAlignment="1">
      <alignment horizontal="left" vertical="center" wrapText="1"/>
    </xf>
    <xf numFmtId="164" fontId="44" fillId="0" borderId="48" xfId="0" applyNumberFormat="1" applyFont="1" applyBorder="1" applyAlignment="1">
      <alignment vertical="center" wrapText="1"/>
    </xf>
    <xf numFmtId="164" fontId="45" fillId="0" borderId="43" xfId="0" applyNumberFormat="1" applyFont="1" applyBorder="1" applyAlignment="1">
      <alignment vertical="center" wrapText="1"/>
    </xf>
    <xf numFmtId="164" fontId="44" fillId="0" borderId="51" xfId="0" applyNumberFormat="1" applyFont="1" applyBorder="1" applyAlignment="1">
      <alignment vertical="center" wrapText="1"/>
    </xf>
    <xf numFmtId="164" fontId="44" fillId="0" borderId="49" xfId="0" applyNumberFormat="1" applyFont="1" applyBorder="1" applyAlignment="1">
      <alignment vertical="center" wrapText="1"/>
    </xf>
    <xf numFmtId="164" fontId="45" fillId="0" borderId="46" xfId="0" applyNumberFormat="1" applyFont="1" applyBorder="1" applyAlignment="1">
      <alignment vertical="center" wrapText="1"/>
    </xf>
    <xf numFmtId="164" fontId="44" fillId="0" borderId="56" xfId="0" applyNumberFormat="1" applyFont="1" applyBorder="1" applyAlignment="1">
      <alignment vertical="top" wrapText="1"/>
    </xf>
    <xf numFmtId="164" fontId="44" fillId="0" borderId="0" xfId="0" applyNumberFormat="1" applyFont="1" applyBorder="1" applyAlignment="1">
      <alignment vertical="top" wrapText="1"/>
    </xf>
    <xf numFmtId="164" fontId="45" fillId="0" borderId="51" xfId="0" applyNumberFormat="1" applyFont="1" applyBorder="1" applyAlignment="1">
      <alignment vertical="center" wrapText="1"/>
    </xf>
    <xf numFmtId="164" fontId="44" fillId="0" borderId="49" xfId="0" applyNumberFormat="1" applyFont="1" applyBorder="1"/>
    <xf numFmtId="164" fontId="44" fillId="0" borderId="49" xfId="0" applyNumberFormat="1" applyFont="1" applyBorder="1" applyAlignment="1">
      <alignment vertical="top" wrapText="1"/>
    </xf>
    <xf numFmtId="164" fontId="44" fillId="0" borderId="53" xfId="0" applyNumberFormat="1" applyFont="1" applyBorder="1" applyAlignment="1">
      <alignment vertical="top" wrapText="1"/>
    </xf>
    <xf numFmtId="164" fontId="45" fillId="0" borderId="56" xfId="0" applyNumberFormat="1" applyFont="1" applyBorder="1" applyAlignment="1">
      <alignment vertical="center" wrapText="1"/>
    </xf>
    <xf numFmtId="164" fontId="44" fillId="0" borderId="56" xfId="0" applyNumberFormat="1" applyFont="1" applyBorder="1"/>
    <xf numFmtId="164" fontId="44" fillId="0" borderId="48" xfId="0" applyNumberFormat="1" applyFont="1" applyBorder="1" applyAlignment="1">
      <alignment vertical="top" wrapText="1"/>
    </xf>
    <xf numFmtId="0" fontId="32" fillId="0" borderId="0" xfId="0" applyNumberFormat="1" applyFont="1" applyFill="1" applyAlignment="1"/>
    <xf numFmtId="0" fontId="36" fillId="0" borderId="0" xfId="0" applyNumberFormat="1" applyFont="1" applyFill="1" applyAlignment="1"/>
    <xf numFmtId="164" fontId="51" fillId="0" borderId="0" xfId="0" applyFont="1"/>
    <xf numFmtId="0" fontId="51" fillId="0" borderId="0" xfId="0" applyNumberFormat="1" applyFont="1"/>
    <xf numFmtId="0" fontId="50" fillId="0" borderId="0" xfId="57" applyNumberFormat="1" applyFont="1" applyFill="1" applyAlignment="1" applyProtection="1">
      <alignment vertical="center"/>
    </xf>
    <xf numFmtId="0" fontId="51" fillId="0" borderId="0" xfId="47" applyNumberFormat="1" applyFont="1" applyFill="1" applyAlignment="1" applyProtection="1">
      <alignment vertical="center"/>
    </xf>
    <xf numFmtId="0" fontId="50" fillId="0" borderId="0" xfId="57" applyNumberFormat="1" applyFont="1" applyFill="1" applyAlignment="1" applyProtection="1">
      <alignment horizontal="left" vertical="center"/>
    </xf>
    <xf numFmtId="0" fontId="51" fillId="0" borderId="0" xfId="57" applyNumberFormat="1" applyFont="1" applyFill="1" applyAlignment="1" applyProtection="1">
      <alignment vertical="center"/>
    </xf>
    <xf numFmtId="166" fontId="50" fillId="0" borderId="0" xfId="57" applyNumberFormat="1" applyFont="1" applyFill="1" applyAlignment="1" applyProtection="1">
      <alignment vertical="center"/>
    </xf>
    <xf numFmtId="0" fontId="51" fillId="0" borderId="0" xfId="57" applyNumberFormat="1" applyFont="1" applyFill="1" applyAlignment="1" applyProtection="1">
      <alignment horizontal="right" vertical="center"/>
    </xf>
    <xf numFmtId="0" fontId="50" fillId="0" borderId="0" xfId="47" applyNumberFormat="1" applyFont="1" applyFill="1" applyAlignment="1" applyProtection="1">
      <alignment vertical="center"/>
    </xf>
    <xf numFmtId="0" fontId="51" fillId="0" borderId="0" xfId="47" applyNumberFormat="1" applyFont="1" applyFill="1" applyAlignment="1" applyProtection="1">
      <alignment horizontal="left" vertical="center"/>
    </xf>
    <xf numFmtId="49" fontId="51" fillId="0" borderId="0" xfId="0" applyNumberFormat="1" applyFont="1"/>
    <xf numFmtId="0" fontId="51" fillId="0" borderId="0" xfId="47" applyNumberFormat="1" applyFont="1" applyFill="1" applyAlignment="1" applyProtection="1">
      <alignment horizontal="right" vertical="center"/>
    </xf>
    <xf numFmtId="0" fontId="51" fillId="0" borderId="0" xfId="47" applyNumberFormat="1" applyFont="1" applyFill="1" applyAlignment="1" applyProtection="1">
      <alignment vertical="center" wrapText="1"/>
    </xf>
    <xf numFmtId="0" fontId="51" fillId="0" borderId="0" xfId="47" applyNumberFormat="1" applyFont="1" applyFill="1" applyAlignment="1" applyProtection="1">
      <alignment horizontal="right" vertical="center" wrapText="1"/>
    </xf>
    <xf numFmtId="0" fontId="51" fillId="0" borderId="0" xfId="57" applyNumberFormat="1" applyFont="1" applyFill="1" applyAlignment="1" applyProtection="1">
      <alignment horizontal="left" vertical="center"/>
    </xf>
    <xf numFmtId="0" fontId="51" fillId="0" borderId="13" xfId="41" applyNumberFormat="1" applyFont="1" applyFill="1" applyBorder="1" applyAlignment="1" applyProtection="1">
      <alignment vertical="center"/>
    </xf>
    <xf numFmtId="166" fontId="51" fillId="0" borderId="19" xfId="57" applyNumberFormat="1" applyFont="1" applyFill="1" applyBorder="1" applyAlignment="1" applyProtection="1">
      <alignment horizontal="center" vertical="center"/>
    </xf>
    <xf numFmtId="0" fontId="51" fillId="0" borderId="0" xfId="57" applyNumberFormat="1" applyFont="1" applyFill="1" applyBorder="1" applyAlignment="1" applyProtection="1">
      <alignment horizontal="center" vertical="center"/>
    </xf>
    <xf numFmtId="0" fontId="51" fillId="0" borderId="0" xfId="41" applyNumberFormat="1" applyFont="1" applyFill="1" applyBorder="1" applyAlignment="1" applyProtection="1">
      <alignment vertical="center"/>
    </xf>
    <xf numFmtId="0" fontId="59" fillId="0" borderId="51" xfId="46" applyNumberFormat="1" applyFont="1" applyFill="1" applyBorder="1" applyAlignment="1" applyProtection="1">
      <alignment vertical="center"/>
    </xf>
    <xf numFmtId="0" fontId="59" fillId="0" borderId="52" xfId="46" applyNumberFormat="1" applyFont="1" applyFill="1" applyBorder="1" applyAlignment="1" applyProtection="1">
      <alignment vertical="center"/>
    </xf>
    <xf numFmtId="0" fontId="51" fillId="0" borderId="57" xfId="41" applyNumberFormat="1" applyFont="1" applyFill="1" applyBorder="1" applyAlignment="1" applyProtection="1">
      <alignment vertical="center" wrapText="1"/>
    </xf>
    <xf numFmtId="0" fontId="59" fillId="0" borderId="0" xfId="46" applyNumberFormat="1" applyFont="1" applyFill="1" applyBorder="1" applyAlignment="1" applyProtection="1">
      <alignment vertical="center"/>
    </xf>
    <xf numFmtId="0" fontId="59" fillId="0" borderId="57" xfId="46" applyNumberFormat="1" applyFont="1" applyFill="1" applyBorder="1" applyAlignment="1" applyProtection="1">
      <alignment vertical="center"/>
    </xf>
    <xf numFmtId="0" fontId="51" fillId="0" borderId="49" xfId="41" applyNumberFormat="1" applyFont="1" applyFill="1" applyBorder="1" applyAlignment="1" applyProtection="1">
      <alignment horizontal="center" vertical="center" wrapText="1"/>
    </xf>
    <xf numFmtId="0" fontId="51" fillId="0" borderId="0" xfId="41" applyNumberFormat="1" applyFont="1" applyFill="1" applyBorder="1" applyAlignment="1" applyProtection="1">
      <alignment horizontal="center" vertical="center" wrapText="1"/>
    </xf>
    <xf numFmtId="0" fontId="51" fillId="0" borderId="50" xfId="41" applyNumberFormat="1" applyFont="1" applyFill="1" applyBorder="1" applyAlignment="1" applyProtection="1">
      <alignment horizontal="center" vertical="center" wrapText="1"/>
    </xf>
    <xf numFmtId="0" fontId="59" fillId="0" borderId="0" xfId="46" applyNumberFormat="1" applyFont="1" applyFill="1" applyBorder="1" applyAlignment="1" applyProtection="1">
      <alignment horizontal="left" vertical="center"/>
    </xf>
    <xf numFmtId="0" fontId="59" fillId="0" borderId="50" xfId="46" applyNumberFormat="1" applyFont="1" applyFill="1" applyBorder="1" applyAlignment="1" applyProtection="1">
      <alignment horizontal="left" vertical="center"/>
    </xf>
    <xf numFmtId="0" fontId="60" fillId="0" borderId="49" xfId="46" applyNumberFormat="1" applyFont="1" applyFill="1" applyBorder="1" applyAlignment="1" applyProtection="1">
      <alignment horizontal="right" vertical="top" wrapText="1"/>
    </xf>
    <xf numFmtId="0" fontId="60" fillId="0" borderId="0" xfId="46" applyNumberFormat="1" applyFont="1" applyFill="1" applyBorder="1" applyAlignment="1" applyProtection="1">
      <alignment horizontal="right" vertical="top" wrapText="1"/>
    </xf>
    <xf numFmtId="164" fontId="51" fillId="0" borderId="49" xfId="0" applyFont="1" applyBorder="1"/>
    <xf numFmtId="164" fontId="51" fillId="0" borderId="0" xfId="0" applyFont="1" applyBorder="1"/>
    <xf numFmtId="0" fontId="51" fillId="0" borderId="50" xfId="41" applyNumberFormat="1" applyFont="1" applyFill="1" applyBorder="1" applyAlignment="1" applyProtection="1">
      <alignment horizontal="left" vertical="top" wrapText="1"/>
    </xf>
    <xf numFmtId="0" fontId="51" fillId="0" borderId="0" xfId="47" applyNumberFormat="1" applyFont="1" applyFill="1" applyBorder="1" applyAlignment="1" applyProtection="1">
      <alignment vertical="center"/>
    </xf>
    <xf numFmtId="0" fontId="51" fillId="0" borderId="49" xfId="47" applyNumberFormat="1" applyFont="1" applyFill="1" applyBorder="1" applyAlignment="1" applyProtection="1">
      <alignment vertical="center"/>
    </xf>
    <xf numFmtId="0" fontId="59" fillId="0" borderId="50" xfId="46" applyNumberFormat="1" applyFont="1" applyFill="1" applyBorder="1" applyAlignment="1" applyProtection="1">
      <alignment vertical="center"/>
    </xf>
    <xf numFmtId="0" fontId="59" fillId="0" borderId="49" xfId="46" applyNumberFormat="1" applyFont="1" applyFill="1" applyBorder="1" applyAlignment="1" applyProtection="1">
      <alignment vertical="center"/>
    </xf>
    <xf numFmtId="0" fontId="50" fillId="0" borderId="0" xfId="41" applyNumberFormat="1" applyFont="1" applyFill="1" applyBorder="1" applyAlignment="1" applyProtection="1">
      <alignment horizontal="right" vertical="center" wrapText="1"/>
    </xf>
    <xf numFmtId="0" fontId="51" fillId="0" borderId="50" xfId="41" applyNumberFormat="1" applyFont="1" applyFill="1" applyBorder="1" applyAlignment="1" applyProtection="1">
      <alignment vertical="center" wrapText="1"/>
    </xf>
    <xf numFmtId="0" fontId="51" fillId="0" borderId="49" xfId="41" applyNumberFormat="1" applyFont="1" applyFill="1" applyBorder="1" applyAlignment="1" applyProtection="1">
      <alignment vertical="center" wrapText="1"/>
    </xf>
    <xf numFmtId="0" fontId="51" fillId="0" borderId="53" xfId="41" applyNumberFormat="1" applyFont="1" applyFill="1" applyBorder="1" applyAlignment="1" applyProtection="1">
      <alignment vertical="center"/>
    </xf>
    <xf numFmtId="0" fontId="59" fillId="0" borderId="54" xfId="46" applyNumberFormat="1" applyFont="1" applyFill="1" applyBorder="1" applyAlignment="1" applyProtection="1"/>
    <xf numFmtId="0" fontId="59" fillId="0" borderId="13" xfId="46" applyNumberFormat="1" applyFont="1" applyFill="1" applyBorder="1" applyAlignment="1" applyProtection="1"/>
    <xf numFmtId="0" fontId="51" fillId="0" borderId="13" xfId="41" applyNumberFormat="1" applyFont="1" applyFill="1" applyBorder="1" applyAlignment="1" applyProtection="1">
      <alignment vertical="center" wrapText="1"/>
    </xf>
    <xf numFmtId="0" fontId="51" fillId="0" borderId="54" xfId="41" applyNumberFormat="1" applyFont="1" applyFill="1" applyBorder="1" applyAlignment="1" applyProtection="1">
      <alignment vertical="center" wrapText="1"/>
    </xf>
    <xf numFmtId="0" fontId="50" fillId="0" borderId="0" xfId="0" applyNumberFormat="1" applyFont="1" applyAlignment="1">
      <alignment horizontal="left"/>
    </xf>
    <xf numFmtId="0" fontId="51" fillId="0" borderId="53" xfId="0" applyNumberFormat="1" applyFont="1" applyFill="1" applyBorder="1" applyAlignment="1">
      <alignment horizontal="left" vertical="top"/>
    </xf>
    <xf numFmtId="0" fontId="52" fillId="0" borderId="13" xfId="0" applyNumberFormat="1" applyFont="1" applyFill="1" applyBorder="1" applyAlignment="1">
      <alignment vertical="top"/>
    </xf>
    <xf numFmtId="0" fontId="51" fillId="0" borderId="13" xfId="0" applyNumberFormat="1" applyFont="1" applyFill="1" applyBorder="1" applyAlignment="1">
      <alignment horizontal="left" vertical="top"/>
    </xf>
    <xf numFmtId="0" fontId="51" fillId="0" borderId="54" xfId="0" applyNumberFormat="1" applyFont="1" applyFill="1" applyBorder="1" applyAlignment="1">
      <alignment horizontal="left" vertical="top"/>
    </xf>
    <xf numFmtId="0" fontId="52" fillId="0" borderId="13" xfId="0" applyNumberFormat="1" applyFont="1" applyFill="1" applyBorder="1" applyAlignment="1" applyProtection="1">
      <alignment horizontal="left" vertical="center"/>
    </xf>
    <xf numFmtId="0" fontId="52" fillId="0" borderId="13" xfId="0" applyNumberFormat="1" applyFont="1" applyFill="1" applyBorder="1" applyAlignment="1" applyProtection="1">
      <alignment vertical="center"/>
    </xf>
    <xf numFmtId="0" fontId="52" fillId="0" borderId="53" xfId="0" applyNumberFormat="1" applyFont="1" applyFill="1" applyBorder="1" applyAlignment="1" applyProtection="1">
      <alignment vertical="center"/>
    </xf>
    <xf numFmtId="0" fontId="68" fillId="0" borderId="0" xfId="46" applyNumberFormat="1" applyFont="1" applyFill="1" applyAlignment="1">
      <alignment vertical="center"/>
    </xf>
    <xf numFmtId="164" fontId="3" fillId="29" borderId="0" xfId="0" applyFont="1" applyFill="1" applyAlignment="1">
      <alignment horizontal="left"/>
    </xf>
    <xf numFmtId="164" fontId="3" fillId="0" borderId="0" xfId="0" applyFont="1" applyAlignment="1">
      <alignment horizontal="left"/>
    </xf>
    <xf numFmtId="164" fontId="3" fillId="29" borderId="0" xfId="0" applyFont="1" applyFill="1" applyBorder="1" applyAlignment="1">
      <alignment horizontal="left"/>
    </xf>
    <xf numFmtId="0" fontId="24" fillId="0" borderId="0" xfId="0" applyNumberFormat="1" applyFont="1" applyAlignment="1" applyProtection="1">
      <alignment horizontal="left"/>
      <protection locked="0"/>
    </xf>
    <xf numFmtId="0" fontId="25" fillId="34" borderId="0" xfId="45" applyNumberFormat="1" applyFont="1" applyFill="1" applyAlignment="1" applyProtection="1">
      <alignment horizontal="center" vertical="center" wrapText="1"/>
      <protection locked="0"/>
    </xf>
    <xf numFmtId="0" fontId="26" fillId="0" borderId="0" xfId="0" applyNumberFormat="1" applyFont="1" applyBorder="1" applyAlignment="1">
      <alignment vertical="center" wrapText="1"/>
    </xf>
    <xf numFmtId="0" fontId="26" fillId="0" borderId="0" xfId="0" applyNumberFormat="1" applyFont="1" applyFill="1" applyBorder="1" applyAlignment="1">
      <alignment vertical="center" wrapText="1"/>
    </xf>
    <xf numFmtId="0" fontId="25" fillId="0" borderId="0" xfId="0" applyNumberFormat="1" applyFont="1" applyBorder="1" applyAlignment="1">
      <alignment vertical="center"/>
    </xf>
    <xf numFmtId="164" fontId="3" fillId="0" borderId="0" xfId="0" applyFont="1" applyBorder="1" applyAlignment="1">
      <alignment horizontal="left"/>
    </xf>
    <xf numFmtId="164" fontId="3" fillId="0" borderId="12" xfId="0" applyFont="1" applyBorder="1" applyAlignment="1">
      <alignment horizontal="left"/>
    </xf>
    <xf numFmtId="164" fontId="3" fillId="0" borderId="0" xfId="0" applyFont="1" applyFill="1" applyBorder="1" applyAlignment="1">
      <alignment horizontal="left"/>
    </xf>
    <xf numFmtId="164" fontId="3" fillId="0" borderId="24" xfId="0" applyFont="1" applyFill="1" applyBorder="1" applyAlignment="1">
      <alignment horizontal="left"/>
    </xf>
    <xf numFmtId="0" fontId="25" fillId="35" borderId="84" xfId="45" applyNumberFormat="1" applyFont="1" applyFill="1" applyBorder="1" applyAlignment="1" applyProtection="1">
      <alignment vertical="center" wrapText="1"/>
      <protection locked="0"/>
    </xf>
    <xf numFmtId="0" fontId="25" fillId="0" borderId="0" xfId="45" applyNumberFormat="1" applyFont="1" applyFill="1" applyBorder="1" applyAlignment="1" applyProtection="1">
      <alignment horizontal="center" vertical="center" wrapText="1"/>
    </xf>
    <xf numFmtId="49" fontId="25" fillId="33" borderId="84" xfId="45" applyNumberFormat="1" applyFont="1" applyFill="1" applyBorder="1" applyAlignment="1" applyProtection="1">
      <alignment vertical="center" wrapText="1"/>
      <protection locked="0"/>
    </xf>
    <xf numFmtId="0" fontId="26" fillId="32" borderId="20" xfId="41" applyNumberFormat="1" applyFont="1" applyFill="1" applyBorder="1" applyAlignment="1">
      <alignment horizontal="center" wrapText="1"/>
    </xf>
    <xf numFmtId="164" fontId="3" fillId="0" borderId="0" xfId="0" applyFont="1" applyBorder="1"/>
    <xf numFmtId="0" fontId="44" fillId="0" borderId="49" xfId="41" applyNumberFormat="1" applyFont="1" applyFill="1" applyBorder="1" applyAlignment="1" applyProtection="1">
      <alignment horizontal="center" vertical="center" wrapText="1"/>
    </xf>
    <xf numFmtId="0" fontId="44" fillId="0" borderId="0" xfId="41" applyNumberFormat="1" applyFont="1" applyFill="1" applyBorder="1" applyAlignment="1" applyProtection="1">
      <alignment horizontal="center" vertical="center" wrapText="1"/>
    </xf>
    <xf numFmtId="164" fontId="3" fillId="0" borderId="0" xfId="0" applyFont="1" applyProtection="1">
      <protection locked="0"/>
    </xf>
    <xf numFmtId="0" fontId="67" fillId="0" borderId="52" xfId="0" applyNumberFormat="1" applyFont="1" applyBorder="1" applyAlignment="1" applyProtection="1">
      <alignment vertical="center" wrapText="1"/>
      <protection locked="0"/>
    </xf>
    <xf numFmtId="0" fontId="67" fillId="0" borderId="0" xfId="0" applyNumberFormat="1" applyFont="1" applyBorder="1" applyAlignment="1" applyProtection="1">
      <alignment vertical="center" wrapText="1"/>
      <protection locked="0"/>
    </xf>
    <xf numFmtId="0" fontId="36" fillId="0" borderId="0" xfId="0" applyNumberFormat="1" applyFont="1" applyFill="1" applyProtection="1">
      <protection locked="0"/>
    </xf>
    <xf numFmtId="0" fontId="58" fillId="0" borderId="0" xfId="0" applyNumberFormat="1" applyFont="1" applyAlignment="1" applyProtection="1">
      <protection locked="0"/>
    </xf>
    <xf numFmtId="164" fontId="3" fillId="0" borderId="0" xfId="0" applyFont="1" applyBorder="1" applyProtection="1">
      <protection locked="0"/>
    </xf>
    <xf numFmtId="0" fontId="25" fillId="31" borderId="84" xfId="0" applyNumberFormat="1" applyFont="1" applyFill="1" applyBorder="1" applyAlignment="1">
      <alignment vertical="center" wrapText="1"/>
    </xf>
    <xf numFmtId="0" fontId="25" fillId="30" borderId="84" xfId="0" applyNumberFormat="1" applyFont="1" applyFill="1" applyBorder="1" applyAlignment="1" applyProtection="1">
      <alignment horizontal="left" vertical="center" wrapText="1"/>
      <protection locked="0"/>
    </xf>
    <xf numFmtId="0" fontId="25" fillId="31" borderId="84" xfId="0" applyNumberFormat="1" applyFont="1" applyFill="1" applyBorder="1" applyAlignment="1">
      <alignment horizontal="left" vertical="center" wrapText="1"/>
    </xf>
    <xf numFmtId="0" fontId="25" fillId="35" borderId="84" xfId="0" applyNumberFormat="1" applyFont="1" applyFill="1" applyBorder="1" applyAlignment="1" applyProtection="1">
      <alignment horizontal="left" vertical="center" wrapText="1"/>
      <protection locked="0"/>
    </xf>
    <xf numFmtId="0" fontId="25" fillId="29" borderId="84" xfId="45" applyNumberFormat="1" applyFont="1" applyFill="1" applyBorder="1" applyAlignment="1">
      <alignment vertical="center" wrapText="1"/>
    </xf>
    <xf numFmtId="49" fontId="25" fillId="33" borderId="84" xfId="45" applyNumberFormat="1" applyFont="1" applyFill="1" applyBorder="1" applyAlignment="1" applyProtection="1">
      <alignment horizontal="left" vertical="center" wrapText="1"/>
      <protection locked="0"/>
    </xf>
    <xf numFmtId="49" fontId="26" fillId="33" borderId="19" xfId="45" applyNumberFormat="1" applyFont="1" applyFill="1" applyBorder="1" applyAlignment="1" applyProtection="1">
      <alignment horizontal="center" vertical="center" wrapText="1"/>
      <protection locked="0"/>
    </xf>
    <xf numFmtId="0" fontId="73" fillId="0" borderId="0" xfId="45" applyNumberFormat="1" applyFont="1" applyAlignment="1" applyProtection="1">
      <alignment horizontal="center" vertical="center" wrapText="1"/>
      <protection locked="0"/>
    </xf>
    <xf numFmtId="166" fontId="25" fillId="29" borderId="12" xfId="45" applyNumberFormat="1" applyFont="1" applyFill="1" applyBorder="1" applyAlignment="1" applyProtection="1">
      <alignment horizontal="center" vertical="center" wrapText="1"/>
      <protection locked="0"/>
    </xf>
    <xf numFmtId="164" fontId="74" fillId="0" borderId="0" xfId="0" applyFont="1" applyAlignment="1">
      <alignment horizontal="center"/>
    </xf>
    <xf numFmtId="0" fontId="25" fillId="0" borderId="0" xfId="45" applyNumberFormat="1" applyFont="1" applyFill="1" applyBorder="1" applyAlignment="1" applyProtection="1">
      <alignment horizontal="left" vertical="center" wrapText="1"/>
      <protection locked="0"/>
    </xf>
    <xf numFmtId="164" fontId="3" fillId="0" borderId="0" xfId="0" applyFont="1" applyProtection="1"/>
    <xf numFmtId="0" fontId="76" fillId="0" borderId="0" xfId="0" applyNumberFormat="1" applyFont="1"/>
    <xf numFmtId="0" fontId="0" fillId="0" borderId="0" xfId="0" applyNumberFormat="1"/>
    <xf numFmtId="0" fontId="76" fillId="31" borderId="84" xfId="0" applyNumberFormat="1" applyFont="1" applyFill="1" applyBorder="1"/>
    <xf numFmtId="0" fontId="3" fillId="0" borderId="0" xfId="0" applyNumberFormat="1" applyFont="1" applyProtection="1">
      <protection locked="0"/>
    </xf>
    <xf numFmtId="0" fontId="24" fillId="0" borderId="0" xfId="0" applyNumberFormat="1" applyFont="1" applyProtection="1">
      <protection locked="0"/>
    </xf>
    <xf numFmtId="0" fontId="0" fillId="0" borderId="0" xfId="0" applyNumberFormat="1" applyFill="1" applyBorder="1" applyProtection="1">
      <protection locked="0"/>
    </xf>
    <xf numFmtId="0" fontId="24" fillId="0" borderId="0" xfId="0" applyNumberFormat="1" applyFont="1" applyFill="1" applyBorder="1" applyProtection="1">
      <protection locked="0"/>
    </xf>
    <xf numFmtId="0" fontId="25" fillId="0" borderId="0" xfId="45" applyNumberFormat="1" applyFont="1" applyFill="1" applyBorder="1" applyAlignment="1" applyProtection="1">
      <alignment horizontal="center" vertical="center" wrapText="1"/>
      <protection locked="0"/>
    </xf>
    <xf numFmtId="0" fontId="26" fillId="32" borderId="59" xfId="41" applyNumberFormat="1" applyFont="1" applyFill="1" applyBorder="1" applyAlignment="1">
      <alignment wrapText="1"/>
    </xf>
    <xf numFmtId="0" fontId="26" fillId="32" borderId="60" xfId="41" applyNumberFormat="1" applyFont="1" applyFill="1" applyBorder="1" applyAlignment="1">
      <alignment wrapText="1"/>
    </xf>
    <xf numFmtId="0" fontId="26" fillId="32" borderId="58" xfId="41" applyNumberFormat="1" applyFont="1" applyFill="1" applyBorder="1" applyAlignment="1" applyProtection="1">
      <alignment horizontal="center" wrapText="1"/>
      <protection locked="0"/>
    </xf>
    <xf numFmtId="0" fontId="26" fillId="32" borderId="20" xfId="41" applyNumberFormat="1" applyFont="1" applyFill="1" applyBorder="1" applyAlignment="1" applyProtection="1">
      <alignment horizontal="center" wrapText="1"/>
      <protection locked="0"/>
    </xf>
    <xf numFmtId="0" fontId="26" fillId="32" borderId="59" xfId="41" applyNumberFormat="1" applyFont="1" applyFill="1" applyBorder="1" applyAlignment="1" applyProtection="1">
      <alignment horizontal="center" wrapText="1"/>
      <protection locked="0"/>
    </xf>
    <xf numFmtId="0" fontId="26" fillId="32" borderId="46" xfId="45" applyNumberFormat="1" applyFont="1" applyFill="1" applyBorder="1" applyAlignment="1" applyProtection="1">
      <alignment horizontal="center" wrapText="1"/>
      <protection locked="0"/>
    </xf>
    <xf numFmtId="164" fontId="0" fillId="0" borderId="0" xfId="0" applyProtection="1">
      <protection locked="0"/>
    </xf>
    <xf numFmtId="164" fontId="24" fillId="0" borderId="0" xfId="0" applyFont="1" applyProtection="1">
      <protection locked="0"/>
    </xf>
    <xf numFmtId="0" fontId="26" fillId="32" borderId="0" xfId="41" applyNumberFormat="1" applyFont="1" applyFill="1" applyBorder="1" applyAlignment="1" applyProtection="1">
      <alignment horizontal="center" wrapText="1"/>
      <protection locked="0"/>
    </xf>
    <xf numFmtId="0" fontId="25" fillId="33" borderId="84" xfId="45" applyNumberFormat="1" applyFont="1" applyFill="1" applyBorder="1" applyAlignment="1" applyProtection="1">
      <alignment vertical="center" wrapText="1"/>
      <protection locked="0"/>
    </xf>
    <xf numFmtId="49" fontId="65" fillId="33" borderId="19" xfId="45" applyNumberFormat="1" applyFont="1" applyFill="1" applyBorder="1" applyAlignment="1" applyProtection="1">
      <alignment horizontal="center" vertical="center" wrapText="1"/>
      <protection locked="0"/>
    </xf>
    <xf numFmtId="0" fontId="79" fillId="0" borderId="0" xfId="0" applyNumberFormat="1" applyFont="1"/>
    <xf numFmtId="0" fontId="58" fillId="0" borderId="0" xfId="0" applyNumberFormat="1" applyFont="1" applyAlignment="1"/>
    <xf numFmtId="0" fontId="67" fillId="0" borderId="0" xfId="0" applyNumberFormat="1" applyFont="1" applyBorder="1" applyAlignment="1">
      <alignment vertical="center" wrapText="1"/>
    </xf>
    <xf numFmtId="0" fontId="25" fillId="0" borderId="0" xfId="45" applyNumberFormat="1" applyFont="1" applyBorder="1" applyAlignment="1" applyProtection="1">
      <alignment horizontal="center" vertical="center" wrapText="1"/>
    </xf>
    <xf numFmtId="0" fontId="26" fillId="33" borderId="19" xfId="45" applyNumberFormat="1" applyFont="1" applyFill="1" applyBorder="1" applyAlignment="1" applyProtection="1">
      <alignment horizontal="center" vertical="center" wrapText="1"/>
      <protection locked="0"/>
    </xf>
    <xf numFmtId="0" fontId="71" fillId="0" borderId="0" xfId="45" applyNumberFormat="1" applyFont="1" applyFill="1" applyBorder="1" applyAlignment="1" applyProtection="1">
      <alignment horizontal="center" vertical="center" wrapText="1"/>
    </xf>
    <xf numFmtId="0" fontId="25" fillId="29" borderId="84" xfId="45" applyNumberFormat="1" applyFont="1" applyFill="1" applyBorder="1" applyAlignment="1" applyProtection="1">
      <alignment horizontal="center" vertical="center" wrapText="1"/>
    </xf>
    <xf numFmtId="0" fontId="71" fillId="0" borderId="0" xfId="45" applyNumberFormat="1" applyFont="1" applyBorder="1" applyAlignment="1" applyProtection="1">
      <alignment horizontal="center" vertical="center" wrapText="1"/>
    </xf>
    <xf numFmtId="0" fontId="65" fillId="33" borderId="19" xfId="45" applyNumberFormat="1" applyFont="1" applyFill="1" applyBorder="1" applyAlignment="1" applyProtection="1">
      <alignment horizontal="center" vertical="center" wrapText="1"/>
      <protection locked="0"/>
    </xf>
    <xf numFmtId="0" fontId="78" fillId="33" borderId="43" xfId="45" applyNumberFormat="1" applyFont="1" applyFill="1" applyBorder="1" applyAlignment="1" applyProtection="1">
      <alignment horizontal="center" vertical="center" wrapText="1"/>
      <protection locked="0"/>
    </xf>
    <xf numFmtId="0" fontId="78" fillId="33" borderId="44" xfId="45" applyNumberFormat="1" applyFont="1" applyFill="1" applyBorder="1" applyAlignment="1" applyProtection="1">
      <alignment horizontal="center" vertical="center" wrapText="1"/>
      <protection locked="0"/>
    </xf>
    <xf numFmtId="0" fontId="51" fillId="0" borderId="19" xfId="57" applyNumberFormat="1" applyFont="1" applyFill="1" applyBorder="1" applyAlignment="1" applyProtection="1">
      <alignment horizontal="center" vertical="center"/>
    </xf>
    <xf numFmtId="0" fontId="50" fillId="0" borderId="19" xfId="57" applyNumberFormat="1" applyFont="1" applyFill="1" applyBorder="1" applyAlignment="1" applyProtection="1">
      <alignment horizontal="center" vertical="center" wrapText="1"/>
    </xf>
    <xf numFmtId="0" fontId="25" fillId="0" borderId="26" xfId="45" applyNumberFormat="1" applyFont="1" applyFill="1" applyBorder="1" applyAlignment="1" applyProtection="1">
      <alignment horizontal="center" vertical="center" wrapText="1"/>
    </xf>
    <xf numFmtId="0" fontId="25" fillId="0" borderId="27" xfId="45" applyNumberFormat="1" applyFont="1" applyBorder="1" applyAlignment="1" applyProtection="1">
      <alignment horizontal="center" vertical="center" wrapText="1"/>
    </xf>
    <xf numFmtId="0" fontId="25" fillId="32" borderId="84" xfId="45" applyNumberFormat="1" applyFont="1" applyFill="1" applyBorder="1" applyAlignment="1" applyProtection="1">
      <alignment vertical="center" wrapText="1"/>
    </xf>
    <xf numFmtId="0" fontId="26" fillId="29" borderId="84" xfId="45" applyNumberFormat="1" applyFont="1" applyFill="1" applyBorder="1" applyAlignment="1" applyProtection="1">
      <alignment horizontal="center" vertical="center" wrapText="1"/>
    </xf>
    <xf numFmtId="0" fontId="72" fillId="0" borderId="27" xfId="45" applyNumberFormat="1" applyFont="1" applyFill="1" applyBorder="1" applyAlignment="1" applyProtection="1">
      <alignment vertical="center" wrapText="1"/>
    </xf>
    <xf numFmtId="0" fontId="26" fillId="0" borderId="27" xfId="45" applyNumberFormat="1" applyFont="1" applyFill="1" applyBorder="1" applyAlignment="1" applyProtection="1">
      <alignment vertical="center" wrapText="1"/>
    </xf>
    <xf numFmtId="0" fontId="25" fillId="0" borderId="12" xfId="45" applyNumberFormat="1" applyFont="1" applyFill="1" applyBorder="1" applyAlignment="1" applyProtection="1">
      <alignment horizontal="center" vertical="center" wrapText="1"/>
    </xf>
    <xf numFmtId="0" fontId="71" fillId="0" borderId="10" xfId="45" applyNumberFormat="1" applyFont="1" applyFill="1" applyBorder="1" applyAlignment="1" applyProtection="1">
      <alignment vertical="center" wrapText="1"/>
    </xf>
    <xf numFmtId="0" fontId="71" fillId="0" borderId="23" xfId="45" applyNumberFormat="1" applyFont="1" applyFill="1" applyBorder="1" applyAlignment="1" applyProtection="1">
      <alignment vertical="center" wrapText="1"/>
    </xf>
    <xf numFmtId="166" fontId="26" fillId="29" borderId="84" xfId="45" applyNumberFormat="1" applyFont="1" applyFill="1" applyBorder="1" applyAlignment="1" applyProtection="1">
      <alignment horizontal="center" vertical="center" wrapText="1"/>
    </xf>
    <xf numFmtId="0" fontId="25" fillId="32" borderId="84" xfId="45" applyNumberFormat="1" applyFont="1" applyFill="1" applyBorder="1" applyAlignment="1" applyProtection="1">
      <alignment horizontal="center" vertical="center" wrapText="1"/>
    </xf>
    <xf numFmtId="0" fontId="26" fillId="0" borderId="24" xfId="45" applyNumberFormat="1" applyFont="1" applyFill="1" applyBorder="1" applyAlignment="1" applyProtection="1">
      <alignment horizontal="center" vertical="center" wrapText="1"/>
    </xf>
    <xf numFmtId="0" fontId="25" fillId="0" borderId="24" xfId="45" applyNumberFormat="1" applyFont="1" applyBorder="1" applyAlignment="1" applyProtection="1">
      <alignment horizontal="center" vertical="center" wrapText="1"/>
    </xf>
    <xf numFmtId="0" fontId="25" fillId="0" borderId="0" xfId="45" applyNumberFormat="1" applyFont="1" applyAlignment="1" applyProtection="1">
      <alignment horizontal="center" vertical="center" wrapText="1"/>
    </xf>
    <xf numFmtId="0" fontId="25" fillId="32" borderId="84" xfId="45" applyNumberFormat="1" applyFont="1" applyFill="1" applyBorder="1" applyAlignment="1" applyProtection="1">
      <alignment horizontal="left" vertical="center" wrapText="1"/>
    </xf>
    <xf numFmtId="0" fontId="66" fillId="0" borderId="0" xfId="45" applyNumberFormat="1" applyFont="1" applyFill="1" applyBorder="1" applyAlignment="1" applyProtection="1">
      <alignment horizontal="center" vertical="center" wrapText="1"/>
    </xf>
    <xf numFmtId="0" fontId="66" fillId="0" borderId="24" xfId="45" applyNumberFormat="1" applyFont="1" applyFill="1" applyBorder="1" applyAlignment="1" applyProtection="1">
      <alignment horizontal="center" vertical="center" wrapText="1"/>
    </xf>
    <xf numFmtId="0" fontId="25" fillId="0" borderId="0" xfId="45" applyNumberFormat="1" applyFont="1" applyBorder="1" applyAlignment="1" applyProtection="1">
      <alignment vertical="center" wrapText="1"/>
    </xf>
    <xf numFmtId="0" fontId="25" fillId="0" borderId="47" xfId="45" applyNumberFormat="1" applyFont="1" applyFill="1" applyBorder="1" applyAlignment="1" applyProtection="1">
      <alignment horizontal="center" vertical="center" wrapText="1"/>
    </xf>
    <xf numFmtId="0" fontId="26" fillId="32" borderId="20" xfId="41" applyNumberFormat="1" applyFont="1" applyFill="1" applyBorder="1" applyAlignment="1" applyProtection="1">
      <alignment horizontal="center" vertical="center" wrapText="1"/>
    </xf>
    <xf numFmtId="0" fontId="28" fillId="32" borderId="19" xfId="45" applyNumberFormat="1" applyFont="1" applyFill="1" applyBorder="1" applyAlignment="1" applyProtection="1">
      <alignment horizontal="center" vertical="center" textRotation="90" wrapText="1"/>
    </xf>
    <xf numFmtId="0" fontId="26" fillId="32" borderId="19" xfId="45" applyNumberFormat="1" applyFont="1" applyFill="1" applyBorder="1" applyAlignment="1" applyProtection="1">
      <alignment horizontal="center" vertical="center" wrapText="1"/>
    </xf>
    <xf numFmtId="0" fontId="25" fillId="32" borderId="20" xfId="41" applyNumberFormat="1" applyFont="1" applyFill="1" applyBorder="1" applyAlignment="1" applyProtection="1">
      <alignment horizontal="center" vertical="center"/>
    </xf>
    <xf numFmtId="49" fontId="26" fillId="33" borderId="19" xfId="45" applyNumberFormat="1" applyFont="1" applyFill="1" applyBorder="1" applyAlignment="1" applyProtection="1">
      <alignment horizontal="center" vertical="center" wrapText="1"/>
    </xf>
    <xf numFmtId="0" fontId="26" fillId="0" borderId="45" xfId="41" applyNumberFormat="1" applyFont="1" applyBorder="1" applyAlignment="1" applyProtection="1">
      <alignment vertical="center"/>
    </xf>
    <xf numFmtId="0" fontId="26" fillId="0" borderId="44" xfId="41" applyNumberFormat="1" applyFont="1" applyBorder="1" applyAlignment="1" applyProtection="1">
      <alignment vertical="center"/>
    </xf>
    <xf numFmtId="0" fontId="71" fillId="0" borderId="12" xfId="45" applyNumberFormat="1" applyFont="1" applyFill="1" applyBorder="1" applyAlignment="1" applyProtection="1">
      <alignment horizontal="center" vertical="center" wrapText="1"/>
    </xf>
    <xf numFmtId="0" fontId="72" fillId="0" borderId="0" xfId="45" applyNumberFormat="1" applyFont="1" applyFill="1" applyBorder="1" applyAlignment="1" applyProtection="1">
      <alignment horizontal="center" vertical="center" wrapText="1"/>
    </xf>
    <xf numFmtId="0" fontId="72" fillId="0" borderId="24" xfId="45" applyNumberFormat="1" applyFont="1" applyFill="1" applyBorder="1" applyAlignment="1" applyProtection="1">
      <alignment horizontal="center" vertical="center" wrapText="1"/>
    </xf>
    <xf numFmtId="0" fontId="26" fillId="0" borderId="0" xfId="45" applyNumberFormat="1" applyFont="1" applyFill="1" applyBorder="1" applyAlignment="1" applyProtection="1">
      <alignment horizontal="center" vertical="center" wrapText="1"/>
    </xf>
    <xf numFmtId="0" fontId="26" fillId="0" borderId="13" xfId="45" applyNumberFormat="1" applyFont="1" applyBorder="1" applyAlignment="1" applyProtection="1">
      <alignment vertical="center" wrapText="1"/>
    </xf>
    <xf numFmtId="0" fontId="26" fillId="0" borderId="25" xfId="45" applyNumberFormat="1" applyFont="1" applyBorder="1" applyAlignment="1" applyProtection="1">
      <alignment vertical="center" wrapText="1"/>
    </xf>
    <xf numFmtId="0" fontId="28" fillId="32" borderId="48" xfId="45" applyNumberFormat="1" applyFont="1" applyFill="1" applyBorder="1" applyAlignment="1" applyProtection="1">
      <alignment horizontal="center" vertical="center" textRotation="90" wrapText="1"/>
    </xf>
    <xf numFmtId="0" fontId="26" fillId="32" borderId="48" xfId="45" applyNumberFormat="1" applyFont="1" applyFill="1" applyBorder="1" applyAlignment="1" applyProtection="1">
      <alignment horizontal="center" vertical="center" wrapText="1"/>
    </xf>
    <xf numFmtId="0" fontId="66" fillId="32" borderId="20" xfId="41" applyNumberFormat="1" applyFont="1" applyFill="1" applyBorder="1" applyAlignment="1" applyProtection="1">
      <alignment horizontal="center" vertical="center"/>
    </xf>
    <xf numFmtId="0" fontId="26" fillId="0" borderId="0" xfId="45" applyNumberFormat="1" applyFont="1" applyFill="1" applyBorder="1" applyAlignment="1" applyProtection="1">
      <alignment vertical="center" wrapText="1"/>
    </xf>
    <xf numFmtId="0" fontId="25" fillId="0" borderId="0" xfId="45" applyNumberFormat="1" applyFont="1" applyFill="1" applyBorder="1" applyAlignment="1" applyProtection="1">
      <alignment vertical="center" wrapText="1"/>
    </xf>
    <xf numFmtId="0" fontId="71" fillId="0" borderId="24" xfId="45" applyNumberFormat="1" applyFont="1" applyBorder="1" applyAlignment="1" applyProtection="1">
      <alignment horizontal="center" vertical="center" wrapText="1"/>
    </xf>
    <xf numFmtId="0" fontId="25" fillId="0" borderId="11" xfId="45" applyNumberFormat="1" applyFont="1" applyBorder="1" applyAlignment="1" applyProtection="1">
      <alignment horizontal="center" vertical="center" wrapText="1"/>
    </xf>
    <xf numFmtId="0" fontId="71" fillId="0" borderId="10" xfId="45" applyNumberFormat="1" applyFont="1" applyBorder="1" applyAlignment="1" applyProtection="1">
      <alignment horizontal="center" vertical="center" wrapText="1"/>
    </xf>
    <xf numFmtId="0" fontId="71" fillId="0" borderId="23" xfId="45" applyNumberFormat="1" applyFont="1" applyBorder="1" applyAlignment="1" applyProtection="1">
      <alignment horizontal="center" vertical="center" wrapText="1"/>
    </xf>
    <xf numFmtId="0" fontId="25" fillId="27" borderId="0" xfId="45" applyNumberFormat="1" applyFont="1" applyFill="1" applyBorder="1" applyAlignment="1" applyProtection="1">
      <alignment horizontal="center" vertical="center" wrapText="1"/>
    </xf>
    <xf numFmtId="0" fontId="73" fillId="0" borderId="0" xfId="45" applyNumberFormat="1" applyFont="1" applyFill="1" applyAlignment="1" applyProtection="1">
      <alignment horizontal="center" vertical="center" wrapText="1"/>
    </xf>
    <xf numFmtId="0" fontId="25" fillId="0" borderId="0" xfId="45" applyNumberFormat="1" applyFont="1" applyFill="1" applyAlignment="1" applyProtection="1">
      <alignment horizontal="center" vertical="center" wrapText="1"/>
    </xf>
    <xf numFmtId="0" fontId="73" fillId="0" borderId="0" xfId="45" applyNumberFormat="1" applyFont="1" applyAlignment="1" applyProtection="1">
      <alignment horizontal="center" vertical="center" wrapText="1"/>
    </xf>
    <xf numFmtId="0" fontId="70" fillId="0" borderId="0" xfId="45" applyNumberFormat="1" applyFont="1" applyAlignment="1" applyProtection="1">
      <alignment horizontal="right" vertical="center" wrapText="1"/>
    </xf>
    <xf numFmtId="49" fontId="51" fillId="0" borderId="0" xfId="0" applyNumberFormat="1" applyFont="1" applyProtection="1"/>
    <xf numFmtId="0" fontId="51" fillId="0" borderId="0" xfId="0" applyNumberFormat="1" applyFont="1" applyProtection="1"/>
    <xf numFmtId="0" fontId="25" fillId="27" borderId="24" xfId="45" applyNumberFormat="1" applyFont="1" applyFill="1" applyBorder="1" applyAlignment="1" applyProtection="1">
      <alignment horizontal="center" vertical="center" wrapText="1"/>
    </xf>
    <xf numFmtId="0" fontId="26" fillId="0" borderId="0" xfId="45" applyNumberFormat="1" applyFont="1" applyBorder="1" applyAlignment="1" applyProtection="1">
      <alignment horizontal="center" vertical="center" wrapText="1"/>
    </xf>
    <xf numFmtId="0" fontId="25" fillId="0" borderId="0" xfId="45" applyNumberFormat="1" applyFont="1" applyAlignment="1" applyProtection="1">
      <alignment horizontal="center" vertical="center" wrapText="1"/>
    </xf>
    <xf numFmtId="0" fontId="26" fillId="29" borderId="84" xfId="45" applyNumberFormat="1" applyFont="1" applyFill="1" applyBorder="1" applyAlignment="1" applyProtection="1">
      <alignment horizontal="center" vertical="center" wrapText="1"/>
    </xf>
    <xf numFmtId="2" fontId="51" fillId="0" borderId="19" xfId="57" applyNumberFormat="1" applyFont="1" applyFill="1" applyBorder="1" applyAlignment="1" applyProtection="1">
      <alignment horizontal="center" vertical="center"/>
    </xf>
    <xf numFmtId="2" fontId="51" fillId="0" borderId="0" xfId="0" applyNumberFormat="1" applyFont="1"/>
    <xf numFmtId="0" fontId="50" fillId="0" borderId="13" xfId="0" applyNumberFormat="1" applyFont="1" applyFill="1" applyBorder="1" applyAlignment="1">
      <alignment horizontal="center" vertical="top"/>
    </xf>
    <xf numFmtId="0" fontId="51" fillId="0" borderId="0" xfId="0" applyNumberFormat="1" applyFont="1" applyFill="1" applyAlignment="1">
      <alignment horizontal="left" vertical="top"/>
    </xf>
    <xf numFmtId="0" fontId="51" fillId="0" borderId="0" xfId="0" applyNumberFormat="1" applyFont="1" applyFill="1" applyBorder="1" applyAlignment="1">
      <alignment horizontal="left" vertical="top"/>
    </xf>
    <xf numFmtId="0" fontId="52" fillId="0" borderId="0" xfId="0" applyNumberFormat="1" applyFont="1" applyFill="1" applyBorder="1" applyAlignment="1">
      <alignment vertical="top"/>
    </xf>
    <xf numFmtId="0" fontId="25" fillId="0" borderId="0" xfId="45" applyNumberFormat="1" applyFont="1" applyBorder="1" applyAlignment="1" applyProtection="1">
      <alignment horizontal="right" vertical="center" wrapText="1"/>
    </xf>
    <xf numFmtId="0" fontId="33" fillId="0" borderId="28" xfId="48" applyNumberFormat="1" applyFont="1" applyFill="1" applyBorder="1" applyAlignment="1">
      <alignment horizontal="left"/>
    </xf>
    <xf numFmtId="0" fontId="33" fillId="0" borderId="29" xfId="48" applyNumberFormat="1" applyFont="1" applyFill="1" applyBorder="1" applyAlignment="1">
      <alignment horizontal="left"/>
    </xf>
    <xf numFmtId="0" fontId="33" fillId="0" borderId="30" xfId="48" applyNumberFormat="1" applyFont="1" applyFill="1" applyBorder="1" applyAlignment="1">
      <alignment horizontal="left"/>
    </xf>
    <xf numFmtId="0" fontId="26" fillId="33" borderId="19" xfId="45" applyNumberFormat="1" applyFont="1" applyFill="1" applyBorder="1" applyAlignment="1" applyProtection="1">
      <alignment horizontal="center" vertical="center" wrapText="1"/>
      <protection locked="0"/>
    </xf>
    <xf numFmtId="0" fontId="26" fillId="33" borderId="19" xfId="45" applyNumberFormat="1" applyFont="1" applyFill="1" applyBorder="1" applyAlignment="1" applyProtection="1">
      <alignment horizontal="center" vertical="center" wrapText="1"/>
      <protection locked="0"/>
    </xf>
    <xf numFmtId="0" fontId="26" fillId="33" borderId="19" xfId="45" applyNumberFormat="1" applyFont="1" applyFill="1" applyBorder="1" applyAlignment="1" applyProtection="1">
      <alignment horizontal="center" vertical="center" wrapText="1"/>
      <protection locked="0"/>
    </xf>
    <xf numFmtId="0" fontId="30" fillId="29" borderId="84" xfId="45" applyNumberFormat="1" applyFont="1" applyFill="1" applyBorder="1" applyAlignment="1" applyProtection="1">
      <alignment horizontal="center" vertical="center" wrapText="1"/>
    </xf>
    <xf numFmtId="0" fontId="50" fillId="0" borderId="0" xfId="0" applyNumberFormat="1" applyFont="1" applyFill="1" applyAlignment="1" applyProtection="1">
      <alignment horizontal="left" vertical="top"/>
    </xf>
    <xf numFmtId="0" fontId="50" fillId="0" borderId="0" xfId="0" applyNumberFormat="1" applyFont="1" applyFill="1" applyBorder="1" applyAlignment="1" applyProtection="1">
      <alignment horizontal="left" vertical="top"/>
    </xf>
    <xf numFmtId="0" fontId="0" fillId="0" borderId="0" xfId="0" applyNumberFormat="1" applyProtection="1">
      <protection locked="0"/>
    </xf>
    <xf numFmtId="0" fontId="51" fillId="0" borderId="0" xfId="0" applyNumberFormat="1" applyFont="1" applyFill="1" applyAlignment="1">
      <alignment horizontal="justify" vertical="top" wrapText="1"/>
    </xf>
    <xf numFmtId="0" fontId="50" fillId="0" borderId="0" xfId="0" applyNumberFormat="1" applyFont="1" applyFill="1" applyAlignment="1">
      <alignment horizontal="center" vertical="top"/>
    </xf>
    <xf numFmtId="0" fontId="51" fillId="0" borderId="0" xfId="0" applyNumberFormat="1" applyFont="1" applyFill="1" applyBorder="1" applyAlignment="1">
      <alignment horizontal="left" vertical="top"/>
    </xf>
    <xf numFmtId="0" fontId="51" fillId="0" borderId="0" xfId="0" applyNumberFormat="1" applyFont="1" applyFill="1" applyBorder="1" applyAlignment="1">
      <alignment horizontal="left" vertical="top" wrapText="1"/>
    </xf>
    <xf numFmtId="0" fontId="50" fillId="0" borderId="0" xfId="0" applyNumberFormat="1" applyFont="1" applyFill="1" applyBorder="1" applyAlignment="1">
      <alignment horizontal="center" vertical="top"/>
    </xf>
    <xf numFmtId="0" fontId="50" fillId="0" borderId="0" xfId="0" applyNumberFormat="1" applyFont="1" applyFill="1" applyAlignment="1">
      <alignment vertical="top"/>
    </xf>
    <xf numFmtId="0" fontId="50" fillId="0" borderId="0" xfId="0" applyNumberFormat="1" applyFont="1" applyFill="1" applyAlignment="1">
      <alignment horizontal="justify" vertical="top" wrapText="1"/>
    </xf>
    <xf numFmtId="0" fontId="50" fillId="0" borderId="0" xfId="0" applyNumberFormat="1" applyFont="1" applyFill="1" applyBorder="1" applyAlignment="1" applyProtection="1">
      <alignment horizontal="center" vertical="center" wrapText="1"/>
    </xf>
    <xf numFmtId="0" fontId="50" fillId="0" borderId="0" xfId="0" applyNumberFormat="1" applyFont="1" applyFill="1" applyBorder="1" applyAlignment="1" applyProtection="1">
      <alignment horizontal="center" vertical="center"/>
    </xf>
    <xf numFmtId="0" fontId="50" fillId="0" borderId="0" xfId="0" applyNumberFormat="1" applyFont="1" applyFill="1" applyAlignment="1">
      <alignment horizontal="left" vertical="top"/>
    </xf>
    <xf numFmtId="0" fontId="52" fillId="0" borderId="0" xfId="0" applyNumberFormat="1" applyFont="1" applyFill="1" applyAlignment="1">
      <alignment horizontal="justify" vertical="top"/>
    </xf>
    <xf numFmtId="0" fontId="51" fillId="0" borderId="0" xfId="0" applyNumberFormat="1" applyFont="1" applyFill="1" applyAlignment="1">
      <alignment horizontal="justify" vertical="top"/>
    </xf>
    <xf numFmtId="0" fontId="50" fillId="0" borderId="0" xfId="0" applyNumberFormat="1" applyFont="1" applyFill="1" applyAlignment="1">
      <alignment horizontal="justify" vertical="top"/>
    </xf>
    <xf numFmtId="0" fontId="51" fillId="0" borderId="0" xfId="0" applyNumberFormat="1" applyFont="1" applyFill="1" applyAlignment="1">
      <alignment horizontal="left" vertical="top"/>
    </xf>
    <xf numFmtId="0" fontId="50" fillId="0" borderId="0" xfId="0" applyNumberFormat="1" applyFont="1" applyFill="1" applyBorder="1" applyAlignment="1" applyProtection="1">
      <alignment horizontal="justify" vertical="top"/>
    </xf>
    <xf numFmtId="0" fontId="50" fillId="0" borderId="0" xfId="0" applyNumberFormat="1" applyFont="1" applyFill="1" applyAlignment="1">
      <alignment horizontal="center" vertical="center"/>
    </xf>
    <xf numFmtId="0" fontId="50" fillId="0" borderId="13" xfId="0" applyNumberFormat="1" applyFont="1" applyFill="1" applyBorder="1" applyAlignment="1">
      <alignment horizontal="center" vertical="top"/>
    </xf>
    <xf numFmtId="0" fontId="52" fillId="0" borderId="0" xfId="0" applyNumberFormat="1" applyFont="1" applyFill="1" applyAlignment="1">
      <alignment horizontal="center"/>
    </xf>
    <xf numFmtId="0" fontId="50" fillId="0" borderId="51" xfId="0" applyNumberFormat="1" applyFont="1" applyFill="1" applyBorder="1" applyAlignment="1">
      <alignment vertical="top"/>
    </xf>
    <xf numFmtId="0" fontId="51" fillId="0" borderId="52" xfId="0" applyNumberFormat="1" applyFont="1" applyFill="1" applyBorder="1" applyAlignment="1">
      <alignment vertical="top" wrapText="1"/>
    </xf>
    <xf numFmtId="0" fontId="50" fillId="0" borderId="52" xfId="0" applyNumberFormat="1" applyFont="1" applyFill="1" applyBorder="1" applyAlignment="1">
      <alignment vertical="top"/>
    </xf>
    <xf numFmtId="0" fontId="51" fillId="0" borderId="52" xfId="0" applyNumberFormat="1" applyFont="1" applyFill="1" applyBorder="1" applyAlignment="1">
      <alignment horizontal="left" vertical="top"/>
    </xf>
    <xf numFmtId="0" fontId="51" fillId="0" borderId="57" xfId="0" applyNumberFormat="1" applyFont="1" applyFill="1" applyBorder="1" applyAlignment="1">
      <alignment horizontal="left" vertical="top"/>
    </xf>
    <xf numFmtId="0" fontId="52" fillId="0" borderId="49" xfId="0" applyNumberFormat="1" applyFont="1" applyFill="1" applyBorder="1" applyAlignment="1">
      <alignment vertical="top"/>
    </xf>
    <xf numFmtId="0" fontId="52" fillId="0" borderId="53" xfId="0" applyNumberFormat="1" applyFont="1" applyFill="1" applyBorder="1" applyAlignment="1">
      <alignment vertical="top"/>
    </xf>
    <xf numFmtId="0" fontId="50" fillId="0" borderId="0" xfId="0" applyNumberFormat="1" applyFont="1" applyFill="1" applyAlignment="1">
      <alignment horizontal="center" vertical="top"/>
    </xf>
    <xf numFmtId="0" fontId="51" fillId="0" borderId="0" xfId="0" applyNumberFormat="1" applyFont="1" applyFill="1" applyAlignment="1">
      <alignment horizontal="left" vertical="top"/>
    </xf>
    <xf numFmtId="0" fontId="52" fillId="0" borderId="0" xfId="0" applyNumberFormat="1" applyFont="1" applyFill="1" applyAlignment="1">
      <alignment horizontal="center"/>
    </xf>
    <xf numFmtId="0" fontId="25" fillId="0" borderId="0" xfId="45" applyNumberFormat="1" applyFont="1" applyAlignment="1" applyProtection="1">
      <alignment horizontal="center" vertical="center" wrapText="1"/>
    </xf>
    <xf numFmtId="0" fontId="33" fillId="0" borderId="28" xfId="48" applyNumberFormat="1" applyFont="1" applyFill="1" applyBorder="1" applyAlignment="1">
      <alignment horizontal="left"/>
    </xf>
    <xf numFmtId="0" fontId="33" fillId="0" borderId="29" xfId="48" applyNumberFormat="1" applyFont="1" applyFill="1" applyBorder="1" applyAlignment="1">
      <alignment horizontal="left"/>
    </xf>
    <xf numFmtId="0" fontId="33" fillId="0" borderId="30" xfId="48" applyNumberFormat="1" applyFont="1" applyFill="1" applyBorder="1" applyAlignment="1">
      <alignment horizontal="left"/>
    </xf>
    <xf numFmtId="0" fontId="33" fillId="0" borderId="31" xfId="0" applyNumberFormat="1" applyFont="1" applyFill="1" applyBorder="1" applyAlignment="1">
      <alignment horizontal="center"/>
    </xf>
    <xf numFmtId="0" fontId="33" fillId="0" borderId="32" xfId="0" applyNumberFormat="1" applyFont="1" applyFill="1" applyBorder="1" applyAlignment="1">
      <alignment horizontal="center"/>
    </xf>
    <xf numFmtId="0" fontId="58" fillId="0" borderId="0" xfId="0" applyNumberFormat="1" applyFont="1" applyAlignment="1"/>
    <xf numFmtId="0" fontId="67" fillId="0" borderId="0" xfId="0" applyNumberFormat="1" applyFont="1" applyBorder="1" applyAlignment="1">
      <alignment vertical="center" wrapText="1"/>
    </xf>
    <xf numFmtId="0" fontId="32" fillId="0" borderId="0" xfId="0" applyNumberFormat="1" applyFont="1" applyFill="1" applyAlignment="1"/>
    <xf numFmtId="0" fontId="50" fillId="0" borderId="0" xfId="0" applyNumberFormat="1" applyFont="1" applyFill="1" applyAlignment="1">
      <alignment horizontal="center" vertical="top"/>
    </xf>
    <xf numFmtId="0" fontId="51" fillId="0" borderId="0" xfId="0" applyNumberFormat="1" applyFont="1" applyFill="1" applyAlignment="1">
      <alignment horizontal="left" vertical="top"/>
    </xf>
    <xf numFmtId="0" fontId="50" fillId="0" borderId="0" xfId="0" applyNumberFormat="1" applyFont="1" applyFill="1" applyAlignment="1">
      <alignment horizontal="justify" vertical="top"/>
    </xf>
    <xf numFmtId="0" fontId="50" fillId="0" borderId="0" xfId="0" applyNumberFormat="1" applyFont="1" applyFill="1" applyAlignment="1">
      <alignment horizontal="left" vertical="top"/>
    </xf>
    <xf numFmtId="0" fontId="50" fillId="0" borderId="0" xfId="0" applyNumberFormat="1" applyFont="1" applyFill="1" applyBorder="1" applyAlignment="1">
      <alignment horizontal="center" vertical="top"/>
    </xf>
    <xf numFmtId="0" fontId="52" fillId="0" borderId="0" xfId="0" applyNumberFormat="1" applyFont="1" applyFill="1" applyAlignment="1">
      <alignment horizontal="center" vertical="top"/>
    </xf>
    <xf numFmtId="0" fontId="71" fillId="0" borderId="0" xfId="45" applyNumberFormat="1" applyFont="1" applyBorder="1" applyAlignment="1" applyProtection="1">
      <alignment horizontal="center" vertical="center" wrapText="1"/>
    </xf>
    <xf numFmtId="0" fontId="25" fillId="32" borderId="85" xfId="45" applyNumberFormat="1" applyFont="1" applyFill="1" applyBorder="1" applyAlignment="1" applyProtection="1">
      <alignment horizontal="center" vertical="center"/>
    </xf>
    <xf numFmtId="0" fontId="2" fillId="0" borderId="0" xfId="58" applyAlignment="1"/>
    <xf numFmtId="0" fontId="71" fillId="27" borderId="0" xfId="45" applyNumberFormat="1" applyFont="1" applyFill="1" applyBorder="1" applyAlignment="1" applyProtection="1">
      <alignment horizontal="center" vertical="center" wrapText="1"/>
    </xf>
    <xf numFmtId="0" fontId="71" fillId="0" borderId="0" xfId="45" applyNumberFormat="1" applyFont="1" applyAlignment="1" applyProtection="1">
      <alignment horizontal="center" vertical="center" wrapText="1"/>
    </xf>
    <xf numFmtId="0" fontId="26" fillId="0" borderId="24" xfId="45" applyNumberFormat="1" applyFont="1" applyBorder="1" applyAlignment="1" applyProtection="1">
      <alignment vertical="center" wrapText="1"/>
    </xf>
    <xf numFmtId="0" fontId="2" fillId="0" borderId="0" xfId="58" applyAlignment="1"/>
    <xf numFmtId="0" fontId="51" fillId="0" borderId="0" xfId="0" applyNumberFormat="1" applyFont="1" applyFill="1" applyAlignment="1">
      <alignment horizontal="justify" vertical="top" wrapText="1"/>
    </xf>
    <xf numFmtId="0" fontId="50" fillId="0" borderId="0" xfId="0" applyNumberFormat="1" applyFont="1" applyFill="1" applyBorder="1" applyAlignment="1">
      <alignment horizontal="center" vertical="top"/>
    </xf>
    <xf numFmtId="0" fontId="50" fillId="0" borderId="0" xfId="0" applyNumberFormat="1" applyFont="1" applyFill="1" applyAlignment="1">
      <alignment horizontal="center" vertical="top"/>
    </xf>
    <xf numFmtId="0" fontId="50" fillId="0" borderId="0" xfId="0" applyNumberFormat="1" applyFont="1" applyFill="1" applyAlignment="1">
      <alignment horizontal="center" vertical="center"/>
    </xf>
    <xf numFmtId="0" fontId="50" fillId="0" borderId="0" xfId="0" applyNumberFormat="1" applyFont="1" applyFill="1" applyAlignment="1">
      <alignment vertical="top"/>
    </xf>
    <xf numFmtId="0" fontId="50" fillId="0" borderId="0" xfId="0" applyNumberFormat="1" applyFont="1" applyFill="1" applyAlignment="1">
      <alignment horizontal="justify" vertical="top" wrapText="1"/>
    </xf>
    <xf numFmtId="0" fontId="50" fillId="0" borderId="0" xfId="0" applyNumberFormat="1" applyFont="1" applyFill="1" applyAlignment="1">
      <alignment horizontal="left" vertical="top"/>
    </xf>
    <xf numFmtId="0" fontId="51" fillId="0" borderId="0" xfId="0" applyNumberFormat="1" applyFont="1" applyFill="1" applyBorder="1" applyAlignment="1">
      <alignment horizontal="left" vertical="top"/>
    </xf>
    <xf numFmtId="0" fontId="51" fillId="0" borderId="0" xfId="0" applyNumberFormat="1" applyFont="1" applyFill="1" applyBorder="1" applyAlignment="1">
      <alignment horizontal="left" vertical="top" wrapText="1"/>
    </xf>
    <xf numFmtId="0" fontId="50" fillId="0" borderId="0" xfId="0" applyNumberFormat="1" applyFont="1" applyFill="1" applyBorder="1" applyAlignment="1" applyProtection="1">
      <alignment horizontal="center" vertical="center" wrapText="1"/>
    </xf>
    <xf numFmtId="0" fontId="50" fillId="0" borderId="0" xfId="0" applyNumberFormat="1" applyFont="1" applyFill="1" applyBorder="1" applyAlignment="1" applyProtection="1">
      <alignment horizontal="center" vertical="center"/>
    </xf>
    <xf numFmtId="0" fontId="52" fillId="0" borderId="0" xfId="0" applyNumberFormat="1" applyFont="1" applyFill="1" applyAlignment="1">
      <alignment horizontal="justify" vertical="top"/>
    </xf>
    <xf numFmtId="0" fontId="51" fillId="0" borderId="0" xfId="0" applyNumberFormat="1" applyFont="1" applyFill="1" applyAlignment="1">
      <alignment horizontal="justify" vertical="top"/>
    </xf>
    <xf numFmtId="0" fontId="50" fillId="0" borderId="0" xfId="0" applyNumberFormat="1" applyFont="1" applyFill="1" applyAlignment="1">
      <alignment horizontal="justify" vertical="top"/>
    </xf>
    <xf numFmtId="0" fontId="51" fillId="0" borderId="0" xfId="0" applyNumberFormat="1" applyFont="1" applyFill="1" applyAlignment="1">
      <alignment horizontal="left" vertical="top"/>
    </xf>
    <xf numFmtId="0" fontId="52" fillId="0" borderId="0" xfId="0" applyNumberFormat="1" applyFont="1" applyFill="1" applyAlignment="1">
      <alignment horizontal="center" vertical="top"/>
    </xf>
    <xf numFmtId="0" fontId="50" fillId="0" borderId="0" xfId="0" applyNumberFormat="1" applyFont="1" applyFill="1" applyBorder="1" applyAlignment="1" applyProtection="1">
      <alignment horizontal="justify" vertical="top"/>
    </xf>
    <xf numFmtId="0" fontId="50" fillId="0" borderId="13" xfId="0" applyNumberFormat="1" applyFont="1" applyFill="1" applyBorder="1" applyAlignment="1">
      <alignment horizontal="center" vertical="top"/>
    </xf>
    <xf numFmtId="0" fontId="1" fillId="0" borderId="0" xfId="58" applyFont="1" applyAlignment="1"/>
    <xf numFmtId="0" fontId="26" fillId="0" borderId="26" xfId="0" applyNumberFormat="1" applyFont="1" applyBorder="1" applyAlignment="1">
      <alignment horizontal="center" vertical="center" wrapText="1"/>
    </xf>
    <xf numFmtId="0" fontId="26" fillId="0" borderId="27" xfId="0" applyNumberFormat="1" applyFont="1" applyBorder="1" applyAlignment="1">
      <alignment horizontal="center" vertical="center" wrapText="1"/>
    </xf>
    <xf numFmtId="0" fontId="26" fillId="0" borderId="21" xfId="0" applyNumberFormat="1" applyFont="1" applyBorder="1" applyAlignment="1">
      <alignment horizontal="center" vertical="center" wrapText="1"/>
    </xf>
    <xf numFmtId="0" fontId="25" fillId="31" borderId="84" xfId="0" applyNumberFormat="1" applyFont="1" applyFill="1" applyBorder="1" applyAlignment="1">
      <alignment horizontal="left" vertical="center" wrapText="1"/>
    </xf>
    <xf numFmtId="0" fontId="25" fillId="33" borderId="84" xfId="45" quotePrefix="1" applyNumberFormat="1" applyFont="1" applyFill="1" applyBorder="1" applyAlignment="1" applyProtection="1">
      <alignment horizontal="center" vertical="center" wrapText="1"/>
      <protection locked="0"/>
    </xf>
    <xf numFmtId="0" fontId="25" fillId="33" borderId="84" xfId="45" applyNumberFormat="1" applyFont="1" applyFill="1" applyBorder="1" applyAlignment="1" applyProtection="1">
      <alignment horizontal="center" vertical="center" wrapText="1"/>
      <protection locked="0"/>
    </xf>
    <xf numFmtId="0" fontId="25" fillId="31" borderId="84" xfId="0" applyNumberFormat="1" applyFont="1" applyFill="1" applyBorder="1" applyAlignment="1">
      <alignment horizontal="center" vertical="center" wrapText="1"/>
    </xf>
    <xf numFmtId="0" fontId="26" fillId="0" borderId="0" xfId="0" applyNumberFormat="1" applyFont="1" applyFill="1" applyBorder="1" applyAlignment="1">
      <alignment horizontal="center" vertical="center" wrapText="1"/>
    </xf>
    <xf numFmtId="0" fontId="26" fillId="0" borderId="0" xfId="0" applyNumberFormat="1" applyFont="1" applyBorder="1" applyAlignment="1">
      <alignment horizontal="center" vertical="center" wrapText="1"/>
    </xf>
    <xf numFmtId="0" fontId="26" fillId="0" borderId="24" xfId="0" applyNumberFormat="1" applyFont="1" applyBorder="1" applyAlignment="1">
      <alignment horizontal="center" vertical="center" wrapText="1"/>
    </xf>
    <xf numFmtId="0" fontId="2" fillId="0" borderId="0" xfId="58" applyAlignment="1"/>
    <xf numFmtId="0" fontId="58" fillId="0" borderId="0" xfId="0" applyNumberFormat="1" applyFont="1" applyAlignment="1"/>
    <xf numFmtId="0" fontId="67" fillId="0" borderId="0" xfId="0" applyNumberFormat="1" applyFont="1" applyBorder="1" applyAlignment="1">
      <alignment vertical="center" wrapText="1"/>
    </xf>
    <xf numFmtId="0" fontId="33" fillId="0" borderId="28" xfId="48" applyNumberFormat="1" applyFont="1" applyFill="1" applyBorder="1" applyAlignment="1">
      <alignment horizontal="center"/>
    </xf>
    <xf numFmtId="0" fontId="33" fillId="0" borderId="29" xfId="48" applyNumberFormat="1" applyFont="1" applyFill="1" applyBorder="1" applyAlignment="1">
      <alignment horizontal="center"/>
    </xf>
    <xf numFmtId="0" fontId="33" fillId="0" borderId="30" xfId="48" applyNumberFormat="1" applyFont="1" applyFill="1" applyBorder="1" applyAlignment="1">
      <alignment horizontal="center"/>
    </xf>
    <xf numFmtId="0" fontId="33" fillId="0" borderId="31" xfId="48" applyNumberFormat="1" applyFont="1" applyFill="1" applyBorder="1" applyAlignment="1">
      <alignment horizontal="center"/>
    </xf>
    <xf numFmtId="0" fontId="33" fillId="0" borderId="32" xfId="48" applyNumberFormat="1" applyFont="1" applyFill="1" applyBorder="1" applyAlignment="1">
      <alignment horizontal="center"/>
    </xf>
    <xf numFmtId="0" fontId="33" fillId="0" borderId="33" xfId="48" applyNumberFormat="1" applyFont="1" applyFill="1" applyBorder="1" applyAlignment="1">
      <alignment horizontal="center"/>
    </xf>
    <xf numFmtId="0" fontId="33" fillId="0" borderId="28" xfId="48" applyNumberFormat="1" applyFont="1" applyFill="1" applyBorder="1" applyAlignment="1">
      <alignment horizontal="left"/>
    </xf>
    <xf numFmtId="0" fontId="33" fillId="0" borderId="29" xfId="48" applyNumberFormat="1" applyFont="1" applyFill="1" applyBorder="1" applyAlignment="1">
      <alignment horizontal="left"/>
    </xf>
    <xf numFmtId="0" fontId="33" fillId="0" borderId="30" xfId="48" applyNumberFormat="1" applyFont="1" applyFill="1" applyBorder="1" applyAlignment="1">
      <alignment horizontal="left"/>
    </xf>
    <xf numFmtId="0" fontId="33" fillId="0" borderId="31" xfId="48" applyNumberFormat="1" applyFont="1" applyFill="1" applyBorder="1" applyAlignment="1">
      <alignment horizontal="left"/>
    </xf>
    <xf numFmtId="0" fontId="33" fillId="0" borderId="32" xfId="48" applyNumberFormat="1" applyFont="1" applyFill="1" applyBorder="1" applyAlignment="1">
      <alignment horizontal="left"/>
    </xf>
    <xf numFmtId="0" fontId="33" fillId="0" borderId="33" xfId="48" applyNumberFormat="1" applyFont="1" applyFill="1" applyBorder="1" applyAlignment="1">
      <alignment horizontal="left"/>
    </xf>
    <xf numFmtId="0" fontId="33" fillId="0" borderId="37" xfId="48" applyNumberFormat="1" applyFont="1" applyFill="1" applyBorder="1" applyAlignment="1">
      <alignment horizontal="center"/>
    </xf>
    <xf numFmtId="0" fontId="33" fillId="0" borderId="38" xfId="48" applyNumberFormat="1" applyFont="1" applyFill="1" applyBorder="1" applyAlignment="1">
      <alignment horizontal="center"/>
    </xf>
    <xf numFmtId="0" fontId="33" fillId="0" borderId="39" xfId="48" applyNumberFormat="1" applyFont="1" applyFill="1" applyBorder="1" applyAlignment="1">
      <alignment horizontal="center"/>
    </xf>
    <xf numFmtId="0" fontId="33" fillId="36" borderId="43" xfId="48" applyNumberFormat="1" applyFont="1" applyFill="1" applyBorder="1" applyAlignment="1">
      <alignment horizontal="center"/>
    </xf>
    <xf numFmtId="0" fontId="33" fillId="36" borderId="45" xfId="48" applyNumberFormat="1" applyFont="1" applyFill="1" applyBorder="1" applyAlignment="1">
      <alignment horizontal="center"/>
    </xf>
    <xf numFmtId="0" fontId="33" fillId="36" borderId="44" xfId="48" applyNumberFormat="1" applyFont="1" applyFill="1" applyBorder="1" applyAlignment="1">
      <alignment horizontal="center"/>
    </xf>
    <xf numFmtId="0" fontId="37" fillId="0" borderId="19" xfId="48" applyNumberFormat="1" applyFont="1" applyFill="1" applyBorder="1" applyAlignment="1">
      <alignment horizontal="left" indent="1"/>
    </xf>
    <xf numFmtId="0" fontId="33" fillId="0" borderId="40" xfId="48" applyNumberFormat="1" applyFont="1" applyFill="1" applyBorder="1" applyAlignment="1">
      <alignment horizontal="center"/>
    </xf>
    <xf numFmtId="0" fontId="33" fillId="0" borderId="35" xfId="48" applyNumberFormat="1" applyFont="1" applyFill="1" applyBorder="1" applyAlignment="1">
      <alignment horizontal="center"/>
    </xf>
    <xf numFmtId="0" fontId="33" fillId="0" borderId="36" xfId="48" applyNumberFormat="1" applyFont="1" applyFill="1" applyBorder="1" applyAlignment="1">
      <alignment horizontal="center"/>
    </xf>
    <xf numFmtId="0" fontId="33" fillId="0" borderId="69" xfId="48" applyNumberFormat="1" applyFont="1" applyFill="1" applyBorder="1" applyAlignment="1">
      <alignment horizontal="left"/>
    </xf>
    <xf numFmtId="0" fontId="33" fillId="0" borderId="70" xfId="48" applyNumberFormat="1" applyFont="1" applyFill="1" applyBorder="1" applyAlignment="1">
      <alignment horizontal="left"/>
    </xf>
    <xf numFmtId="0" fontId="33" fillId="0" borderId="81" xfId="48" applyNumberFormat="1" applyFont="1" applyFill="1" applyBorder="1" applyAlignment="1">
      <alignment horizontal="left"/>
    </xf>
    <xf numFmtId="0" fontId="33" fillId="0" borderId="72" xfId="0" applyNumberFormat="1" applyFont="1" applyFill="1" applyBorder="1" applyAlignment="1">
      <alignment horizontal="center"/>
    </xf>
    <xf numFmtId="0" fontId="33" fillId="0" borderId="73" xfId="0" applyNumberFormat="1" applyFont="1" applyFill="1" applyBorder="1" applyAlignment="1">
      <alignment horizontal="center"/>
    </xf>
    <xf numFmtId="0" fontId="33" fillId="0" borderId="74" xfId="0" applyNumberFormat="1" applyFont="1" applyFill="1" applyBorder="1" applyAlignment="1">
      <alignment horizontal="center"/>
    </xf>
    <xf numFmtId="0" fontId="33" fillId="0" borderId="75" xfId="0" applyNumberFormat="1" applyFont="1" applyFill="1" applyBorder="1" applyAlignment="1">
      <alignment horizontal="center"/>
    </xf>
    <xf numFmtId="0" fontId="33" fillId="0" borderId="76" xfId="0" applyNumberFormat="1" applyFont="1" applyFill="1" applyBorder="1" applyAlignment="1">
      <alignment horizontal="center"/>
    </xf>
    <xf numFmtId="0" fontId="33" fillId="0" borderId="31" xfId="0" applyNumberFormat="1" applyFont="1" applyFill="1" applyBorder="1" applyAlignment="1">
      <alignment horizontal="center"/>
    </xf>
    <xf numFmtId="0" fontId="33" fillId="0" borderId="71" xfId="0" applyNumberFormat="1" applyFont="1" applyFill="1" applyBorder="1" applyAlignment="1">
      <alignment horizontal="center"/>
    </xf>
    <xf numFmtId="0" fontId="33" fillId="0" borderId="32" xfId="0" applyNumberFormat="1" applyFont="1" applyFill="1" applyBorder="1" applyAlignment="1">
      <alignment horizontal="center"/>
    </xf>
    <xf numFmtId="0" fontId="33" fillId="34" borderId="19" xfId="48" applyNumberFormat="1" applyFont="1" applyFill="1" applyBorder="1" applyAlignment="1">
      <alignment horizontal="center"/>
    </xf>
    <xf numFmtId="0" fontId="33" fillId="36" borderId="19" xfId="48" applyNumberFormat="1" applyFont="1" applyFill="1" applyBorder="1" applyAlignment="1">
      <alignment horizontal="center"/>
    </xf>
    <xf numFmtId="0" fontId="34" fillId="0" borderId="43" xfId="0" applyNumberFormat="1" applyFont="1" applyFill="1" applyBorder="1" applyAlignment="1">
      <alignment horizontal="center"/>
    </xf>
    <xf numFmtId="0" fontId="34" fillId="0" borderId="45" xfId="0" applyNumberFormat="1" applyFont="1" applyFill="1" applyBorder="1" applyAlignment="1">
      <alignment horizontal="center"/>
    </xf>
    <xf numFmtId="0" fontId="34" fillId="0" borderId="44" xfId="0" applyNumberFormat="1" applyFont="1" applyFill="1" applyBorder="1" applyAlignment="1">
      <alignment horizontal="center"/>
    </xf>
    <xf numFmtId="0" fontId="33" fillId="0" borderId="77" xfId="0" applyNumberFormat="1" applyFont="1" applyFill="1" applyBorder="1" applyAlignment="1">
      <alignment horizontal="center"/>
    </xf>
    <xf numFmtId="0" fontId="33" fillId="0" borderId="67" xfId="0" applyNumberFormat="1" applyFont="1" applyFill="1" applyBorder="1" applyAlignment="1">
      <alignment horizontal="center"/>
    </xf>
    <xf numFmtId="0" fontId="33" fillId="0" borderId="68" xfId="0" applyNumberFormat="1" applyFont="1" applyFill="1" applyBorder="1" applyAlignment="1">
      <alignment horizontal="center"/>
    </xf>
    <xf numFmtId="14" fontId="34" fillId="36" borderId="43" xfId="0" applyNumberFormat="1" applyFont="1" applyFill="1" applyBorder="1" applyAlignment="1">
      <alignment horizontal="center"/>
    </xf>
    <xf numFmtId="14" fontId="34" fillId="36" borderId="45" xfId="0" applyNumberFormat="1" applyFont="1" applyFill="1" applyBorder="1" applyAlignment="1">
      <alignment horizontal="center"/>
    </xf>
    <xf numFmtId="14" fontId="34" fillId="36" borderId="44" xfId="0" applyNumberFormat="1" applyFont="1" applyFill="1" applyBorder="1" applyAlignment="1">
      <alignment horizontal="center"/>
    </xf>
    <xf numFmtId="0" fontId="34" fillId="37" borderId="43" xfId="0" applyNumberFormat="1" applyFont="1" applyFill="1" applyBorder="1" applyAlignment="1">
      <alignment horizontal="center"/>
    </xf>
    <xf numFmtId="0" fontId="34" fillId="37" borderId="45" xfId="0" applyNumberFormat="1" applyFont="1" applyFill="1" applyBorder="1" applyAlignment="1">
      <alignment horizontal="center"/>
    </xf>
    <xf numFmtId="0" fontId="34" fillId="37" borderId="44" xfId="0" applyNumberFormat="1" applyFont="1" applyFill="1" applyBorder="1" applyAlignment="1">
      <alignment horizontal="center"/>
    </xf>
    <xf numFmtId="0" fontId="33" fillId="0" borderId="66" xfId="0" applyNumberFormat="1" applyFont="1" applyFill="1" applyBorder="1" applyAlignment="1">
      <alignment horizontal="center"/>
    </xf>
    <xf numFmtId="0" fontId="33" fillId="0" borderId="78" xfId="0" applyNumberFormat="1" applyFont="1" applyFill="1" applyBorder="1" applyAlignment="1">
      <alignment horizontal="center"/>
    </xf>
    <xf numFmtId="0" fontId="35" fillId="0" borderId="41" xfId="0" applyNumberFormat="1" applyFont="1" applyFill="1" applyBorder="1" applyAlignment="1">
      <alignment horizontal="center"/>
    </xf>
    <xf numFmtId="0" fontId="35" fillId="0" borderId="79" xfId="0" applyNumberFormat="1" applyFont="1" applyFill="1" applyBorder="1" applyAlignment="1">
      <alignment horizontal="center"/>
    </xf>
    <xf numFmtId="0" fontId="35" fillId="0" borderId="80" xfId="0" applyNumberFormat="1" applyFont="1" applyFill="1" applyBorder="1" applyAlignment="1">
      <alignment horizontal="center"/>
    </xf>
    <xf numFmtId="0" fontId="33" fillId="0" borderId="66" xfId="48" applyNumberFormat="1" applyFont="1" applyFill="1" applyBorder="1" applyAlignment="1">
      <alignment horizontal="center"/>
    </xf>
    <xf numFmtId="0" fontId="33" fillId="0" borderId="67" xfId="48" applyNumberFormat="1" applyFont="1" applyFill="1" applyBorder="1" applyAlignment="1">
      <alignment horizontal="center"/>
    </xf>
    <xf numFmtId="0" fontId="33" fillId="0" borderId="68" xfId="48" applyNumberFormat="1" applyFont="1" applyFill="1" applyBorder="1" applyAlignment="1">
      <alignment horizontal="center"/>
    </xf>
    <xf numFmtId="0" fontId="37" fillId="0" borderId="19" xfId="48" applyNumberFormat="1" applyFont="1" applyFill="1" applyBorder="1" applyAlignment="1"/>
    <xf numFmtId="0" fontId="32" fillId="0" borderId="43" xfId="0" applyNumberFormat="1" applyFont="1" applyFill="1" applyBorder="1" applyAlignment="1">
      <alignment horizontal="left"/>
    </xf>
    <xf numFmtId="0" fontId="32" fillId="0" borderId="44" xfId="0" applyNumberFormat="1" applyFont="1" applyFill="1" applyBorder="1" applyAlignment="1">
      <alignment horizontal="left"/>
    </xf>
    <xf numFmtId="0" fontId="33" fillId="0" borderId="82" xfId="48" applyNumberFormat="1" applyFont="1" applyFill="1" applyBorder="1" applyAlignment="1">
      <alignment horizontal="center"/>
    </xf>
    <xf numFmtId="0" fontId="33" fillId="0" borderId="83" xfId="48" applyNumberFormat="1" applyFont="1" applyFill="1" applyBorder="1" applyAlignment="1">
      <alignment horizontal="center"/>
    </xf>
    <xf numFmtId="0" fontId="36" fillId="36" borderId="49" xfId="0" applyNumberFormat="1" applyFont="1" applyFill="1" applyBorder="1" applyAlignment="1">
      <alignment horizontal="center"/>
    </xf>
    <xf numFmtId="0" fontId="36" fillId="36" borderId="0" xfId="0" applyNumberFormat="1" applyFont="1" applyFill="1" applyBorder="1" applyAlignment="1">
      <alignment horizontal="center"/>
    </xf>
    <xf numFmtId="0" fontId="33" fillId="0" borderId="43" xfId="48" applyNumberFormat="1" applyFont="1" applyFill="1" applyBorder="1" applyAlignment="1">
      <alignment horizontal="center"/>
    </xf>
    <xf numFmtId="0" fontId="33" fillId="0" borderId="44" xfId="48" applyNumberFormat="1" applyFont="1" applyFill="1" applyBorder="1" applyAlignment="1">
      <alignment horizontal="center"/>
    </xf>
    <xf numFmtId="0" fontId="33" fillId="0" borderId="66" xfId="48" applyNumberFormat="1" applyFont="1" applyFill="1" applyBorder="1" applyAlignment="1">
      <alignment horizontal="left"/>
    </xf>
    <xf numFmtId="0" fontId="33" fillId="0" borderId="68" xfId="48" applyNumberFormat="1" applyFont="1" applyFill="1" applyBorder="1" applyAlignment="1">
      <alignment horizontal="left"/>
    </xf>
    <xf numFmtId="0" fontId="33" fillId="0" borderId="72" xfId="48" applyNumberFormat="1" applyFont="1" applyFill="1" applyBorder="1" applyAlignment="1">
      <alignment horizontal="left"/>
    </xf>
    <xf numFmtId="0" fontId="33" fillId="0" borderId="76" xfId="48" applyNumberFormat="1" applyFont="1" applyFill="1" applyBorder="1" applyAlignment="1">
      <alignment horizontal="left"/>
    </xf>
    <xf numFmtId="0" fontId="33" fillId="0" borderId="78" xfId="48" applyNumberFormat="1" applyFont="1" applyFill="1" applyBorder="1" applyAlignment="1">
      <alignment horizontal="center"/>
    </xf>
    <xf numFmtId="0" fontId="36" fillId="36" borderId="19" xfId="0" applyNumberFormat="1" applyFont="1" applyFill="1" applyBorder="1" applyAlignment="1">
      <alignment horizontal="center"/>
    </xf>
    <xf numFmtId="0" fontId="33" fillId="0" borderId="74" xfId="48" applyNumberFormat="1" applyFont="1" applyFill="1" applyBorder="1" applyAlignment="1">
      <alignment horizontal="center"/>
    </xf>
    <xf numFmtId="0" fontId="33" fillId="0" borderId="73" xfId="48" applyNumberFormat="1" applyFont="1" applyFill="1" applyBorder="1" applyAlignment="1">
      <alignment horizontal="center"/>
    </xf>
    <xf numFmtId="0" fontId="33" fillId="0" borderId="19" xfId="48" applyNumberFormat="1" applyFont="1" applyFill="1" applyBorder="1" applyAlignment="1">
      <alignment horizontal="center"/>
    </xf>
    <xf numFmtId="0" fontId="33" fillId="0" borderId="79" xfId="48" applyNumberFormat="1" applyFont="1" applyFill="1" applyBorder="1" applyAlignment="1">
      <alignment horizontal="center"/>
    </xf>
    <xf numFmtId="0" fontId="33" fillId="0" borderId="80" xfId="48" applyNumberFormat="1" applyFont="1" applyFill="1" applyBorder="1" applyAlignment="1">
      <alignment horizontal="center"/>
    </xf>
    <xf numFmtId="0" fontId="27" fillId="0" borderId="19" xfId="0" applyNumberFormat="1" applyFont="1" applyFill="1" applyBorder="1" applyAlignment="1">
      <alignment horizontal="center"/>
    </xf>
    <xf numFmtId="0" fontId="36" fillId="0" borderId="0" xfId="0" applyNumberFormat="1" applyFont="1" applyFill="1" applyAlignment="1"/>
    <xf numFmtId="0" fontId="36" fillId="0" borderId="0" xfId="0" applyNumberFormat="1" applyFont="1" applyFill="1" applyAlignment="1">
      <alignment horizontal="center"/>
    </xf>
    <xf numFmtId="0" fontId="32" fillId="0" borderId="0" xfId="0" applyNumberFormat="1" applyFont="1" applyFill="1" applyAlignment="1"/>
    <xf numFmtId="0" fontId="32" fillId="0" borderId="0" xfId="0" applyNumberFormat="1" applyFont="1" applyFill="1" applyAlignment="1">
      <alignment horizontal="center"/>
    </xf>
    <xf numFmtId="0" fontId="77" fillId="29" borderId="87" xfId="0" applyNumberFormat="1" applyFont="1" applyFill="1" applyBorder="1" applyAlignment="1">
      <alignment horizontal="center"/>
    </xf>
    <xf numFmtId="0" fontId="77" fillId="29" borderId="86" xfId="0" applyNumberFormat="1" applyFont="1" applyFill="1" applyBorder="1" applyAlignment="1">
      <alignment horizontal="center"/>
    </xf>
    <xf numFmtId="0" fontId="65" fillId="33" borderId="19" xfId="45" applyNumberFormat="1" applyFont="1" applyFill="1" applyBorder="1" applyAlignment="1" applyProtection="1">
      <alignment horizontal="center" vertical="center" wrapText="1"/>
      <protection locked="0"/>
    </xf>
    <xf numFmtId="0" fontId="78" fillId="33" borderId="19" xfId="45" applyNumberFormat="1" applyFont="1" applyFill="1" applyBorder="1" applyAlignment="1" applyProtection="1">
      <alignment horizontal="center" vertical="center" wrapText="1"/>
      <protection locked="0"/>
    </xf>
    <xf numFmtId="0" fontId="78" fillId="33" borderId="18" xfId="45" applyNumberFormat="1" applyFont="1" applyFill="1" applyBorder="1" applyAlignment="1" applyProtection="1">
      <alignment horizontal="center" vertical="center" wrapText="1"/>
      <protection locked="0"/>
    </xf>
    <xf numFmtId="49" fontId="25" fillId="33" borderId="85" xfId="45" applyNumberFormat="1" applyFont="1" applyFill="1" applyBorder="1" applyAlignment="1" applyProtection="1">
      <alignment horizontal="center" vertical="center" wrapText="1"/>
      <protection locked="0"/>
    </xf>
    <xf numFmtId="49" fontId="25" fillId="33" borderId="86" xfId="45" applyNumberFormat="1" applyFont="1" applyFill="1" applyBorder="1" applyAlignment="1" applyProtection="1">
      <alignment horizontal="center" vertical="center" wrapText="1"/>
      <protection locked="0"/>
    </xf>
    <xf numFmtId="0" fontId="25" fillId="32" borderId="85" xfId="45" applyNumberFormat="1" applyFont="1" applyFill="1" applyBorder="1" applyAlignment="1" applyProtection="1">
      <alignment horizontal="center" vertical="center" wrapText="1"/>
    </xf>
    <xf numFmtId="0" fontId="25" fillId="32" borderId="86" xfId="45" applyNumberFormat="1" applyFont="1" applyFill="1" applyBorder="1" applyAlignment="1" applyProtection="1">
      <alignment horizontal="center" vertical="center" wrapText="1"/>
    </xf>
    <xf numFmtId="0" fontId="71" fillId="0" borderId="27" xfId="45" applyNumberFormat="1" applyFont="1" applyBorder="1" applyAlignment="1" applyProtection="1">
      <alignment horizontal="center" vertical="center" wrapText="1"/>
    </xf>
    <xf numFmtId="0" fontId="78" fillId="33" borderId="43" xfId="45" applyNumberFormat="1" applyFont="1" applyFill="1" applyBorder="1" applyAlignment="1" applyProtection="1">
      <alignment horizontal="center" vertical="center" wrapText="1"/>
      <protection locked="0"/>
    </xf>
    <xf numFmtId="0" fontId="78" fillId="33" borderId="44" xfId="45" applyNumberFormat="1" applyFont="1" applyFill="1" applyBorder="1" applyAlignment="1" applyProtection="1">
      <alignment horizontal="center" vertical="center" wrapText="1"/>
      <protection locked="0"/>
    </xf>
    <xf numFmtId="0" fontId="25" fillId="32" borderId="84" xfId="45" applyNumberFormat="1" applyFont="1" applyFill="1" applyBorder="1" applyAlignment="1" applyProtection="1">
      <alignment horizontal="center" vertical="center" wrapText="1"/>
    </xf>
    <xf numFmtId="0" fontId="71" fillId="0" borderId="0" xfId="45" applyNumberFormat="1" applyFont="1" applyFill="1" applyBorder="1" applyAlignment="1" applyProtection="1">
      <alignment horizontal="center" vertical="center" wrapText="1"/>
    </xf>
    <xf numFmtId="0" fontId="26" fillId="33" borderId="19" xfId="45" applyNumberFormat="1" applyFont="1" applyFill="1" applyBorder="1" applyAlignment="1" applyProtection="1">
      <alignment horizontal="center" vertical="center" wrapText="1"/>
      <protection locked="0"/>
    </xf>
    <xf numFmtId="0" fontId="26" fillId="29" borderId="85" xfId="45" applyNumberFormat="1" applyFont="1" applyFill="1" applyBorder="1" applyAlignment="1" applyProtection="1">
      <alignment horizontal="center" vertical="center" wrapText="1"/>
    </xf>
    <xf numFmtId="0" fontId="26" fillId="29" borderId="87" xfId="45" applyNumberFormat="1" applyFont="1" applyFill="1" applyBorder="1" applyAlignment="1" applyProtection="1">
      <alignment horizontal="center" vertical="center" wrapText="1"/>
    </xf>
    <xf numFmtId="0" fontId="71" fillId="0" borderId="0" xfId="45" applyNumberFormat="1" applyFont="1" applyBorder="1" applyAlignment="1" applyProtection="1">
      <alignment horizontal="center" vertical="center" wrapText="1"/>
    </xf>
    <xf numFmtId="0" fontId="71" fillId="0" borderId="24" xfId="45" applyNumberFormat="1" applyFont="1" applyFill="1" applyBorder="1" applyAlignment="1" applyProtection="1">
      <alignment horizontal="center" vertical="center" wrapText="1"/>
    </xf>
    <xf numFmtId="0" fontId="25" fillId="29" borderId="84" xfId="45" applyNumberFormat="1" applyFont="1" applyFill="1" applyBorder="1" applyAlignment="1" applyProtection="1">
      <alignment horizontal="center" vertical="center" wrapText="1"/>
    </xf>
    <xf numFmtId="49" fontId="25" fillId="33" borderId="84" xfId="45" applyNumberFormat="1" applyFont="1" applyFill="1" applyBorder="1" applyAlignment="1" applyProtection="1">
      <alignment horizontal="center" vertical="center" wrapText="1"/>
      <protection locked="0"/>
    </xf>
    <xf numFmtId="166" fontId="25" fillId="33" borderId="84" xfId="45" applyNumberFormat="1" applyFont="1" applyFill="1" applyBorder="1" applyAlignment="1" applyProtection="1">
      <alignment horizontal="center" vertical="center" wrapText="1"/>
      <protection locked="0"/>
    </xf>
    <xf numFmtId="0" fontId="25" fillId="32" borderId="87" xfId="45" applyNumberFormat="1" applyFont="1" applyFill="1" applyBorder="1" applyAlignment="1" applyProtection="1">
      <alignment horizontal="center" vertical="center" wrapText="1"/>
    </xf>
    <xf numFmtId="0" fontId="71" fillId="0" borderId="27" xfId="45" applyNumberFormat="1" applyFont="1" applyFill="1" applyBorder="1" applyAlignment="1" applyProtection="1">
      <alignment horizontal="center" vertical="center" wrapText="1"/>
    </xf>
    <xf numFmtId="0" fontId="71" fillId="0" borderId="21" xfId="45" applyNumberFormat="1" applyFont="1" applyFill="1" applyBorder="1" applyAlignment="1" applyProtection="1">
      <alignment horizontal="center" vertical="center" wrapText="1"/>
    </xf>
    <xf numFmtId="0" fontId="26" fillId="0" borderId="12" xfId="45" applyNumberFormat="1" applyFont="1" applyBorder="1" applyAlignment="1" applyProtection="1">
      <alignment horizontal="center" vertical="center" wrapText="1"/>
    </xf>
    <xf numFmtId="0" fontId="26" fillId="0" borderId="0" xfId="45" applyNumberFormat="1" applyFont="1" applyBorder="1" applyAlignment="1" applyProtection="1">
      <alignment horizontal="center" vertical="center" wrapText="1"/>
    </xf>
    <xf numFmtId="0" fontId="26" fillId="0" borderId="24" xfId="45" applyNumberFormat="1" applyFont="1" applyBorder="1" applyAlignment="1" applyProtection="1">
      <alignment horizontal="center" vertical="center" wrapText="1"/>
    </xf>
    <xf numFmtId="0" fontId="25" fillId="35" borderId="84" xfId="45" applyNumberFormat="1" applyFont="1" applyFill="1" applyBorder="1" applyAlignment="1" applyProtection="1">
      <alignment horizontal="center" vertical="center" wrapText="1"/>
      <protection locked="0"/>
    </xf>
    <xf numFmtId="0" fontId="25" fillId="32" borderId="84" xfId="45" applyNumberFormat="1" applyFont="1" applyFill="1" applyBorder="1" applyAlignment="1" applyProtection="1">
      <alignment horizontal="right" vertical="center" wrapText="1"/>
    </xf>
    <xf numFmtId="2" fontId="26" fillId="29" borderId="84" xfId="45" applyNumberFormat="1" applyFont="1" applyFill="1" applyBorder="1" applyAlignment="1" applyProtection="1">
      <alignment horizontal="center" vertical="center" wrapText="1"/>
    </xf>
    <xf numFmtId="0" fontId="25" fillId="32" borderId="84" xfId="45" applyNumberFormat="1" applyFont="1" applyFill="1" applyBorder="1" applyAlignment="1" applyProtection="1">
      <alignment horizontal="center" vertical="center"/>
    </xf>
    <xf numFmtId="0" fontId="26" fillId="34" borderId="85" xfId="51" applyNumberFormat="1" applyFont="1" applyFill="1" applyBorder="1" applyAlignment="1" applyProtection="1">
      <alignment horizontal="center" vertical="center" wrapText="1"/>
      <protection locked="0"/>
    </xf>
    <xf numFmtId="0" fontId="26" fillId="34" borderId="86" xfId="51" applyNumberFormat="1" applyFont="1" applyFill="1" applyBorder="1" applyAlignment="1" applyProtection="1">
      <alignment horizontal="center" vertical="center" wrapText="1"/>
      <protection locked="0"/>
    </xf>
    <xf numFmtId="49" fontId="25" fillId="33" borderId="87" xfId="45" applyNumberFormat="1" applyFont="1" applyFill="1" applyBorder="1" applyAlignment="1" applyProtection="1">
      <alignment horizontal="center" vertical="center" wrapText="1"/>
      <protection locked="0"/>
    </xf>
    <xf numFmtId="0" fontId="26" fillId="35" borderId="43" xfId="45" applyNumberFormat="1" applyFont="1" applyFill="1" applyBorder="1" applyAlignment="1" applyProtection="1">
      <alignment horizontal="center" vertical="center" wrapText="1"/>
    </xf>
    <xf numFmtId="0" fontId="26" fillId="35" borderId="45" xfId="45" applyNumberFormat="1" applyFont="1" applyFill="1" applyBorder="1" applyAlignment="1" applyProtection="1">
      <alignment horizontal="center" vertical="center" wrapText="1"/>
    </xf>
    <xf numFmtId="0" fontId="26" fillId="35" borderId="44" xfId="45" applyNumberFormat="1" applyFont="1" applyFill="1" applyBorder="1" applyAlignment="1" applyProtection="1">
      <alignment horizontal="center" vertical="center" wrapText="1"/>
    </xf>
    <xf numFmtId="0" fontId="26" fillId="33" borderId="19" xfId="45" applyNumberFormat="1" applyFont="1" applyFill="1" applyBorder="1" applyAlignment="1" applyProtection="1">
      <alignment horizontal="center" vertical="center" wrapText="1"/>
    </xf>
    <xf numFmtId="0" fontId="26" fillId="33" borderId="18" xfId="45" applyNumberFormat="1" applyFont="1" applyFill="1" applyBorder="1" applyAlignment="1" applyProtection="1">
      <alignment horizontal="center" vertical="center" wrapText="1"/>
    </xf>
    <xf numFmtId="0" fontId="26" fillId="33" borderId="43" xfId="45" applyNumberFormat="1" applyFont="1" applyFill="1" applyBorder="1" applyAlignment="1" applyProtection="1">
      <alignment horizontal="center" vertical="center" wrapText="1"/>
      <protection locked="0"/>
    </xf>
    <xf numFmtId="0" fontId="26" fillId="33" borderId="44" xfId="45" applyNumberFormat="1" applyFont="1" applyFill="1" applyBorder="1" applyAlignment="1" applyProtection="1">
      <alignment horizontal="center" vertical="center" wrapText="1"/>
      <protection locked="0"/>
    </xf>
    <xf numFmtId="0" fontId="26" fillId="0" borderId="59" xfId="41" applyNumberFormat="1" applyFont="1" applyBorder="1" applyAlignment="1" applyProtection="1">
      <alignment horizontal="center" vertical="center"/>
    </xf>
    <xf numFmtId="0" fontId="26" fillId="0" borderId="45" xfId="41" applyNumberFormat="1" applyFont="1" applyBorder="1" applyAlignment="1" applyProtection="1">
      <alignment horizontal="center" vertical="center"/>
    </xf>
    <xf numFmtId="0" fontId="26" fillId="0" borderId="44" xfId="41" applyNumberFormat="1" applyFont="1" applyBorder="1" applyAlignment="1" applyProtection="1">
      <alignment horizontal="center" vertical="center"/>
    </xf>
    <xf numFmtId="0" fontId="72" fillId="0" borderId="0" xfId="45" applyNumberFormat="1" applyFont="1" applyFill="1" applyBorder="1" applyAlignment="1" applyProtection="1">
      <alignment horizontal="center" vertical="center" wrapText="1"/>
    </xf>
    <xf numFmtId="0" fontId="26" fillId="32" borderId="12" xfId="45" applyNumberFormat="1" applyFont="1" applyFill="1" applyBorder="1" applyAlignment="1" applyProtection="1">
      <alignment horizontal="right" vertical="center" wrapText="1"/>
    </xf>
    <xf numFmtId="0" fontId="26" fillId="32" borderId="0" xfId="45" applyNumberFormat="1" applyFont="1" applyFill="1" applyBorder="1" applyAlignment="1" applyProtection="1">
      <alignment horizontal="right" vertical="center" wrapText="1"/>
    </xf>
    <xf numFmtId="0" fontId="72" fillId="0" borderId="0" xfId="45" applyNumberFormat="1" applyFont="1" applyBorder="1" applyAlignment="1" applyProtection="1">
      <alignment horizontal="center" vertical="center" wrapText="1"/>
    </xf>
    <xf numFmtId="0" fontId="72" fillId="0" borderId="24" xfId="45" applyNumberFormat="1" applyFont="1" applyBorder="1" applyAlignment="1" applyProtection="1">
      <alignment horizontal="center" vertical="center" wrapText="1"/>
    </xf>
    <xf numFmtId="0" fontId="26" fillId="29" borderId="43" xfId="45" applyNumberFormat="1" applyFont="1" applyFill="1" applyBorder="1" applyAlignment="1" applyProtection="1">
      <alignment horizontal="center" vertical="center" wrapText="1"/>
    </xf>
    <xf numFmtId="0" fontId="26" fillId="29" borderId="60" xfId="45" applyNumberFormat="1" applyFont="1" applyFill="1" applyBorder="1" applyAlignment="1" applyProtection="1">
      <alignment horizontal="center" vertical="center" wrapText="1"/>
    </xf>
    <xf numFmtId="0" fontId="26" fillId="29" borderId="12" xfId="45" applyNumberFormat="1" applyFont="1" applyFill="1" applyBorder="1" applyAlignment="1" applyProtection="1">
      <alignment horizontal="center" vertical="center" wrapText="1"/>
    </xf>
    <xf numFmtId="0" fontId="26" fillId="29" borderId="0" xfId="45" applyNumberFormat="1" applyFont="1" applyFill="1" applyBorder="1" applyAlignment="1" applyProtection="1">
      <alignment horizontal="center" vertical="center" wrapText="1"/>
    </xf>
    <xf numFmtId="0" fontId="26" fillId="29" borderId="24" xfId="45" applyNumberFormat="1" applyFont="1" applyFill="1" applyBorder="1" applyAlignment="1" applyProtection="1">
      <alignment horizontal="center" vertical="center" wrapText="1"/>
    </xf>
    <xf numFmtId="0" fontId="26" fillId="33" borderId="18" xfId="45" applyNumberFormat="1" applyFont="1" applyFill="1" applyBorder="1" applyAlignment="1" applyProtection="1">
      <alignment horizontal="center" vertical="center" wrapText="1"/>
      <protection locked="0"/>
    </xf>
    <xf numFmtId="49" fontId="26" fillId="33" borderId="43" xfId="45" applyNumberFormat="1" applyFont="1" applyFill="1" applyBorder="1" applyAlignment="1" applyProtection="1">
      <alignment horizontal="center" vertical="center" wrapText="1"/>
      <protection locked="0"/>
    </xf>
    <xf numFmtId="49" fontId="26" fillId="33" borderId="45" xfId="45" applyNumberFormat="1" applyFont="1" applyFill="1" applyBorder="1" applyAlignment="1" applyProtection="1">
      <alignment horizontal="center" vertical="center" wrapText="1"/>
      <protection locked="0"/>
    </xf>
    <xf numFmtId="49" fontId="26" fillId="33" borderId="44" xfId="45" applyNumberFormat="1" applyFont="1" applyFill="1" applyBorder="1" applyAlignment="1" applyProtection="1">
      <alignment horizontal="center" vertical="center" wrapText="1"/>
      <protection locked="0"/>
    </xf>
    <xf numFmtId="0" fontId="72" fillId="0" borderId="61" xfId="45" applyNumberFormat="1" applyFont="1" applyFill="1" applyBorder="1" applyAlignment="1" applyProtection="1">
      <alignment horizontal="center" vertical="center" wrapText="1"/>
    </xf>
    <xf numFmtId="0" fontId="72" fillId="0" borderId="52" xfId="45" applyNumberFormat="1" applyFont="1" applyFill="1" applyBorder="1" applyAlignment="1" applyProtection="1">
      <alignment horizontal="center" vertical="center" wrapText="1"/>
    </xf>
    <xf numFmtId="0" fontId="72" fillId="0" borderId="62" xfId="45" applyNumberFormat="1" applyFont="1" applyFill="1" applyBorder="1" applyAlignment="1" applyProtection="1">
      <alignment horizontal="center" vertical="center" wrapText="1"/>
    </xf>
    <xf numFmtId="0" fontId="26" fillId="32" borderId="43" xfId="45" applyNumberFormat="1" applyFont="1" applyFill="1" applyBorder="1" applyAlignment="1" applyProtection="1">
      <alignment horizontal="center" vertical="center" wrapText="1"/>
    </xf>
    <xf numFmtId="0" fontId="26" fillId="32" borderId="44" xfId="45" applyNumberFormat="1" applyFont="1" applyFill="1" applyBorder="1" applyAlignment="1" applyProtection="1">
      <alignment horizontal="center" vertical="center" wrapText="1"/>
    </xf>
    <xf numFmtId="0" fontId="26" fillId="32" borderId="19" xfId="45" applyNumberFormat="1" applyFont="1" applyFill="1" applyBorder="1" applyAlignment="1" applyProtection="1">
      <alignment horizontal="center" vertical="center" wrapText="1"/>
    </xf>
    <xf numFmtId="0" fontId="26" fillId="32" borderId="48" xfId="45" applyNumberFormat="1" applyFont="1" applyFill="1" applyBorder="1" applyAlignment="1" applyProtection="1">
      <alignment horizontal="center" vertical="center" wrapText="1"/>
    </xf>
    <xf numFmtId="0" fontId="25" fillId="0" borderId="0" xfId="45" applyNumberFormat="1" applyFont="1" applyAlignment="1" applyProtection="1">
      <alignment horizontal="center" vertical="center" wrapText="1"/>
    </xf>
    <xf numFmtId="0" fontId="26" fillId="32" borderId="18" xfId="45" applyNumberFormat="1" applyFont="1" applyFill="1" applyBorder="1" applyAlignment="1" applyProtection="1">
      <alignment horizontal="center" vertical="center" wrapText="1"/>
    </xf>
    <xf numFmtId="0" fontId="26" fillId="29" borderId="19" xfId="45" applyNumberFormat="1" applyFont="1" applyFill="1" applyBorder="1" applyAlignment="1" applyProtection="1">
      <alignment horizontal="center" vertical="center" wrapText="1"/>
    </xf>
    <xf numFmtId="0" fontId="26" fillId="29" borderId="18" xfId="45" applyNumberFormat="1" applyFont="1" applyFill="1" applyBorder="1" applyAlignment="1" applyProtection="1">
      <alignment horizontal="center" vertical="center" wrapText="1"/>
    </xf>
    <xf numFmtId="0" fontId="75" fillId="0" borderId="59" xfId="41" applyNumberFormat="1" applyFont="1" applyBorder="1" applyAlignment="1" applyProtection="1">
      <alignment horizontal="center" vertical="center"/>
    </xf>
    <xf numFmtId="0" fontId="75" fillId="0" borderId="45" xfId="41" applyNumberFormat="1" applyFont="1" applyBorder="1" applyAlignment="1" applyProtection="1">
      <alignment horizontal="center" vertical="center"/>
    </xf>
    <xf numFmtId="0" fontId="26" fillId="33" borderId="45" xfId="41" applyNumberFormat="1" applyFont="1" applyFill="1" applyBorder="1" applyAlignment="1" applyProtection="1">
      <alignment horizontal="center" vertical="center"/>
      <protection locked="0"/>
    </xf>
    <xf numFmtId="0" fontId="26" fillId="0" borderId="13" xfId="45" applyNumberFormat="1" applyFont="1" applyBorder="1" applyAlignment="1" applyProtection="1">
      <alignment horizontal="right" vertical="center" wrapText="1"/>
    </xf>
    <xf numFmtId="0" fontId="26" fillId="35" borderId="84" xfId="45" applyNumberFormat="1" applyFont="1" applyFill="1" applyBorder="1" applyAlignment="1" applyProtection="1">
      <alignment horizontal="center" vertical="center" wrapText="1"/>
      <protection locked="0"/>
    </xf>
    <xf numFmtId="0" fontId="25" fillId="0" borderId="0" xfId="45" applyNumberFormat="1" applyFont="1" applyFill="1" applyBorder="1" applyAlignment="1" applyProtection="1">
      <alignment horizontal="center" vertical="center" wrapText="1"/>
    </xf>
    <xf numFmtId="0" fontId="51" fillId="0" borderId="0" xfId="0" applyNumberFormat="1" applyFont="1" applyFill="1" applyAlignment="1">
      <alignment horizontal="justify" vertical="justify" wrapText="1"/>
    </xf>
    <xf numFmtId="0" fontId="51" fillId="0" borderId="0" xfId="0" applyNumberFormat="1" applyFont="1" applyFill="1" applyAlignment="1">
      <alignment horizontal="justify" vertical="top" wrapText="1"/>
    </xf>
    <xf numFmtId="0" fontId="50" fillId="0" borderId="0" xfId="0" applyNumberFormat="1" applyFont="1" applyFill="1" applyAlignment="1">
      <alignment horizontal="center" vertical="top"/>
    </xf>
    <xf numFmtId="0" fontId="51" fillId="0" borderId="0" xfId="0" applyNumberFormat="1" applyFont="1" applyFill="1" applyAlignment="1">
      <alignment horizontal="left" vertical="top"/>
    </xf>
    <xf numFmtId="0" fontId="51" fillId="0" borderId="0" xfId="0" applyNumberFormat="1" applyFont="1" applyFill="1" applyBorder="1" applyAlignment="1">
      <alignment horizontal="right" vertical="top"/>
    </xf>
    <xf numFmtId="0" fontId="51" fillId="0" borderId="0" xfId="0" applyNumberFormat="1" applyFont="1" applyFill="1" applyBorder="1" applyAlignment="1">
      <alignment horizontal="justify" vertical="top" wrapText="1"/>
    </xf>
    <xf numFmtId="0" fontId="50" fillId="0" borderId="0" xfId="0" applyNumberFormat="1" applyFont="1" applyFill="1" applyAlignment="1">
      <alignment horizontal="justify" vertical="top" wrapText="1"/>
    </xf>
    <xf numFmtId="0" fontId="50" fillId="0" borderId="0" xfId="0" applyNumberFormat="1" applyFont="1" applyFill="1" applyAlignment="1">
      <alignment horizontal="center" vertical="top" wrapText="1"/>
    </xf>
    <xf numFmtId="0" fontId="50" fillId="0" borderId="0" xfId="0" applyNumberFormat="1" applyFont="1" applyFill="1" applyAlignment="1">
      <alignment horizontal="justify" vertical="top"/>
    </xf>
    <xf numFmtId="0" fontId="51" fillId="0" borderId="0" xfId="0" applyNumberFormat="1" applyFont="1" applyFill="1" applyAlignment="1">
      <alignment horizontal="justify" vertical="top"/>
    </xf>
    <xf numFmtId="0" fontId="52" fillId="0" borderId="0" xfId="0" applyNumberFormat="1" applyFont="1" applyFill="1" applyAlignment="1">
      <alignment horizontal="justify" vertical="top" wrapText="1"/>
    </xf>
    <xf numFmtId="0" fontId="52" fillId="0" borderId="0" xfId="0" applyNumberFormat="1" applyFont="1" applyFill="1" applyAlignment="1">
      <alignment horizontal="justify" vertical="top"/>
    </xf>
    <xf numFmtId="0" fontId="52" fillId="0" borderId="0" xfId="0" applyNumberFormat="1" applyFont="1" applyFill="1" applyAlignment="1">
      <alignment horizontal="left" vertical="top"/>
    </xf>
    <xf numFmtId="0" fontId="51" fillId="0" borderId="0" xfId="37" applyNumberFormat="1" applyFont="1" applyAlignment="1">
      <alignment horizontal="justify" vertical="top" wrapText="1"/>
    </xf>
    <xf numFmtId="0" fontId="50" fillId="0" borderId="0" xfId="0" applyNumberFormat="1" applyFont="1" applyFill="1" applyBorder="1" applyAlignment="1" applyProtection="1">
      <alignment horizontal="center" vertical="center" wrapText="1"/>
    </xf>
    <xf numFmtId="0" fontId="50" fillId="0" borderId="0" xfId="0" applyNumberFormat="1" applyFont="1" applyFill="1" applyBorder="1" applyAlignment="1" applyProtection="1">
      <alignment horizontal="center" vertical="center"/>
    </xf>
    <xf numFmtId="0" fontId="51" fillId="0" borderId="0" xfId="0" applyNumberFormat="1" applyFont="1" applyFill="1" applyBorder="1" applyAlignment="1" applyProtection="1">
      <alignment horizontal="justify" vertical="top" wrapText="1"/>
    </xf>
    <xf numFmtId="0" fontId="50" fillId="0" borderId="0" xfId="0" applyNumberFormat="1" applyFont="1" applyFill="1" applyAlignment="1">
      <alignment horizontal="left" vertical="top"/>
    </xf>
    <xf numFmtId="0" fontId="50" fillId="0" borderId="0" xfId="0" applyNumberFormat="1" applyFont="1" applyFill="1" applyAlignment="1">
      <alignment horizontal="center" vertical="center"/>
    </xf>
    <xf numFmtId="0" fontId="50" fillId="0" borderId="0" xfId="0" applyNumberFormat="1" applyFont="1" applyFill="1" applyAlignment="1">
      <alignment vertical="top"/>
    </xf>
    <xf numFmtId="0" fontId="51" fillId="0" borderId="0" xfId="0" applyNumberFormat="1" applyFont="1" applyFill="1" applyBorder="1" applyAlignment="1">
      <alignment horizontal="left" vertical="top"/>
    </xf>
    <xf numFmtId="0" fontId="52" fillId="0" borderId="0" xfId="0" applyNumberFormat="1" applyFont="1" applyFill="1" applyBorder="1" applyAlignment="1">
      <alignment horizontal="center" vertical="top"/>
    </xf>
    <xf numFmtId="0" fontId="51" fillId="0" borderId="0" xfId="0" applyNumberFormat="1" applyFont="1" applyFill="1" applyBorder="1" applyAlignment="1">
      <alignment horizontal="center" vertical="top" wrapText="1"/>
    </xf>
    <xf numFmtId="0" fontId="51" fillId="0" borderId="0" xfId="0" applyNumberFormat="1" applyFont="1" applyFill="1" applyBorder="1" applyAlignment="1">
      <alignment horizontal="left" vertical="top" wrapText="1"/>
    </xf>
    <xf numFmtId="0" fontId="50" fillId="0" borderId="0" xfId="0" applyNumberFormat="1" applyFont="1" applyFill="1" applyBorder="1" applyAlignment="1">
      <alignment horizontal="right" vertical="top"/>
    </xf>
    <xf numFmtId="0" fontId="51" fillId="0" borderId="0" xfId="0" applyNumberFormat="1" applyFont="1" applyFill="1" applyBorder="1" applyAlignment="1">
      <alignment horizontal="justify" vertical="top"/>
    </xf>
    <xf numFmtId="0" fontId="50" fillId="0" borderId="0" xfId="0" applyNumberFormat="1" applyFont="1" applyFill="1" applyBorder="1" applyAlignment="1">
      <alignment horizontal="right" vertical="top" wrapText="1"/>
    </xf>
    <xf numFmtId="0" fontId="50" fillId="0" borderId="0" xfId="0" applyNumberFormat="1" applyFont="1" applyFill="1" applyBorder="1" applyAlignment="1">
      <alignment horizontal="center" vertical="top"/>
    </xf>
    <xf numFmtId="0" fontId="50" fillId="0" borderId="43" xfId="0" applyNumberFormat="1" applyFont="1" applyFill="1" applyBorder="1" applyAlignment="1">
      <alignment horizontal="center" vertical="top" wrapText="1"/>
    </xf>
    <xf numFmtId="0" fontId="50" fillId="0" borderId="45" xfId="0" applyNumberFormat="1" applyFont="1" applyFill="1" applyBorder="1" applyAlignment="1">
      <alignment horizontal="center" vertical="top" wrapText="1"/>
    </xf>
    <xf numFmtId="0" fontId="50" fillId="0" borderId="44" xfId="0" applyNumberFormat="1" applyFont="1" applyFill="1" applyBorder="1" applyAlignment="1">
      <alignment horizontal="center" vertical="top" wrapText="1"/>
    </xf>
    <xf numFmtId="0" fontId="52" fillId="0" borderId="0" xfId="0" applyNumberFormat="1" applyFont="1" applyFill="1" applyAlignment="1">
      <alignment horizontal="center"/>
    </xf>
    <xf numFmtId="0" fontId="52" fillId="0" borderId="0" xfId="0" applyNumberFormat="1" applyFont="1" applyFill="1" applyAlignment="1">
      <alignment horizontal="center" vertical="top"/>
    </xf>
    <xf numFmtId="0" fontId="50" fillId="0" borderId="0" xfId="0" applyNumberFormat="1" applyFont="1" applyFill="1" applyBorder="1" applyAlignment="1" applyProtection="1">
      <alignment horizontal="left" vertical="top"/>
    </xf>
    <xf numFmtId="0" fontId="52" fillId="0" borderId="0" xfId="0" applyNumberFormat="1" applyFont="1" applyFill="1" applyBorder="1" applyAlignment="1" applyProtection="1">
      <alignment horizontal="justify" vertical="top"/>
    </xf>
    <xf numFmtId="0" fontId="51" fillId="0" borderId="0" xfId="0" applyNumberFormat="1" applyFont="1" applyFill="1" applyAlignment="1" applyProtection="1">
      <alignment horizontal="justify" vertical="top" wrapText="1"/>
    </xf>
    <xf numFmtId="0" fontId="51" fillId="0" borderId="0" xfId="0" applyNumberFormat="1" applyFont="1" applyFill="1" applyAlignment="1">
      <alignment horizontal="left" vertical="center"/>
    </xf>
    <xf numFmtId="0" fontId="50" fillId="0" borderId="0" xfId="0" applyNumberFormat="1" applyFont="1" applyFill="1" applyBorder="1" applyAlignment="1" applyProtection="1">
      <alignment horizontal="justify" vertical="top"/>
    </xf>
    <xf numFmtId="0" fontId="50" fillId="0" borderId="0" xfId="0" applyNumberFormat="1" applyFont="1" applyFill="1" applyAlignment="1" applyProtection="1">
      <alignment horizontal="center" vertical="center"/>
    </xf>
    <xf numFmtId="0" fontId="51" fillId="0" borderId="0" xfId="0" applyNumberFormat="1" applyFont="1" applyFill="1" applyAlignment="1" applyProtection="1">
      <alignment horizontal="left" vertical="center"/>
    </xf>
    <xf numFmtId="0" fontId="51" fillId="0" borderId="0" xfId="0" applyNumberFormat="1" applyFont="1" applyFill="1" applyBorder="1" applyAlignment="1" applyProtection="1">
      <alignment horizontal="center" vertical="center"/>
    </xf>
    <xf numFmtId="0" fontId="50" fillId="0" borderId="0" xfId="0" applyNumberFormat="1" applyFont="1" applyFill="1" applyBorder="1" applyAlignment="1" applyProtection="1">
      <alignment horizontal="left" vertical="center"/>
    </xf>
    <xf numFmtId="0" fontId="50" fillId="0" borderId="0" xfId="0" applyNumberFormat="1" applyFont="1" applyFill="1" applyBorder="1" applyAlignment="1" applyProtection="1">
      <alignment horizontal="justify" vertical="top" wrapText="1"/>
    </xf>
    <xf numFmtId="0" fontId="51" fillId="0" borderId="0" xfId="0" applyNumberFormat="1" applyFont="1" applyFill="1" applyBorder="1" applyAlignment="1" applyProtection="1">
      <alignment horizontal="justify" vertical="top"/>
    </xf>
    <xf numFmtId="0" fontId="52" fillId="0" borderId="0" xfId="0" applyNumberFormat="1" applyFont="1" applyFill="1" applyAlignment="1" applyProtection="1">
      <alignment horizontal="justify" vertical="top"/>
    </xf>
    <xf numFmtId="0" fontId="51" fillId="0" borderId="0" xfId="0" applyNumberFormat="1" applyFont="1" applyFill="1" applyBorder="1" applyAlignment="1" applyProtection="1">
      <alignment horizontal="center" vertical="center" wrapText="1"/>
    </xf>
    <xf numFmtId="0" fontId="52" fillId="0" borderId="0" xfId="0" applyNumberFormat="1" applyFont="1" applyFill="1" applyBorder="1" applyAlignment="1" applyProtection="1">
      <alignment horizontal="center" vertical="center"/>
    </xf>
    <xf numFmtId="0" fontId="52" fillId="0" borderId="0" xfId="0" applyNumberFormat="1" applyFont="1" applyFill="1" applyBorder="1" applyAlignment="1" applyProtection="1">
      <alignment horizontal="left" vertical="top"/>
    </xf>
    <xf numFmtId="0" fontId="50" fillId="0" borderId="0" xfId="0" applyNumberFormat="1" applyFont="1" applyFill="1" applyBorder="1" applyAlignment="1" applyProtection="1">
      <alignment horizontal="center" vertical="top"/>
    </xf>
    <xf numFmtId="0" fontId="50" fillId="0" borderId="0" xfId="0" applyNumberFormat="1" applyFont="1" applyFill="1" applyBorder="1" applyAlignment="1" applyProtection="1">
      <alignment horizontal="right" vertical="top"/>
    </xf>
    <xf numFmtId="0" fontId="50" fillId="0" borderId="0" xfId="0" applyNumberFormat="1" applyFont="1" applyFill="1" applyBorder="1" applyAlignment="1" applyProtection="1">
      <alignment horizontal="right" vertical="center" wrapText="1"/>
    </xf>
    <xf numFmtId="0" fontId="51" fillId="0" borderId="0" xfId="0" applyNumberFormat="1" applyFont="1" applyFill="1" applyBorder="1" applyAlignment="1" applyProtection="1">
      <alignment horizontal="left" vertical="center" wrapText="1"/>
    </xf>
    <xf numFmtId="0" fontId="51" fillId="0" borderId="0" xfId="0" applyNumberFormat="1" applyFont="1" applyFill="1" applyBorder="1" applyAlignment="1" applyProtection="1">
      <alignment horizontal="left" vertical="center"/>
    </xf>
    <xf numFmtId="0" fontId="50" fillId="0" borderId="0" xfId="0" applyNumberFormat="1" applyFont="1" applyFill="1" applyBorder="1" applyAlignment="1" applyProtection="1">
      <alignment horizontal="right" vertical="center"/>
    </xf>
    <xf numFmtId="0" fontId="50" fillId="0" borderId="43" xfId="0" applyNumberFormat="1" applyFont="1" applyFill="1" applyBorder="1" applyAlignment="1" applyProtection="1">
      <alignment horizontal="center" vertical="center" wrapText="1"/>
    </xf>
    <xf numFmtId="0" fontId="50" fillId="0" borderId="45" xfId="0" applyNumberFormat="1" applyFont="1" applyFill="1" applyBorder="1" applyAlignment="1" applyProtection="1">
      <alignment horizontal="center" vertical="center" wrapText="1"/>
    </xf>
    <xf numFmtId="0" fontId="50" fillId="0" borderId="44" xfId="0" applyNumberFormat="1" applyFont="1" applyFill="1" applyBorder="1" applyAlignment="1" applyProtection="1">
      <alignment horizontal="center" vertical="center" wrapText="1"/>
    </xf>
    <xf numFmtId="0" fontId="51" fillId="0" borderId="0" xfId="0" applyNumberFormat="1" applyFont="1" applyFill="1" applyAlignment="1" applyProtection="1">
      <alignment horizontal="left" vertical="top" wrapText="1"/>
    </xf>
    <xf numFmtId="0" fontId="51" fillId="0" borderId="50" xfId="0" applyNumberFormat="1" applyFont="1" applyFill="1" applyBorder="1" applyAlignment="1">
      <alignment horizontal="justify" vertical="top" wrapText="1"/>
    </xf>
    <xf numFmtId="0" fontId="50" fillId="0" borderId="49" xfId="0" applyNumberFormat="1" applyFont="1" applyFill="1" applyBorder="1" applyAlignment="1">
      <alignment horizontal="right" vertical="top" wrapText="1"/>
    </xf>
    <xf numFmtId="0" fontId="50" fillId="0" borderId="49" xfId="0" applyNumberFormat="1" applyFont="1" applyFill="1" applyBorder="1" applyAlignment="1">
      <alignment horizontal="right" vertical="top"/>
    </xf>
    <xf numFmtId="0" fontId="51" fillId="0" borderId="49" xfId="0" applyNumberFormat="1" applyFont="1" applyFill="1" applyBorder="1" applyAlignment="1">
      <alignment horizontal="center" vertical="center"/>
    </xf>
    <xf numFmtId="0" fontId="51" fillId="0" borderId="0" xfId="0" applyNumberFormat="1" applyFont="1" applyFill="1" applyBorder="1" applyAlignment="1">
      <alignment horizontal="center" vertical="center"/>
    </xf>
    <xf numFmtId="0" fontId="51" fillId="0" borderId="50" xfId="0" applyNumberFormat="1" applyFont="1" applyFill="1" applyBorder="1" applyAlignment="1">
      <alignment horizontal="center" vertical="center"/>
    </xf>
    <xf numFmtId="0" fontId="50" fillId="0" borderId="19" xfId="0" applyNumberFormat="1" applyFont="1" applyFill="1" applyBorder="1" applyAlignment="1">
      <alignment horizontal="center" vertical="center"/>
    </xf>
    <xf numFmtId="0" fontId="51" fillId="0" borderId="49" xfId="0" applyNumberFormat="1" applyFont="1" applyFill="1" applyBorder="1" applyAlignment="1">
      <alignment horizontal="center" vertical="center" wrapText="1"/>
    </xf>
    <xf numFmtId="0" fontId="51" fillId="0" borderId="0" xfId="0" applyNumberFormat="1" applyFont="1" applyFill="1" applyBorder="1" applyAlignment="1">
      <alignment horizontal="center" vertical="center" wrapText="1"/>
    </xf>
    <xf numFmtId="0" fontId="51" fillId="0" borderId="50" xfId="0" applyNumberFormat="1" applyFont="1" applyFill="1" applyBorder="1" applyAlignment="1">
      <alignment horizontal="center" vertical="center" wrapText="1"/>
    </xf>
    <xf numFmtId="0" fontId="51" fillId="0" borderId="0" xfId="0" applyNumberFormat="1" applyFont="1" applyFill="1" applyBorder="1" applyAlignment="1">
      <alignment horizontal="left" vertical="center"/>
    </xf>
    <xf numFmtId="0" fontId="50" fillId="0" borderId="49" xfId="0" applyNumberFormat="1" applyFont="1" applyFill="1" applyBorder="1" applyAlignment="1">
      <alignment horizontal="center" vertical="top" wrapText="1"/>
    </xf>
    <xf numFmtId="0" fontId="50" fillId="0" borderId="0" xfId="0" applyNumberFormat="1" applyFont="1" applyFill="1" applyBorder="1" applyAlignment="1">
      <alignment horizontal="center" vertical="top" wrapText="1"/>
    </xf>
    <xf numFmtId="0" fontId="50" fillId="0" borderId="43" xfId="0" applyNumberFormat="1" applyFont="1" applyFill="1" applyBorder="1" applyAlignment="1">
      <alignment horizontal="center" vertical="center"/>
    </xf>
    <xf numFmtId="0" fontId="51" fillId="0" borderId="13" xfId="0" applyNumberFormat="1" applyFont="1" applyFill="1" applyBorder="1" applyAlignment="1">
      <alignment horizontal="center" vertical="top"/>
    </xf>
    <xf numFmtId="0" fontId="50" fillId="0" borderId="13" xfId="0" applyNumberFormat="1" applyFont="1" applyFill="1" applyBorder="1" applyAlignment="1">
      <alignment horizontal="center" vertical="top"/>
    </xf>
    <xf numFmtId="0" fontId="51" fillId="0" borderId="50" xfId="0" applyNumberFormat="1" applyFont="1" applyFill="1" applyBorder="1" applyAlignment="1">
      <alignment horizontal="justify" vertical="top"/>
    </xf>
    <xf numFmtId="0" fontId="50" fillId="0" borderId="45" xfId="0" applyNumberFormat="1" applyFont="1" applyFill="1" applyBorder="1" applyAlignment="1">
      <alignment horizontal="center" vertical="center"/>
    </xf>
    <xf numFmtId="0" fontId="50" fillId="0" borderId="44" xfId="0" applyNumberFormat="1" applyFont="1" applyFill="1" applyBorder="1" applyAlignment="1">
      <alignment horizontal="center" vertical="center"/>
    </xf>
    <xf numFmtId="0" fontId="51" fillId="0" borderId="50" xfId="0" applyNumberFormat="1" applyFont="1" applyFill="1" applyBorder="1" applyAlignment="1">
      <alignment horizontal="left" vertical="center"/>
    </xf>
    <xf numFmtId="0" fontId="52" fillId="0" borderId="0" xfId="0" applyNumberFormat="1" applyFont="1" applyFill="1" applyBorder="1" applyAlignment="1">
      <alignment horizontal="justify" vertical="top"/>
    </xf>
    <xf numFmtId="0" fontId="50" fillId="0" borderId="0" xfId="0" applyNumberFormat="1" applyFont="1" applyFill="1" applyBorder="1" applyAlignment="1">
      <alignment horizontal="justify" vertical="top"/>
    </xf>
    <xf numFmtId="0" fontId="51" fillId="0" borderId="0" xfId="0" applyNumberFormat="1" applyFont="1" applyFill="1" applyAlignment="1">
      <alignment horizontal="left" vertical="top" wrapText="1"/>
    </xf>
    <xf numFmtId="0" fontId="45" fillId="0" borderId="0" xfId="41" applyNumberFormat="1" applyFont="1" applyFill="1" applyBorder="1" applyAlignment="1" applyProtection="1">
      <alignment horizontal="center" vertical="center"/>
    </xf>
    <xf numFmtId="0" fontId="44" fillId="0" borderId="0" xfId="41" applyNumberFormat="1" applyFont="1" applyFill="1" applyAlignment="1" applyProtection="1">
      <alignment vertical="center"/>
    </xf>
    <xf numFmtId="0" fontId="43" fillId="0" borderId="0" xfId="46" applyNumberFormat="1" applyFont="1" applyFill="1" applyAlignment="1" applyProtection="1">
      <alignment vertical="center"/>
    </xf>
    <xf numFmtId="0" fontId="45" fillId="0" borderId="0" xfId="41" applyNumberFormat="1" applyFont="1" applyFill="1" applyAlignment="1" applyProtection="1">
      <alignment horizontal="center" vertical="center"/>
    </xf>
    <xf numFmtId="0" fontId="43" fillId="0" borderId="0" xfId="46" applyNumberFormat="1" applyFont="1" applyFill="1" applyBorder="1" applyAlignment="1" applyProtection="1">
      <alignment vertical="center"/>
    </xf>
    <xf numFmtId="0" fontId="44" fillId="0" borderId="43" xfId="41" applyNumberFormat="1" applyFont="1" applyFill="1" applyBorder="1" applyAlignment="1" applyProtection="1">
      <alignment horizontal="center" vertical="center" wrapText="1"/>
    </xf>
    <xf numFmtId="0" fontId="44" fillId="0" borderId="45" xfId="41" applyNumberFormat="1" applyFont="1" applyFill="1" applyBorder="1" applyAlignment="1" applyProtection="1">
      <alignment horizontal="center" vertical="center" wrapText="1"/>
    </xf>
    <xf numFmtId="0" fontId="44" fillId="0" borderId="43" xfId="41" applyNumberFormat="1" applyFont="1" applyFill="1" applyBorder="1" applyAlignment="1" applyProtection="1">
      <alignment horizontal="center" vertical="center"/>
    </xf>
    <xf numFmtId="0" fontId="44" fillId="0" borderId="44" xfId="41" applyNumberFormat="1" applyFont="1" applyFill="1" applyBorder="1" applyAlignment="1" applyProtection="1">
      <alignment horizontal="center" vertical="center"/>
    </xf>
    <xf numFmtId="0" fontId="44" fillId="0" borderId="0" xfId="41" applyNumberFormat="1" applyFont="1" applyFill="1" applyAlignment="1" applyProtection="1">
      <alignment horizontal="justify" vertical="top" wrapText="1"/>
    </xf>
    <xf numFmtId="0" fontId="44" fillId="0" borderId="0" xfId="41" applyNumberFormat="1" applyFont="1" applyFill="1" applyBorder="1" applyAlignment="1" applyProtection="1">
      <alignment horizontal="justify" vertical="top" wrapText="1"/>
    </xf>
    <xf numFmtId="0" fontId="45" fillId="0" borderId="43" xfId="41" applyNumberFormat="1" applyFont="1" applyFill="1" applyBorder="1" applyAlignment="1" applyProtection="1">
      <alignment horizontal="center" vertical="center"/>
    </xf>
    <xf numFmtId="0" fontId="45" fillId="0" borderId="45" xfId="41" applyNumberFormat="1" applyFont="1" applyFill="1" applyBorder="1" applyAlignment="1" applyProtection="1">
      <alignment horizontal="center" vertical="center"/>
    </xf>
    <xf numFmtId="0" fontId="45" fillId="0" borderId="44" xfId="41" applyNumberFormat="1" applyFont="1" applyFill="1" applyBorder="1" applyAlignment="1" applyProtection="1">
      <alignment horizontal="center" vertical="center"/>
    </xf>
    <xf numFmtId="0" fontId="44" fillId="0" borderId="45" xfId="41" applyNumberFormat="1" applyFont="1" applyFill="1" applyBorder="1" applyAlignment="1" applyProtection="1">
      <alignment horizontal="center" vertical="center"/>
    </xf>
    <xf numFmtId="0" fontId="44" fillId="0" borderId="0" xfId="41" applyNumberFormat="1" applyFont="1" applyFill="1" applyBorder="1" applyAlignment="1" applyProtection="1">
      <alignment horizontal="left" vertical="center"/>
    </xf>
    <xf numFmtId="0" fontId="44" fillId="0" borderId="44" xfId="41" applyNumberFormat="1" applyFont="1" applyFill="1" applyBorder="1" applyAlignment="1" applyProtection="1">
      <alignment horizontal="center" vertical="center" wrapText="1"/>
    </xf>
    <xf numFmtId="0" fontId="45" fillId="0" borderId="43" xfId="41" applyNumberFormat="1" applyFont="1" applyFill="1" applyBorder="1" applyAlignment="1" applyProtection="1">
      <alignment horizontal="right" vertical="center"/>
    </xf>
    <xf numFmtId="0" fontId="45" fillId="0" borderId="45" xfId="41" applyNumberFormat="1" applyFont="1" applyFill="1" applyBorder="1" applyAlignment="1" applyProtection="1">
      <alignment horizontal="right" vertical="center"/>
    </xf>
    <xf numFmtId="0" fontId="45" fillId="0" borderId="44" xfId="41" applyNumberFormat="1" applyFont="1" applyFill="1" applyBorder="1" applyAlignment="1" applyProtection="1">
      <alignment horizontal="right" vertical="center"/>
    </xf>
    <xf numFmtId="0" fontId="44" fillId="0" borderId="13" xfId="41" applyNumberFormat="1" applyFont="1" applyFill="1" applyBorder="1" applyAlignment="1" applyProtection="1">
      <alignment horizontal="center" vertical="center" wrapText="1"/>
    </xf>
    <xf numFmtId="0" fontId="43" fillId="0" borderId="52" xfId="46" applyNumberFormat="1" applyFont="1" applyFill="1" applyBorder="1" applyAlignment="1" applyProtection="1">
      <alignment horizontal="left" vertical="center"/>
    </xf>
    <xf numFmtId="0" fontId="43" fillId="0" borderId="57" xfId="46" applyNumberFormat="1" applyFont="1" applyFill="1" applyBorder="1" applyAlignment="1" applyProtection="1">
      <alignment horizontal="left" vertical="center"/>
    </xf>
    <xf numFmtId="0" fontId="44" fillId="0" borderId="49" xfId="41" applyNumberFormat="1" applyFont="1" applyFill="1" applyBorder="1" applyAlignment="1" applyProtection="1">
      <alignment horizontal="center" vertical="center" wrapText="1"/>
    </xf>
    <xf numFmtId="0" fontId="44" fillId="0" borderId="0" xfId="41" applyNumberFormat="1" applyFont="1" applyFill="1" applyBorder="1" applyAlignment="1" applyProtection="1">
      <alignment horizontal="center" vertical="center" wrapText="1"/>
    </xf>
    <xf numFmtId="0" fontId="46" fillId="0" borderId="49" xfId="46" applyNumberFormat="1" applyFont="1" applyFill="1" applyBorder="1" applyAlignment="1" applyProtection="1">
      <alignment horizontal="right" vertical="center" wrapText="1"/>
    </xf>
    <xf numFmtId="0" fontId="46" fillId="0" borderId="0" xfId="46" applyNumberFormat="1" applyFont="1" applyFill="1" applyBorder="1" applyAlignment="1" applyProtection="1">
      <alignment horizontal="right" vertical="center" wrapText="1"/>
    </xf>
    <xf numFmtId="0" fontId="43" fillId="0" borderId="0" xfId="46" applyNumberFormat="1" applyFont="1" applyFill="1" applyBorder="1" applyAlignment="1" applyProtection="1">
      <alignment horizontal="left" vertical="top" wrapText="1"/>
    </xf>
    <xf numFmtId="0" fontId="43" fillId="0" borderId="50" xfId="46" applyNumberFormat="1" applyFont="1" applyFill="1" applyBorder="1" applyAlignment="1" applyProtection="1">
      <alignment horizontal="left" vertical="top" wrapText="1"/>
    </xf>
    <xf numFmtId="0" fontId="44" fillId="0" borderId="49" xfId="57" applyNumberFormat="1" applyFont="1" applyFill="1" applyBorder="1" applyAlignment="1" applyProtection="1">
      <alignment horizontal="center" vertical="center"/>
      <protection hidden="1"/>
    </xf>
    <xf numFmtId="0" fontId="44" fillId="0" borderId="0" xfId="57" applyNumberFormat="1" applyFont="1" applyFill="1" applyBorder="1" applyAlignment="1" applyProtection="1">
      <alignment horizontal="center" vertical="center"/>
      <protection hidden="1"/>
    </xf>
    <xf numFmtId="0" fontId="44" fillId="0" borderId="50" xfId="57" applyNumberFormat="1" applyFont="1" applyFill="1" applyBorder="1" applyAlignment="1" applyProtection="1">
      <alignment horizontal="center" vertical="center"/>
      <protection hidden="1"/>
    </xf>
    <xf numFmtId="0" fontId="45" fillId="0" borderId="49" xfId="41" applyNumberFormat="1" applyFont="1" applyFill="1" applyBorder="1" applyAlignment="1" applyProtection="1">
      <alignment horizontal="right" vertical="center"/>
    </xf>
    <xf numFmtId="0" fontId="45" fillId="0" borderId="0" xfId="41" applyNumberFormat="1" applyFont="1" applyFill="1" applyBorder="1" applyAlignment="1" applyProtection="1">
      <alignment horizontal="right" vertical="center"/>
    </xf>
    <xf numFmtId="0" fontId="44" fillId="0" borderId="0" xfId="41" applyNumberFormat="1" applyFont="1" applyFill="1" applyBorder="1" applyAlignment="1" applyProtection="1">
      <alignment horizontal="left" vertical="top" wrapText="1"/>
    </xf>
    <xf numFmtId="0" fontId="43" fillId="0" borderId="0" xfId="46" applyNumberFormat="1" applyFont="1" applyFill="1" applyBorder="1" applyAlignment="1" applyProtection="1">
      <alignment horizontal="justify" vertical="top" wrapText="1"/>
    </xf>
    <xf numFmtId="0" fontId="43" fillId="0" borderId="50" xfId="46" applyNumberFormat="1" applyFont="1" applyFill="1" applyBorder="1" applyAlignment="1" applyProtection="1">
      <alignment horizontal="justify" vertical="top" wrapText="1"/>
    </xf>
    <xf numFmtId="0" fontId="43" fillId="0" borderId="0" xfId="46" applyNumberFormat="1" applyFont="1" applyFill="1" applyBorder="1" applyAlignment="1" applyProtection="1">
      <alignment horizontal="left" vertical="center"/>
    </xf>
    <xf numFmtId="0" fontId="43" fillId="0" borderId="50" xfId="46" applyNumberFormat="1" applyFont="1" applyFill="1" applyBorder="1" applyAlignment="1" applyProtection="1">
      <alignment horizontal="left" vertical="center"/>
    </xf>
    <xf numFmtId="0" fontId="51" fillId="0" borderId="43" xfId="57" applyNumberFormat="1" applyFont="1" applyFill="1" applyBorder="1" applyAlignment="1" applyProtection="1">
      <alignment vertical="center"/>
    </xf>
    <xf numFmtId="0" fontId="51" fillId="0" borderId="44" xfId="57" applyNumberFormat="1" applyFont="1" applyFill="1" applyBorder="1" applyAlignment="1" applyProtection="1">
      <alignment vertical="center"/>
    </xf>
    <xf numFmtId="0" fontId="51" fillId="0" borderId="13" xfId="41" applyNumberFormat="1" applyFont="1" applyFill="1" applyBorder="1" applyAlignment="1" applyProtection="1">
      <alignment horizontal="center" vertical="center" wrapText="1"/>
    </xf>
    <xf numFmtId="0" fontId="59" fillId="0" borderId="13" xfId="46" applyNumberFormat="1" applyFont="1" applyFill="1" applyBorder="1" applyAlignment="1" applyProtection="1">
      <alignment horizontal="center" vertical="center"/>
    </xf>
    <xf numFmtId="0" fontId="50" fillId="0" borderId="49" xfId="41" applyNumberFormat="1" applyFont="1" applyFill="1" applyBorder="1" applyAlignment="1" applyProtection="1">
      <alignment horizontal="right" vertical="top"/>
    </xf>
    <xf numFmtId="0" fontId="50" fillId="0" borderId="0" xfId="41" applyNumberFormat="1" applyFont="1" applyFill="1" applyBorder="1" applyAlignment="1" applyProtection="1">
      <alignment horizontal="right" vertical="top"/>
    </xf>
    <xf numFmtId="0" fontId="51" fillId="0" borderId="0" xfId="0" applyNumberFormat="1" applyFont="1" applyFill="1" applyBorder="1" applyAlignment="1" applyProtection="1">
      <alignment horizontal="center" vertical="top" wrapText="1"/>
    </xf>
    <xf numFmtId="0" fontId="59" fillId="0" borderId="0" xfId="46" applyNumberFormat="1" applyFont="1" applyFill="1" applyBorder="1" applyAlignment="1" applyProtection="1">
      <alignment horizontal="left" vertical="center"/>
    </xf>
    <xf numFmtId="0" fontId="59" fillId="0" borderId="50" xfId="46" applyNumberFormat="1" applyFont="1" applyFill="1" applyBorder="1" applyAlignment="1" applyProtection="1">
      <alignment horizontal="left" vertical="center"/>
    </xf>
    <xf numFmtId="0" fontId="51" fillId="0" borderId="0" xfId="41" applyNumberFormat="1" applyFont="1" applyFill="1" applyBorder="1" applyAlignment="1" applyProtection="1">
      <alignment horizontal="justify" vertical="top" wrapText="1"/>
    </xf>
    <xf numFmtId="0" fontId="51" fillId="0" borderId="50" xfId="41" applyNumberFormat="1" applyFont="1" applyFill="1" applyBorder="1" applyAlignment="1" applyProtection="1">
      <alignment horizontal="justify" vertical="top" wrapText="1"/>
    </xf>
    <xf numFmtId="0" fontId="59" fillId="0" borderId="0" xfId="46" applyNumberFormat="1" applyFont="1" applyFill="1" applyBorder="1" applyAlignment="1" applyProtection="1">
      <alignment horizontal="justify" vertical="top"/>
    </xf>
    <xf numFmtId="0" fontId="59" fillId="0" borderId="50" xfId="46" applyNumberFormat="1" applyFont="1" applyFill="1" applyBorder="1" applyAlignment="1" applyProtection="1">
      <alignment horizontal="justify" vertical="top"/>
    </xf>
    <xf numFmtId="0" fontId="51" fillId="0" borderId="49" xfId="57" applyNumberFormat="1" applyFont="1" applyFill="1" applyBorder="1" applyAlignment="1" applyProtection="1">
      <alignment horizontal="center" vertical="center"/>
    </xf>
    <xf numFmtId="0" fontId="51" fillId="0" borderId="0" xfId="57" applyNumberFormat="1" applyFont="1" applyFill="1" applyBorder="1" applyAlignment="1" applyProtection="1">
      <alignment horizontal="center" vertical="center"/>
    </xf>
    <xf numFmtId="0" fontId="51" fillId="0" borderId="50" xfId="57" applyNumberFormat="1" applyFont="1" applyFill="1" applyBorder="1" applyAlignment="1" applyProtection="1">
      <alignment horizontal="center" vertical="center"/>
    </xf>
    <xf numFmtId="0" fontId="50" fillId="0" borderId="0" xfId="41" applyNumberFormat="1" applyFont="1" applyFill="1" applyBorder="1" applyAlignment="1" applyProtection="1">
      <alignment horizontal="right" vertical="center"/>
    </xf>
    <xf numFmtId="0" fontId="50" fillId="0" borderId="43" xfId="57" applyNumberFormat="1" applyFont="1" applyFill="1" applyBorder="1" applyAlignment="1" applyProtection="1">
      <alignment horizontal="center" vertical="center"/>
    </xf>
    <xf numFmtId="0" fontId="50" fillId="0" borderId="45" xfId="57" applyNumberFormat="1" applyFont="1" applyFill="1" applyBorder="1" applyAlignment="1" applyProtection="1">
      <alignment horizontal="center" vertical="center"/>
    </xf>
    <xf numFmtId="0" fontId="50" fillId="0" borderId="44" xfId="57" applyNumberFormat="1" applyFont="1" applyFill="1" applyBorder="1" applyAlignment="1" applyProtection="1">
      <alignment horizontal="center" vertical="center"/>
    </xf>
    <xf numFmtId="0" fontId="51" fillId="0" borderId="49" xfId="41" applyNumberFormat="1" applyFont="1" applyFill="1" applyBorder="1" applyAlignment="1" applyProtection="1">
      <alignment horizontal="center" vertical="center" wrapText="1"/>
    </xf>
    <xf numFmtId="0" fontId="51" fillId="0" borderId="0" xfId="41" applyNumberFormat="1" applyFont="1" applyFill="1" applyBorder="1" applyAlignment="1" applyProtection="1">
      <alignment horizontal="center" vertical="center" wrapText="1"/>
    </xf>
    <xf numFmtId="0" fontId="51" fillId="0" borderId="50" xfId="41" applyNumberFormat="1" applyFont="1" applyFill="1" applyBorder="1" applyAlignment="1" applyProtection="1">
      <alignment horizontal="center" vertical="center" wrapText="1"/>
    </xf>
    <xf numFmtId="0" fontId="50" fillId="0" borderId="49" xfId="0" applyNumberFormat="1" applyFont="1" applyFill="1" applyBorder="1" applyAlignment="1" applyProtection="1">
      <alignment horizontal="right" vertical="top" wrapText="1"/>
    </xf>
    <xf numFmtId="0" fontId="50" fillId="0" borderId="0" xfId="0" applyNumberFormat="1" applyFont="1" applyFill="1" applyBorder="1" applyAlignment="1" applyProtection="1">
      <alignment horizontal="right" vertical="top" wrapText="1"/>
    </xf>
    <xf numFmtId="0" fontId="60" fillId="0" borderId="49" xfId="46" applyNumberFormat="1" applyFont="1" applyFill="1" applyBorder="1" applyAlignment="1" applyProtection="1">
      <alignment horizontal="right" vertical="top" wrapText="1"/>
    </xf>
    <xf numFmtId="0" fontId="60" fillId="0" borderId="0" xfId="46" applyNumberFormat="1" applyFont="1" applyFill="1" applyBorder="1" applyAlignment="1" applyProtection="1">
      <alignment horizontal="right" vertical="top" wrapText="1"/>
    </xf>
    <xf numFmtId="0" fontId="59" fillId="0" borderId="0" xfId="46" applyNumberFormat="1" applyFont="1" applyFill="1" applyBorder="1" applyAlignment="1" applyProtection="1">
      <alignment horizontal="justify" vertical="top" wrapText="1"/>
    </xf>
    <xf numFmtId="0" fontId="59" fillId="0" borderId="50" xfId="46" applyNumberFormat="1" applyFont="1" applyFill="1" applyBorder="1" applyAlignment="1" applyProtection="1">
      <alignment horizontal="justify" vertical="top" wrapText="1"/>
    </xf>
    <xf numFmtId="0" fontId="50" fillId="0" borderId="49" xfId="41" applyNumberFormat="1" applyFont="1" applyFill="1" applyBorder="1" applyAlignment="1" applyProtection="1">
      <alignment horizontal="right" vertical="top" wrapText="1"/>
    </xf>
    <xf numFmtId="0" fontId="50" fillId="0" borderId="0" xfId="41" applyNumberFormat="1" applyFont="1" applyFill="1" applyBorder="1" applyAlignment="1" applyProtection="1">
      <alignment horizontal="right" vertical="top" wrapText="1"/>
    </xf>
    <xf numFmtId="0" fontId="50" fillId="0" borderId="0" xfId="57" applyNumberFormat="1" applyFont="1" applyFill="1" applyAlignment="1" applyProtection="1">
      <alignment horizontal="center" vertical="center"/>
    </xf>
    <xf numFmtId="0" fontId="51" fillId="0" borderId="0" xfId="57" applyNumberFormat="1" applyFont="1" applyFill="1" applyAlignment="1" applyProtection="1">
      <alignment horizontal="center" vertical="center" wrapText="1"/>
    </xf>
    <xf numFmtId="0" fontId="50" fillId="0" borderId="0" xfId="57" applyNumberFormat="1" applyFont="1" applyFill="1" applyAlignment="1" applyProtection="1">
      <alignment horizontal="left" vertical="center"/>
    </xf>
    <xf numFmtId="0" fontId="51" fillId="0" borderId="0" xfId="47" applyNumberFormat="1" applyFont="1" applyFill="1" applyAlignment="1" applyProtection="1">
      <alignment horizontal="left" vertical="center"/>
    </xf>
    <xf numFmtId="0" fontId="51" fillId="0" borderId="0" xfId="47" applyNumberFormat="1" applyFont="1" applyFill="1" applyAlignment="1" applyProtection="1">
      <alignment horizontal="right" vertical="center"/>
    </xf>
    <xf numFmtId="0" fontId="50" fillId="0" borderId="0" xfId="47" applyNumberFormat="1" applyFont="1" applyFill="1" applyAlignment="1" applyProtection="1">
      <alignment horizontal="left" vertical="center"/>
    </xf>
    <xf numFmtId="49" fontId="50" fillId="0" borderId="0" xfId="47" applyNumberFormat="1" applyFont="1" applyFill="1" applyAlignment="1" applyProtection="1">
      <alignment horizontal="left" vertical="center"/>
    </xf>
    <xf numFmtId="164" fontId="51" fillId="0" borderId="0" xfId="0" applyFont="1" applyAlignment="1">
      <alignment horizontal="right" vertical="center"/>
    </xf>
    <xf numFmtId="0" fontId="50" fillId="0" borderId="43" xfId="57" applyNumberFormat="1" applyFont="1" applyFill="1" applyBorder="1" applyAlignment="1" applyProtection="1">
      <alignment horizontal="center" vertical="center" wrapText="1"/>
    </xf>
    <xf numFmtId="0" fontId="50" fillId="0" borderId="44" xfId="57" applyNumberFormat="1" applyFont="1" applyFill="1" applyBorder="1" applyAlignment="1" applyProtection="1">
      <alignment horizontal="center" vertical="center" wrapText="1"/>
    </xf>
    <xf numFmtId="0" fontId="51" fillId="0" borderId="43" xfId="57" applyNumberFormat="1" applyFont="1" applyFill="1" applyBorder="1" applyAlignment="1" applyProtection="1">
      <alignment horizontal="center" vertical="center"/>
    </xf>
    <xf numFmtId="0" fontId="51" fillId="0" borderId="44" xfId="57" applyNumberFormat="1" applyFont="1" applyFill="1" applyBorder="1" applyAlignment="1" applyProtection="1">
      <alignment horizontal="center" vertical="center"/>
    </xf>
    <xf numFmtId="0" fontId="52" fillId="0" borderId="0" xfId="47" applyNumberFormat="1" applyFont="1" applyFill="1" applyAlignment="1" applyProtection="1">
      <alignment horizontal="justify" vertical="top" wrapText="1"/>
    </xf>
    <xf numFmtId="0" fontId="50" fillId="0" borderId="0" xfId="57" applyNumberFormat="1" applyFont="1" applyFill="1" applyAlignment="1" applyProtection="1">
      <alignment vertical="top" wrapText="1"/>
    </xf>
    <xf numFmtId="164" fontId="31" fillId="0" borderId="0" xfId="0" applyNumberFormat="1" applyFont="1" applyAlignment="1">
      <alignment horizontal="left" vertical="center"/>
    </xf>
    <xf numFmtId="164" fontId="25" fillId="0" borderId="0" xfId="0" applyNumberFormat="1" applyFont="1" applyAlignment="1">
      <alignment horizontal="left" vertical="center"/>
    </xf>
    <xf numFmtId="164" fontId="25" fillId="0" borderId="55" xfId="0" applyNumberFormat="1" applyFont="1" applyBorder="1" applyAlignment="1">
      <alignment horizontal="left" vertical="center"/>
    </xf>
    <xf numFmtId="164" fontId="25" fillId="0" borderId="14" xfId="0" applyNumberFormat="1" applyFont="1" applyBorder="1" applyAlignment="1">
      <alignment horizontal="left"/>
    </xf>
    <xf numFmtId="164" fontId="25" fillId="0" borderId="63" xfId="0" applyNumberFormat="1" applyFont="1" applyBorder="1" applyAlignment="1">
      <alignment horizontal="center" vertical="center"/>
    </xf>
    <xf numFmtId="164" fontId="25" fillId="0" borderId="14" xfId="0" applyNumberFormat="1" applyFont="1" applyBorder="1" applyAlignment="1">
      <alignment horizontal="center" vertical="center"/>
    </xf>
    <xf numFmtId="164" fontId="26" fillId="0" borderId="0" xfId="0" applyNumberFormat="1" applyFont="1" applyAlignment="1">
      <alignment horizontal="center" vertical="center"/>
    </xf>
    <xf numFmtId="164" fontId="25" fillId="0" borderId="14" xfId="0" applyNumberFormat="1" applyFont="1" applyBorder="1" applyAlignment="1">
      <alignment horizontal="left" vertical="center"/>
    </xf>
    <xf numFmtId="164" fontId="31" fillId="0" borderId="13" xfId="0" applyNumberFormat="1" applyFont="1" applyBorder="1" applyAlignment="1">
      <alignment horizontal="left" vertical="center"/>
    </xf>
    <xf numFmtId="164" fontId="25" fillId="0" borderId="13" xfId="0" applyNumberFormat="1" applyFont="1" applyBorder="1" applyAlignment="1">
      <alignment horizontal="left" vertical="center"/>
    </xf>
    <xf numFmtId="164" fontId="25" fillId="0" borderId="63" xfId="0" applyNumberFormat="1" applyFont="1" applyBorder="1" applyAlignment="1">
      <alignment horizontal="left" vertical="center"/>
    </xf>
    <xf numFmtId="164" fontId="25" fillId="0" borderId="0" xfId="0" applyNumberFormat="1" applyFont="1" applyBorder="1" applyAlignment="1">
      <alignment horizontal="left" vertical="center"/>
    </xf>
    <xf numFmtId="164" fontId="30" fillId="0" borderId="0" xfId="0" applyFont="1" applyAlignment="1">
      <alignment horizontal="right"/>
    </xf>
    <xf numFmtId="164" fontId="30" fillId="0" borderId="0" xfId="0" applyFont="1" applyAlignment="1">
      <alignment horizontal="justify" vertical="top" wrapText="1"/>
    </xf>
    <xf numFmtId="164" fontId="30" fillId="0" borderId="0" xfId="0" applyFont="1" applyAlignment="1">
      <alignment horizontal="center"/>
    </xf>
    <xf numFmtId="164" fontId="30" fillId="0" borderId="0" xfId="0" applyFont="1" applyAlignment="1">
      <alignment horizontal="justify" vertical="top"/>
    </xf>
    <xf numFmtId="164" fontId="29" fillId="0" borderId="0" xfId="0" applyFont="1" applyAlignment="1">
      <alignment horizontal="center"/>
    </xf>
    <xf numFmtId="164" fontId="30" fillId="0" borderId="0" xfId="0" applyFont="1" applyAlignment="1">
      <alignment horizontal="left"/>
    </xf>
    <xf numFmtId="164" fontId="44" fillId="0" borderId="19" xfId="0" applyNumberFormat="1" applyFont="1" applyBorder="1" applyAlignment="1">
      <alignment horizontal="left" vertical="center" wrapText="1"/>
    </xf>
    <xf numFmtId="164" fontId="44" fillId="0" borderId="19" xfId="0" applyNumberFormat="1" applyFont="1" applyBorder="1" applyAlignment="1">
      <alignment horizontal="center" vertical="center"/>
    </xf>
    <xf numFmtId="164" fontId="45" fillId="0" borderId="46" xfId="0" applyNumberFormat="1" applyFont="1" applyBorder="1" applyAlignment="1">
      <alignment horizontal="left" vertical="top"/>
    </xf>
    <xf numFmtId="164" fontId="45" fillId="0" borderId="56" xfId="0" applyNumberFormat="1" applyFont="1" applyBorder="1" applyAlignment="1">
      <alignment horizontal="left" vertical="top"/>
    </xf>
    <xf numFmtId="164" fontId="45" fillId="0" borderId="48" xfId="0" applyNumberFormat="1" applyFont="1" applyBorder="1" applyAlignment="1">
      <alignment horizontal="left" vertical="top"/>
    </xf>
    <xf numFmtId="164" fontId="44" fillId="0" borderId="43" xfId="0" applyNumberFormat="1" applyFont="1" applyBorder="1" applyAlignment="1">
      <alignment horizontal="left" vertical="top" wrapText="1"/>
    </xf>
    <xf numFmtId="164" fontId="44" fillId="0" borderId="45" xfId="0" applyNumberFormat="1" applyFont="1" applyBorder="1" applyAlignment="1">
      <alignment horizontal="left" vertical="top"/>
    </xf>
    <xf numFmtId="164" fontId="44" fillId="0" borderId="44" xfId="0" applyNumberFormat="1" applyFont="1" applyBorder="1" applyAlignment="1">
      <alignment horizontal="left" vertical="top"/>
    </xf>
    <xf numFmtId="164" fontId="44" fillId="0" borderId="43" xfId="0" applyNumberFormat="1" applyFont="1" applyBorder="1" applyAlignment="1">
      <alignment horizontal="left" vertical="center" wrapText="1"/>
    </xf>
    <xf numFmtId="164" fontId="44" fillId="0" borderId="45" xfId="0" applyNumberFormat="1" applyFont="1" applyBorder="1" applyAlignment="1">
      <alignment horizontal="left" vertical="center"/>
    </xf>
    <xf numFmtId="164" fontId="44" fillId="0" borderId="44" xfId="0" applyNumberFormat="1" applyFont="1" applyBorder="1" applyAlignment="1">
      <alignment horizontal="left" vertical="center"/>
    </xf>
    <xf numFmtId="164" fontId="44" fillId="0" borderId="19" xfId="0" applyNumberFormat="1" applyFont="1" applyBorder="1" applyAlignment="1">
      <alignment horizontal="justify" vertical="top"/>
    </xf>
    <xf numFmtId="164" fontId="45" fillId="0" borderId="0" xfId="0" applyNumberFormat="1" applyFont="1" applyBorder="1" applyAlignment="1">
      <alignment horizontal="center" vertical="center" wrapText="1"/>
    </xf>
    <xf numFmtId="164" fontId="45" fillId="0" borderId="46" xfId="0" applyNumberFormat="1" applyFont="1" applyBorder="1" applyAlignment="1">
      <alignment vertical="center" wrapText="1"/>
    </xf>
    <xf numFmtId="164" fontId="45" fillId="0" borderId="48" xfId="0" applyNumberFormat="1" applyFont="1" applyBorder="1" applyAlignment="1">
      <alignment vertical="center" wrapText="1"/>
    </xf>
    <xf numFmtId="164" fontId="44" fillId="0" borderId="0" xfId="0" applyNumberFormat="1" applyFont="1" applyBorder="1" applyAlignment="1">
      <alignment horizontal="left" vertical="center" wrapText="1" indent="4"/>
    </xf>
    <xf numFmtId="164" fontId="44" fillId="0" borderId="50" xfId="0" applyNumberFormat="1" applyFont="1" applyBorder="1" applyAlignment="1">
      <alignment horizontal="left" vertical="center" wrapText="1" indent="4"/>
    </xf>
    <xf numFmtId="164" fontId="44" fillId="0" borderId="53" xfId="0" applyNumberFormat="1" applyFont="1" applyBorder="1" applyAlignment="1">
      <alignment horizontal="left" vertical="center" wrapText="1" indent="4"/>
    </xf>
    <xf numFmtId="164" fontId="44" fillId="0" borderId="13" xfId="0" applyNumberFormat="1" applyFont="1" applyBorder="1" applyAlignment="1">
      <alignment horizontal="left" vertical="center" wrapText="1" indent="4"/>
    </xf>
    <xf numFmtId="164" fontId="44" fillId="0" borderId="54" xfId="0" applyNumberFormat="1" applyFont="1" applyBorder="1" applyAlignment="1">
      <alignment horizontal="left" vertical="center" wrapText="1" indent="4"/>
    </xf>
    <xf numFmtId="164" fontId="45" fillId="0" borderId="49" xfId="0" applyNumberFormat="1" applyFont="1" applyBorder="1" applyAlignment="1">
      <alignment vertical="center" wrapText="1"/>
    </xf>
    <xf numFmtId="164" fontId="45" fillId="0" borderId="53" xfId="0" applyNumberFormat="1" applyFont="1" applyBorder="1" applyAlignment="1">
      <alignment vertical="center" wrapText="1"/>
    </xf>
    <xf numFmtId="164" fontId="44" fillId="0" borderId="51" xfId="0" applyNumberFormat="1" applyFont="1" applyBorder="1" applyAlignment="1">
      <alignment horizontal="left" vertical="center" wrapText="1" indent="4"/>
    </xf>
    <xf numFmtId="164" fontId="44" fillId="0" borderId="52" xfId="0" applyNumberFormat="1" applyFont="1" applyBorder="1" applyAlignment="1">
      <alignment horizontal="left" vertical="center" wrapText="1" indent="4"/>
    </xf>
    <xf numFmtId="164" fontId="44" fillId="0" borderId="57" xfId="0" applyNumberFormat="1" applyFont="1" applyBorder="1" applyAlignment="1">
      <alignment horizontal="left" vertical="center" wrapText="1" indent="4"/>
    </xf>
    <xf numFmtId="164" fontId="45" fillId="0" borderId="43" xfId="0" applyNumberFormat="1" applyFont="1" applyBorder="1" applyAlignment="1">
      <alignment vertical="center" wrapText="1"/>
    </xf>
    <xf numFmtId="164" fontId="45" fillId="0" borderId="44" xfId="0" applyNumberFormat="1" applyFont="1" applyBorder="1" applyAlignment="1">
      <alignment vertical="center" wrapText="1"/>
    </xf>
    <xf numFmtId="164" fontId="44" fillId="0" borderId="43" xfId="0" applyNumberFormat="1" applyFont="1" applyBorder="1" applyAlignment="1">
      <alignment vertical="center" wrapText="1"/>
    </xf>
    <xf numFmtId="164" fontId="44" fillId="0" borderId="44" xfId="0" applyNumberFormat="1" applyFont="1" applyBorder="1" applyAlignment="1">
      <alignment vertical="center" wrapText="1"/>
    </xf>
    <xf numFmtId="164" fontId="44" fillId="0" borderId="43" xfId="0" applyNumberFormat="1" applyFont="1" applyBorder="1" applyAlignment="1">
      <alignment horizontal="left" vertical="center" wrapText="1" indent="1"/>
    </xf>
    <xf numFmtId="164" fontId="44" fillId="0" borderId="44" xfId="0" applyNumberFormat="1" applyFont="1" applyBorder="1" applyAlignment="1">
      <alignment horizontal="left" vertical="center" wrapText="1" indent="1"/>
    </xf>
    <xf numFmtId="164" fontId="45" fillId="0" borderId="49" xfId="0" applyNumberFormat="1" applyFont="1" applyBorder="1" applyAlignment="1">
      <alignment horizontal="left" vertical="center" wrapText="1"/>
    </xf>
    <xf numFmtId="164" fontId="44" fillId="0" borderId="51" xfId="0" applyNumberFormat="1" applyFont="1" applyBorder="1" applyAlignment="1">
      <alignment vertical="center" wrapText="1"/>
    </xf>
    <xf numFmtId="164" fontId="44" fillId="0" borderId="52" xfId="0" applyNumberFormat="1" applyFont="1" applyBorder="1" applyAlignment="1">
      <alignment vertical="center" wrapText="1"/>
    </xf>
    <xf numFmtId="164" fontId="44" fillId="0" borderId="57" xfId="0" applyNumberFormat="1" applyFont="1" applyBorder="1" applyAlignment="1">
      <alignment vertical="center" wrapText="1"/>
    </xf>
    <xf numFmtId="164" fontId="44" fillId="0" borderId="53" xfId="0" applyNumberFormat="1" applyFont="1" applyBorder="1" applyAlignment="1">
      <alignment vertical="center" wrapText="1"/>
    </xf>
    <xf numFmtId="164" fontId="44" fillId="0" borderId="13" xfId="0" applyNumberFormat="1" applyFont="1" applyBorder="1" applyAlignment="1">
      <alignment vertical="center" wrapText="1"/>
    </xf>
    <xf numFmtId="164" fontId="44" fillId="0" borderId="54" xfId="0" applyNumberFormat="1" applyFont="1" applyBorder="1" applyAlignment="1">
      <alignment vertical="center" wrapText="1"/>
    </xf>
    <xf numFmtId="164" fontId="44" fillId="0" borderId="45" xfId="0" applyNumberFormat="1" applyFont="1" applyBorder="1" applyAlignment="1">
      <alignment vertical="center" wrapText="1"/>
    </xf>
    <xf numFmtId="164" fontId="45" fillId="0" borderId="51" xfId="0" applyNumberFormat="1" applyFont="1" applyBorder="1" applyAlignment="1">
      <alignment vertical="center" wrapText="1"/>
    </xf>
    <xf numFmtId="164" fontId="45" fillId="0" borderId="57" xfId="0" applyNumberFormat="1" applyFont="1" applyBorder="1" applyAlignment="1">
      <alignment vertical="center" wrapText="1"/>
    </xf>
    <xf numFmtId="164" fontId="44" fillId="0" borderId="0" xfId="0" applyNumberFormat="1" applyFont="1" applyBorder="1" applyAlignment="1">
      <alignment vertical="center" wrapText="1"/>
    </xf>
    <xf numFmtId="164" fontId="44" fillId="0" borderId="50" xfId="0" applyNumberFormat="1" applyFont="1" applyBorder="1" applyAlignment="1">
      <alignment vertical="center" wrapText="1"/>
    </xf>
    <xf numFmtId="164" fontId="44" fillId="0" borderId="51" xfId="0" applyNumberFormat="1" applyFont="1" applyBorder="1" applyAlignment="1">
      <alignment horizontal="left" vertical="top" wrapText="1"/>
    </xf>
    <xf numFmtId="164" fontId="44" fillId="0" borderId="57" xfId="0" applyNumberFormat="1" applyFont="1" applyBorder="1" applyAlignment="1">
      <alignment horizontal="left" vertical="top" wrapText="1"/>
    </xf>
    <xf numFmtId="164" fontId="44" fillId="0" borderId="49" xfId="0" applyNumberFormat="1" applyFont="1" applyBorder="1" applyAlignment="1">
      <alignment horizontal="left" vertical="top" wrapText="1"/>
    </xf>
    <xf numFmtId="164" fontId="44" fillId="0" borderId="50" xfId="0" applyNumberFormat="1" applyFont="1" applyBorder="1" applyAlignment="1">
      <alignment horizontal="left" vertical="top" wrapText="1"/>
    </xf>
    <xf numFmtId="164" fontId="44" fillId="0" borderId="53" xfId="0" applyNumberFormat="1" applyFont="1" applyBorder="1" applyAlignment="1">
      <alignment horizontal="left" vertical="top" wrapText="1"/>
    </xf>
    <xf numFmtId="164" fontId="44" fillId="0" borderId="54" xfId="0" applyNumberFormat="1" applyFont="1" applyBorder="1" applyAlignment="1">
      <alignment horizontal="left" vertical="top" wrapText="1"/>
    </xf>
    <xf numFmtId="164" fontId="44" fillId="0" borderId="46" xfId="0" applyNumberFormat="1" applyFont="1" applyBorder="1" applyAlignment="1">
      <alignment horizontal="left" vertical="top" wrapText="1"/>
    </xf>
    <xf numFmtId="164" fontId="44" fillId="0" borderId="56" xfId="0" applyNumberFormat="1" applyFont="1" applyBorder="1" applyAlignment="1">
      <alignment horizontal="left" vertical="top" wrapText="1"/>
    </xf>
    <xf numFmtId="164" fontId="44" fillId="0" borderId="48" xfId="0" applyNumberFormat="1" applyFont="1" applyBorder="1" applyAlignment="1">
      <alignment horizontal="left" vertical="top" wrapText="1"/>
    </xf>
    <xf numFmtId="164" fontId="44" fillId="0" borderId="53" xfId="0" applyNumberFormat="1" applyFont="1" applyBorder="1" applyAlignment="1">
      <alignment horizontal="left" vertical="center" wrapText="1"/>
    </xf>
    <xf numFmtId="164" fontId="44" fillId="0" borderId="13" xfId="0" applyNumberFormat="1" applyFont="1" applyBorder="1" applyAlignment="1">
      <alignment horizontal="left" vertical="center" wrapText="1"/>
    </xf>
    <xf numFmtId="164" fontId="44" fillId="0" borderId="54" xfId="0" applyNumberFormat="1" applyFont="1" applyBorder="1" applyAlignment="1">
      <alignment horizontal="left" vertical="center" wrapText="1"/>
    </xf>
    <xf numFmtId="164" fontId="44" fillId="0" borderId="43" xfId="0" applyNumberFormat="1" applyFont="1" applyBorder="1" applyAlignment="1">
      <alignment horizontal="center" vertical="center" wrapText="1"/>
    </xf>
    <xf numFmtId="164" fontId="44" fillId="0" borderId="45" xfId="0" applyNumberFormat="1" applyFont="1" applyBorder="1" applyAlignment="1">
      <alignment horizontal="center" vertical="center" wrapText="1"/>
    </xf>
    <xf numFmtId="164" fontId="44" fillId="0" borderId="44" xfId="0" applyNumberFormat="1" applyFont="1" applyBorder="1" applyAlignment="1">
      <alignment horizontal="center" vertical="center" wrapText="1"/>
    </xf>
    <xf numFmtId="164" fontId="44" fillId="0" borderId="0" xfId="0" applyNumberFormat="1" applyFont="1" applyBorder="1" applyAlignment="1">
      <alignment horizontal="left" vertical="center" wrapText="1"/>
    </xf>
    <xf numFmtId="164" fontId="44" fillId="0" borderId="50" xfId="0" applyNumberFormat="1" applyFont="1" applyBorder="1" applyAlignment="1">
      <alignment horizontal="left" vertical="center" wrapText="1"/>
    </xf>
    <xf numFmtId="164" fontId="45" fillId="0" borderId="46" xfId="0" applyNumberFormat="1" applyFont="1" applyBorder="1" applyAlignment="1">
      <alignment horizontal="left" vertical="center" wrapText="1"/>
    </xf>
    <xf numFmtId="164" fontId="45" fillId="0" borderId="48" xfId="0" applyNumberFormat="1" applyFont="1" applyBorder="1" applyAlignment="1">
      <alignment horizontal="left" vertical="center" wrapText="1"/>
    </xf>
    <xf numFmtId="164" fontId="44" fillId="0" borderId="49" xfId="0" applyNumberFormat="1" applyFont="1" applyBorder="1" applyAlignment="1">
      <alignment horizontal="left" vertical="center" wrapText="1" indent="4"/>
    </xf>
    <xf numFmtId="164" fontId="56" fillId="0" borderId="43" xfId="0" applyNumberFormat="1" applyFont="1" applyBorder="1" applyAlignment="1">
      <alignment vertical="center" wrapText="1"/>
    </xf>
    <xf numFmtId="164" fontId="56" fillId="0" borderId="45" xfId="0" applyNumberFormat="1" applyFont="1" applyBorder="1" applyAlignment="1">
      <alignment vertical="center" wrapText="1"/>
    </xf>
    <xf numFmtId="164" fontId="56" fillId="0" borderId="44" xfId="0" applyNumberFormat="1" applyFont="1" applyBorder="1" applyAlignment="1">
      <alignment vertical="center" wrapText="1"/>
    </xf>
    <xf numFmtId="164" fontId="44" fillId="0" borderId="49" xfId="0" applyNumberFormat="1" applyFont="1" applyBorder="1" applyAlignment="1">
      <alignment vertical="center" wrapText="1"/>
    </xf>
    <xf numFmtId="164" fontId="44" fillId="0" borderId="49" xfId="0" applyNumberFormat="1" applyFont="1" applyBorder="1" applyAlignment="1">
      <alignment horizontal="left" vertical="center" wrapText="1"/>
    </xf>
    <xf numFmtId="164" fontId="44" fillId="0" borderId="49" xfId="0" applyNumberFormat="1" applyFont="1" applyBorder="1" applyAlignment="1">
      <alignment vertical="top" wrapText="1"/>
    </xf>
    <xf numFmtId="164" fontId="44" fillId="0" borderId="0" xfId="0" applyNumberFormat="1" applyFont="1" applyBorder="1" applyAlignment="1">
      <alignment vertical="top" wrapText="1"/>
    </xf>
    <xf numFmtId="164" fontId="44" fillId="0" borderId="50" xfId="0" applyNumberFormat="1" applyFont="1" applyBorder="1" applyAlignment="1">
      <alignment vertical="top" wrapText="1"/>
    </xf>
    <xf numFmtId="164" fontId="44" fillId="0" borderId="19" xfId="0" applyNumberFormat="1" applyFont="1" applyBorder="1" applyAlignment="1">
      <alignment vertical="center" wrapText="1"/>
    </xf>
    <xf numFmtId="164" fontId="45" fillId="0" borderId="19" xfId="0" applyNumberFormat="1" applyFont="1" applyBorder="1" applyAlignment="1">
      <alignment horizontal="left" vertical="center" wrapText="1"/>
    </xf>
    <xf numFmtId="164" fontId="45" fillId="0" borderId="0" xfId="0" applyNumberFormat="1" applyFont="1" applyAlignment="1">
      <alignment horizontal="center" vertical="center"/>
    </xf>
    <xf numFmtId="164" fontId="45" fillId="0" borderId="19" xfId="0" applyNumberFormat="1" applyFont="1" applyBorder="1" applyAlignment="1">
      <alignment vertical="center" wrapText="1"/>
    </xf>
    <xf numFmtId="0" fontId="38" fillId="0" borderId="64" xfId="44" applyNumberFormat="1" applyFont="1" applyBorder="1" applyAlignment="1" applyProtection="1">
      <alignment horizontal="center" vertical="center"/>
      <protection hidden="1"/>
    </xf>
    <xf numFmtId="0" fontId="38" fillId="0" borderId="18" xfId="44" applyNumberFormat="1" applyFont="1" applyBorder="1" applyAlignment="1" applyProtection="1">
      <alignment horizontal="center" vertical="center"/>
      <protection hidden="1"/>
    </xf>
    <xf numFmtId="0" fontId="42" fillId="28" borderId="26" xfId="44" applyNumberFormat="1" applyFont="1" applyFill="1" applyBorder="1" applyAlignment="1" applyProtection="1">
      <alignment horizontal="center" vertical="center" wrapText="1"/>
      <protection hidden="1"/>
    </xf>
    <xf numFmtId="0" fontId="42" fillId="28" borderId="27" xfId="44" applyNumberFormat="1" applyFont="1" applyFill="1" applyBorder="1" applyAlignment="1" applyProtection="1">
      <alignment horizontal="center" vertical="center" wrapText="1"/>
      <protection hidden="1"/>
    </xf>
    <xf numFmtId="0" fontId="42" fillId="28" borderId="21" xfId="44" applyNumberFormat="1" applyFont="1" applyFill="1" applyBorder="1" applyAlignment="1" applyProtection="1">
      <alignment horizontal="center" vertical="center" wrapText="1"/>
      <protection hidden="1"/>
    </xf>
    <xf numFmtId="0" fontId="42" fillId="28" borderId="11" xfId="44" applyNumberFormat="1" applyFont="1" applyFill="1" applyBorder="1" applyAlignment="1" applyProtection="1">
      <alignment horizontal="center" vertical="center" wrapText="1"/>
      <protection hidden="1"/>
    </xf>
    <xf numFmtId="0" fontId="42" fillId="28" borderId="10" xfId="44" applyNumberFormat="1" applyFont="1" applyFill="1" applyBorder="1" applyAlignment="1" applyProtection="1">
      <alignment horizontal="center" vertical="center" wrapText="1"/>
      <protection hidden="1"/>
    </xf>
    <xf numFmtId="0" fontId="42" fillId="28" borderId="23" xfId="44" applyNumberFormat="1" applyFont="1" applyFill="1" applyBorder="1" applyAlignment="1" applyProtection="1">
      <alignment horizontal="center" vertical="center" wrapText="1"/>
      <protection hidden="1"/>
    </xf>
    <xf numFmtId="0" fontId="38" fillId="0" borderId="22" xfId="44" applyNumberFormat="1" applyFont="1" applyBorder="1" applyAlignment="1" applyProtection="1">
      <alignment horizontal="center" vertical="center" wrapText="1"/>
      <protection hidden="1"/>
    </xf>
    <xf numFmtId="0" fontId="38" fillId="0" borderId="20" xfId="44" applyNumberFormat="1" applyFont="1" applyBorder="1" applyAlignment="1" applyProtection="1">
      <alignment horizontal="center" vertical="center" wrapText="1"/>
      <protection hidden="1"/>
    </xf>
    <xf numFmtId="0" fontId="38" fillId="0" borderId="65" xfId="44" applyNumberFormat="1" applyFont="1" applyBorder="1" applyAlignment="1" applyProtection="1">
      <alignment horizontal="center" vertical="center"/>
      <protection hidden="1"/>
    </xf>
    <xf numFmtId="0" fontId="38" fillId="0" borderId="19" xfId="44" applyNumberFormat="1" applyFont="1" applyBorder="1" applyAlignment="1" applyProtection="1">
      <alignment horizontal="center" vertical="center"/>
      <protection hidden="1"/>
    </xf>
    <xf numFmtId="0" fontId="33" fillId="0" borderId="88" xfId="48" applyNumberFormat="1" applyFont="1" applyFill="1" applyBorder="1" applyAlignment="1">
      <alignment horizontal="center"/>
    </xf>
    <xf numFmtId="0" fontId="33" fillId="0" borderId="89" xfId="48" applyNumberFormat="1" applyFont="1" applyFill="1" applyBorder="1" applyAlignment="1">
      <alignment horizontal="center"/>
    </xf>
    <xf numFmtId="0" fontId="33" fillId="0" borderId="90" xfId="48" applyNumberFormat="1" applyFont="1" applyFill="1" applyBorder="1" applyAlignment="1">
      <alignment horizontal="center"/>
    </xf>
    <xf numFmtId="0" fontId="33" fillId="0" borderId="53" xfId="48" applyNumberFormat="1" applyFont="1" applyFill="1" applyBorder="1" applyAlignment="1">
      <alignment horizontal="center"/>
    </xf>
    <xf numFmtId="0" fontId="33" fillId="0" borderId="13" xfId="48" applyNumberFormat="1" applyFont="1" applyFill="1" applyBorder="1" applyAlignment="1">
      <alignment horizontal="center"/>
    </xf>
    <xf numFmtId="0" fontId="33" fillId="0" borderId="54" xfId="48" applyNumberFormat="1" applyFont="1" applyFill="1" applyBorder="1" applyAlignment="1">
      <alignment horizontal="center"/>
    </xf>
    <xf numFmtId="0" fontId="33" fillId="0" borderId="75" xfId="48" applyNumberFormat="1" applyFont="1" applyFill="1" applyBorder="1" applyAlignment="1">
      <alignment horizontal="center"/>
    </xf>
    <xf numFmtId="0" fontId="33" fillId="0" borderId="76" xfId="48" applyNumberFormat="1" applyFont="1" applyFill="1" applyBorder="1" applyAlignment="1">
      <alignment horizontal="center"/>
    </xf>
    <xf numFmtId="0" fontId="33" fillId="0" borderId="72" xfId="48" applyNumberFormat="1" applyFont="1" applyFill="1" applyBorder="1" applyAlignment="1">
      <alignment horizontal="center"/>
    </xf>
    <xf numFmtId="0" fontId="33" fillId="0" borderId="77" xfId="48" applyNumberFormat="1" applyFont="1" applyFill="1" applyBorder="1" applyAlignment="1">
      <alignment horizontal="center"/>
    </xf>
    <xf numFmtId="0" fontId="33" fillId="0" borderId="71" xfId="48" applyNumberFormat="1" applyFont="1" applyFill="1" applyBorder="1" applyAlignment="1">
      <alignment horizontal="left"/>
    </xf>
    <xf numFmtId="0" fontId="33" fillId="0" borderId="79" xfId="48" applyNumberFormat="1" applyFont="1" applyFill="1" applyBorder="1" applyAlignment="1">
      <alignment horizontal="left"/>
    </xf>
    <xf numFmtId="0" fontId="33" fillId="0" borderId="80" xfId="48" applyNumberFormat="1" applyFont="1" applyFill="1" applyBorder="1" applyAlignment="1">
      <alignment horizontal="left"/>
    </xf>
    <xf numFmtId="0" fontId="33" fillId="0" borderId="42" xfId="48" applyNumberFormat="1" applyFont="1" applyFill="1" applyBorder="1" applyAlignment="1">
      <alignment horizontal="left"/>
    </xf>
    <xf numFmtId="0" fontId="33" fillId="0" borderId="41" xfId="48" applyNumberFormat="1" applyFont="1" applyFill="1" applyBorder="1" applyAlignment="1">
      <alignment horizontal="left"/>
    </xf>
    <xf numFmtId="0" fontId="33" fillId="0" borderId="75" xfId="48" applyNumberFormat="1" applyFont="1" applyFill="1" applyBorder="1" applyAlignment="1">
      <alignment horizontal="left"/>
    </xf>
    <xf numFmtId="0" fontId="33" fillId="0" borderId="74" xfId="48" applyNumberFormat="1" applyFont="1" applyFill="1" applyBorder="1" applyAlignment="1">
      <alignment horizontal="left"/>
    </xf>
    <xf numFmtId="0" fontId="33" fillId="0" borderId="73" xfId="48" applyNumberFormat="1" applyFont="1" applyFill="1" applyBorder="1" applyAlignment="1">
      <alignment horizontal="left"/>
    </xf>
    <xf numFmtId="0" fontId="33" fillId="0" borderId="77" xfId="48" applyNumberFormat="1" applyFont="1" applyFill="1" applyBorder="1" applyAlignment="1">
      <alignment horizontal="left"/>
    </xf>
    <xf numFmtId="0" fontId="33" fillId="0" borderId="67" xfId="48" applyNumberFormat="1" applyFont="1" applyFill="1" applyBorder="1" applyAlignment="1">
      <alignment horizontal="left"/>
    </xf>
    <xf numFmtId="0" fontId="33" fillId="0" borderId="78" xfId="48" applyNumberFormat="1" applyFont="1" applyFill="1" applyBorder="1" applyAlignment="1">
      <alignment horizontal="left"/>
    </xf>
    <xf numFmtId="0" fontId="33" fillId="0" borderId="45" xfId="48" applyNumberFormat="1" applyFont="1" applyFill="1" applyBorder="1" applyAlignment="1">
      <alignment horizontal="center"/>
    </xf>
    <xf numFmtId="0" fontId="37" fillId="0" borderId="43" xfId="48" applyNumberFormat="1" applyFont="1" applyFill="1" applyBorder="1" applyAlignment="1">
      <alignment horizontal="left" indent="1"/>
    </xf>
    <xf numFmtId="0" fontId="37" fillId="0" borderId="45" xfId="48" applyNumberFormat="1" applyFont="1" applyFill="1" applyBorder="1" applyAlignment="1">
      <alignment horizontal="left" indent="1"/>
    </xf>
    <xf numFmtId="0" fontId="37" fillId="0" borderId="44" xfId="48" applyNumberFormat="1" applyFont="1" applyFill="1" applyBorder="1" applyAlignment="1">
      <alignment horizontal="left" indent="1"/>
    </xf>
    <xf numFmtId="0" fontId="33" fillId="34" borderId="43" xfId="48" applyNumberFormat="1" applyFont="1" applyFill="1" applyBorder="1" applyAlignment="1">
      <alignment horizontal="center"/>
    </xf>
    <xf numFmtId="0" fontId="33" fillId="34" borderId="45" xfId="48" applyNumberFormat="1" applyFont="1" applyFill="1" applyBorder="1" applyAlignment="1">
      <alignment horizontal="center"/>
    </xf>
    <xf numFmtId="0" fontId="33" fillId="34" borderId="44" xfId="48" applyNumberFormat="1" applyFont="1" applyFill="1" applyBorder="1" applyAlignment="1">
      <alignment horizontal="center"/>
    </xf>
  </cellXfs>
  <cellStyles count="63">
    <cellStyle name="20% - Accent1 2" xfId="1"/>
    <cellStyle name="20% - Accent2 2" xfId="2"/>
    <cellStyle name="20% - Accent3 2" xfId="3"/>
    <cellStyle name="20% - Accent4 2" xfId="4"/>
    <cellStyle name="20% - Accent5 2" xfId="5"/>
    <cellStyle name="20% - Accent6 2" xfId="6"/>
    <cellStyle name="40% - Accent1 2" xfId="7"/>
    <cellStyle name="40% - Accent2 2" xfId="8"/>
    <cellStyle name="40% - Accent3 2" xfId="9"/>
    <cellStyle name="40% - Accent4 2" xfId="10"/>
    <cellStyle name="40% - Accent5 2" xfId="11"/>
    <cellStyle name="40% - Accent6 2" xfId="12"/>
    <cellStyle name="60% - Accent1 2" xfId="13"/>
    <cellStyle name="60% - Accent2 2" xfId="14"/>
    <cellStyle name="60% - Accent3 2" xfId="15"/>
    <cellStyle name="60% - Accent4 2" xfId="16"/>
    <cellStyle name="60% - Accent5 2" xfId="17"/>
    <cellStyle name="60% - Accent6 2" xfId="18"/>
    <cellStyle name="Accent1 2" xfId="19"/>
    <cellStyle name="Accent2 2" xfId="20"/>
    <cellStyle name="Accent3 2" xfId="21"/>
    <cellStyle name="Accent4 2" xfId="22"/>
    <cellStyle name="Accent5 2" xfId="23"/>
    <cellStyle name="Accent6 2" xfId="24"/>
    <cellStyle name="Bad 2" xfId="25"/>
    <cellStyle name="Calculation 2" xfId="26"/>
    <cellStyle name="Check Cell 2" xfId="27"/>
    <cellStyle name="Comma" xfId="28" builtinId="3"/>
    <cellStyle name="Comma 2" xfId="29"/>
    <cellStyle name="Comma 3" xfId="60"/>
    <cellStyle name="Currency 2" xfId="30"/>
    <cellStyle name="Explanatory Text 2" xfId="31"/>
    <cellStyle name="Good 2" xfId="32"/>
    <cellStyle name="Heading 1 2" xfId="33"/>
    <cellStyle name="Heading 2 2" xfId="34"/>
    <cellStyle name="Heading 3 2" xfId="35"/>
    <cellStyle name="Heading 4 2" xfId="36"/>
    <cellStyle name="Hyperlink" xfId="37" builtinId="8"/>
    <cellStyle name="Input 2" xfId="38"/>
    <cellStyle name="Linked Cell 2" xfId="39"/>
    <cellStyle name="Neutral 2" xfId="40"/>
    <cellStyle name="Normal" xfId="0" builtinId="0"/>
    <cellStyle name="Normal 2" xfId="41"/>
    <cellStyle name="Normal 2 2" xfId="42"/>
    <cellStyle name="Normal 2 2 2" xfId="61"/>
    <cellStyle name="Normal 3" xfId="43"/>
    <cellStyle name="Normal 4" xfId="44"/>
    <cellStyle name="Normal 5" xfId="45"/>
    <cellStyle name="Normal 6" xfId="59"/>
    <cellStyle name="Normal 7" xfId="58"/>
    <cellStyle name="Normal_6.GE2" xfId="46"/>
    <cellStyle name="Normal_9.OQ" xfId="47"/>
    <cellStyle name="Normal_LOANS 15-05-2008-42" xfId="48"/>
    <cellStyle name="Note 2" xfId="49"/>
    <cellStyle name="Output 2" xfId="50"/>
    <cellStyle name="Percent" xfId="51" builtinId="5"/>
    <cellStyle name="Percent 2" xfId="52"/>
    <cellStyle name="Percent 3" xfId="53"/>
    <cellStyle name="Percent 4" xfId="62"/>
    <cellStyle name="Title 2" xfId="54"/>
    <cellStyle name="Total 2" xfId="55"/>
    <cellStyle name="Warning Text 2" xfId="56"/>
    <cellStyle name="Обычный_Payment Plan-unicode" xfId="57"/>
  </cellStyles>
  <dxfs count="0"/>
  <tableStyles count="0" defaultTableStyle="TableStyleMedium2" defaultPivotStyle="PivotStyleLight16"/>
  <colors>
    <mruColors>
      <color rgb="FF00FF00"/>
      <color rgb="FFC4C4C4"/>
      <color rgb="FFFEC2F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Q$6"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228600</xdr:colOff>
          <xdr:row>4</xdr:row>
          <xdr:rowOff>0</xdr:rowOff>
        </xdr:from>
        <xdr:to>
          <xdr:col>3</xdr:col>
          <xdr:colOff>190500</xdr:colOff>
          <xdr:row>7</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1" u="none" strike="noStrike" baseline="0">
                  <a:solidFill>
                    <a:srgbClr val="000000"/>
                  </a:solidFill>
                  <a:latin typeface="Times New Roman"/>
                  <a:cs typeface="Times New Roman"/>
                </a:rPr>
                <a:t>Fərdi kredit müqaviləsinin hazırlanması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285750</xdr:colOff>
          <xdr:row>4</xdr:row>
          <xdr:rowOff>0</xdr:rowOff>
        </xdr:from>
        <xdr:to>
          <xdr:col>7</xdr:col>
          <xdr:colOff>247650</xdr:colOff>
          <xdr:row>7</xdr:row>
          <xdr:rowOff>104775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1" u="none" strike="noStrike" baseline="0">
                  <a:solidFill>
                    <a:srgbClr val="000000"/>
                  </a:solidFill>
                  <a:latin typeface="Times New Roman"/>
                  <a:cs typeface="Times New Roman"/>
                </a:rPr>
                <a:t>Ərizə,Anket və MKR formu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8</xdr:row>
          <xdr:rowOff>9525</xdr:rowOff>
        </xdr:from>
        <xdr:to>
          <xdr:col>7</xdr:col>
          <xdr:colOff>257175</xdr:colOff>
          <xdr:row>9</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1" u="none" strike="noStrike" baseline="0">
                  <a:solidFill>
                    <a:srgbClr val="FF0000"/>
                  </a:solidFill>
                  <a:latin typeface="Times New Roman"/>
                  <a:cs typeface="Times New Roman"/>
                </a:rPr>
                <a:t>======&gt;&gt;&gt;&gt;…   Çıxış   ...&lt;&lt;&lt;&lt;======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1</xdr:row>
          <xdr:rowOff>114300</xdr:rowOff>
        </xdr:from>
        <xdr:to>
          <xdr:col>7</xdr:col>
          <xdr:colOff>247650</xdr:colOff>
          <xdr:row>3</xdr:row>
          <xdr:rowOff>76200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1" u="none" strike="noStrike" baseline="0">
                  <a:solidFill>
                    <a:srgbClr val="000000"/>
                  </a:solidFill>
                  <a:latin typeface="Times New Roman"/>
                  <a:cs typeface="Times New Roman"/>
                </a:rPr>
                <a:t>Filial haqqında məlumat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4</xdr:row>
          <xdr:rowOff>0</xdr:rowOff>
        </xdr:from>
        <xdr:to>
          <xdr:col>5</xdr:col>
          <xdr:colOff>219075</xdr:colOff>
          <xdr:row>7</xdr:row>
          <xdr:rowOff>104775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1" u="none" strike="noStrike" baseline="0">
                  <a:solidFill>
                    <a:srgbClr val="000000"/>
                  </a:solidFill>
                  <a:latin typeface="Times New Roman"/>
                  <a:cs typeface="Times New Roman"/>
                </a:rPr>
                <a:t>Filterdə olan məlumatlar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8</xdr:row>
          <xdr:rowOff>123825</xdr:rowOff>
        </xdr:from>
        <xdr:to>
          <xdr:col>6</xdr:col>
          <xdr:colOff>523875</xdr:colOff>
          <xdr:row>11</xdr:row>
          <xdr:rowOff>66675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FF0000"/>
                  </a:solidFill>
                  <a:latin typeface="Times New Roman"/>
                  <a:cs typeface="Times New Roman"/>
                </a:rPr>
                <a:t>Əlavə 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33</xdr:row>
          <xdr:rowOff>47625</xdr:rowOff>
        </xdr:from>
        <xdr:to>
          <xdr:col>10</xdr:col>
          <xdr:colOff>19050</xdr:colOff>
          <xdr:row>35</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54864" tIns="45720" rIns="54864" bIns="45720" anchor="ctr" upright="1"/>
            <a:lstStyle/>
            <a:p>
              <a:pPr algn="ctr" rtl="0">
                <a:defRPr sz="1000"/>
              </a:pPr>
              <a:r>
                <a:rPr lang="en-US" sz="2600" b="1" i="0" u="none" strike="noStrike" baseline="0">
                  <a:solidFill>
                    <a:srgbClr val="000000"/>
                  </a:solidFill>
                  <a:latin typeface="Times New Roman"/>
                  <a:cs typeface="Times New Roman"/>
                </a:rPr>
                <a:t>Yaddaşda saxla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28575</xdr:rowOff>
        </xdr:from>
        <xdr:to>
          <xdr:col>9</xdr:col>
          <xdr:colOff>104775</xdr:colOff>
          <xdr:row>1</xdr:row>
          <xdr:rowOff>57150</xdr:rowOff>
        </xdr:to>
        <xdr:sp macro="" textlink="">
          <xdr:nvSpPr>
            <xdr:cNvPr id="138241" name="Button 1" hidden="1">
              <a:extLst>
                <a:ext uri="{63B3BB69-23CF-44E3-9099-C40C66FF867C}">
                  <a14:compatExt spid="_x0000_s138241"/>
                </a:ext>
              </a:extLst>
            </xdr:cNvPr>
            <xdr:cNvSpPr/>
          </xdr:nvSpPr>
          <xdr:spPr>
            <a:xfrm>
              <a:off x="0" y="0"/>
              <a:ext cx="0" cy="0"/>
            </a:xfrm>
            <a:prstGeom prst="rect">
              <a:avLst/>
            </a:prstGeom>
          </xdr:spPr>
          <xdr:txBody>
            <a:bodyPr vertOverflow="clip" wrap="square" lIns="54864" tIns="45720" rIns="54864" bIns="45720" anchor="ctr" upright="1"/>
            <a:lstStyle/>
            <a:p>
              <a:pPr algn="ctr" rtl="0">
                <a:defRPr sz="1000"/>
              </a:pPr>
              <a:r>
                <a:rPr lang="en-US" sz="2600" b="1" i="0" u="none" strike="noStrike" baseline="0">
                  <a:solidFill>
                    <a:srgbClr val="000000"/>
                  </a:solidFill>
                  <a:latin typeface="Times New Roman"/>
                  <a:cs typeface="Times New Roman"/>
                </a:rPr>
                <a:t>Yaddaşda saxla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5</xdr:col>
          <xdr:colOff>1371600</xdr:colOff>
          <xdr:row>0</xdr:row>
          <xdr:rowOff>438150</xdr:rowOff>
        </xdr:to>
        <xdr:sp macro="" textlink="">
          <xdr:nvSpPr>
            <xdr:cNvPr id="136193" name="Button 1" hidden="1">
              <a:extLst>
                <a:ext uri="{63B3BB69-23CF-44E3-9099-C40C66FF867C}">
                  <a14:compatExt spid="_x0000_s136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1" u="none" strike="noStrike" baseline="0">
                  <a:solidFill>
                    <a:srgbClr val="FF0000"/>
                  </a:solidFill>
                  <a:latin typeface="Times New Roman"/>
                  <a:cs typeface="Times New Roman"/>
                </a:rPr>
                <a:t>Əlavə olunmuş məlumatı yadda saxla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123825</xdr:colOff>
          <xdr:row>1</xdr:row>
          <xdr:rowOff>47625</xdr:rowOff>
        </xdr:from>
        <xdr:to>
          <xdr:col>18</xdr:col>
          <xdr:colOff>104775</xdr:colOff>
          <xdr:row>3</xdr:row>
          <xdr:rowOff>0</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Avtomatik Çap etmək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163</xdr:row>
          <xdr:rowOff>9525</xdr:rowOff>
        </xdr:from>
        <xdr:to>
          <xdr:col>16</xdr:col>
          <xdr:colOff>9525</xdr:colOff>
          <xdr:row>165</xdr:row>
          <xdr:rowOff>38100</xdr:rowOff>
        </xdr:to>
        <xdr:sp macro="" textlink="">
          <xdr:nvSpPr>
            <xdr:cNvPr id="12313" name="Button 25" hidden="1">
              <a:extLst>
                <a:ext uri="{63B3BB69-23CF-44E3-9099-C40C66FF867C}">
                  <a14:compatExt spid="_x0000_s12313"/>
                </a:ext>
              </a:extLst>
            </xdr:cNvPr>
            <xdr:cNvSpPr/>
          </xdr:nvSpPr>
          <xdr:spPr>
            <a:xfrm>
              <a:off x="0" y="0"/>
              <a:ext cx="0" cy="0"/>
            </a:xfrm>
            <a:prstGeom prst="rect">
              <a:avLst/>
            </a:prstGeom>
          </xdr:spPr>
          <xdr:txBody>
            <a:bodyPr vertOverflow="clip" wrap="square" lIns="54864" tIns="45720" rIns="54864" bIns="45720" anchor="ctr" upright="1"/>
            <a:lstStyle/>
            <a:p>
              <a:pPr algn="ctr" rtl="0">
                <a:defRPr sz="1000"/>
              </a:pPr>
              <a:r>
                <a:rPr lang="en-US" sz="2600" b="1" i="0" u="none" strike="noStrike" baseline="0">
                  <a:solidFill>
                    <a:srgbClr val="000000"/>
                  </a:solidFill>
                  <a:latin typeface="Times New Roman"/>
                  <a:cs typeface="Times New Roman"/>
                </a:rPr>
                <a:t>Çapdan qabaqki vəziyyəti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247650</xdr:colOff>
          <xdr:row>154</xdr:row>
          <xdr:rowOff>161925</xdr:rowOff>
        </xdr:from>
        <xdr:to>
          <xdr:col>18</xdr:col>
          <xdr:colOff>352425</xdr:colOff>
          <xdr:row>156</xdr:row>
          <xdr:rowOff>161925</xdr:rowOff>
        </xdr:to>
        <xdr:sp macro="" textlink="">
          <xdr:nvSpPr>
            <xdr:cNvPr id="12316" name="Button 28" hidden="1">
              <a:extLst>
                <a:ext uri="{63B3BB69-23CF-44E3-9099-C40C66FF867C}">
                  <a14:compatExt spid="_x0000_s123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Bağla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247650</xdr:colOff>
          <xdr:row>156</xdr:row>
          <xdr:rowOff>180975</xdr:rowOff>
        </xdr:from>
        <xdr:to>
          <xdr:col>18</xdr:col>
          <xdr:colOff>352425</xdr:colOff>
          <xdr:row>162</xdr:row>
          <xdr:rowOff>190500</xdr:rowOff>
        </xdr:to>
        <xdr:sp macro="" textlink="">
          <xdr:nvSpPr>
            <xdr:cNvPr id="12317" name="Button 29" hidden="1">
              <a:extLst>
                <a:ext uri="{63B3BB69-23CF-44E3-9099-C40C66FF867C}">
                  <a14:compatExt spid="_x0000_s123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Aç</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0</xdr:row>
          <xdr:rowOff>38100</xdr:rowOff>
        </xdr:from>
        <xdr:to>
          <xdr:col>11</xdr:col>
          <xdr:colOff>1314450</xdr:colOff>
          <xdr:row>5</xdr:row>
          <xdr:rowOff>76200</xdr:rowOff>
        </xdr:to>
        <xdr:sp macro="" textlink="">
          <xdr:nvSpPr>
            <xdr:cNvPr id="135169" name="Button 1" hidden="1">
              <a:extLst>
                <a:ext uri="{63B3BB69-23CF-44E3-9099-C40C66FF867C}">
                  <a14:compatExt spid="_x0000_s135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Times New Roman"/>
                  <a:cs typeface="Times New Roman"/>
                </a:rPr>
                <a:t>T24 export olunmuş məlumat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38100</xdr:rowOff>
        </xdr:from>
        <xdr:to>
          <xdr:col>12</xdr:col>
          <xdr:colOff>838200</xdr:colOff>
          <xdr:row>5</xdr:row>
          <xdr:rowOff>76200</xdr:rowOff>
        </xdr:to>
        <xdr:sp macro="" textlink="">
          <xdr:nvSpPr>
            <xdr:cNvPr id="135170" name="Button 2" hidden="1">
              <a:extLst>
                <a:ext uri="{63B3BB69-23CF-44E3-9099-C40C66FF867C}">
                  <a14:compatExt spid="_x0000_s1351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Times New Roman"/>
                  <a:cs typeface="Times New Roman"/>
                </a:rPr>
                <a:t>Silib yenidən</a:t>
              </a:r>
            </a:p>
            <a:p>
              <a:pPr algn="ctr" rtl="0">
                <a:defRPr sz="1000"/>
              </a:pPr>
              <a:r>
                <a:rPr lang="en-US" sz="1600" b="0" i="0" u="none" strike="noStrike" baseline="0">
                  <a:solidFill>
                    <a:srgbClr val="000000"/>
                  </a:solidFill>
                  <a:latin typeface="Times New Roman"/>
                  <a:cs typeface="Times New Roman"/>
                </a:rPr>
                <a:t>işləmək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6</xdr:row>
          <xdr:rowOff>19050</xdr:rowOff>
        </xdr:from>
        <xdr:to>
          <xdr:col>12</xdr:col>
          <xdr:colOff>828675</xdr:colOff>
          <xdr:row>8</xdr:row>
          <xdr:rowOff>95250</xdr:rowOff>
        </xdr:to>
        <xdr:sp macro="" textlink="">
          <xdr:nvSpPr>
            <xdr:cNvPr id="135171" name="Button 3" hidden="1">
              <a:extLst>
                <a:ext uri="{63B3BB69-23CF-44E3-9099-C40C66FF867C}">
                  <a14:compatExt spid="_x0000_s1351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Times New Roman"/>
                  <a:cs typeface="Times New Roman"/>
                </a:rPr>
                <a:t>Yazdığını yaddaşda saxla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NT"/>
  <dimension ref="E16"/>
  <sheetViews>
    <sheetView showGridLines="0" showRowColHeaders="0" view="pageBreakPreview" topLeftCell="B1" zoomScale="300" zoomScaleNormal="100" zoomScaleSheetLayoutView="300" workbookViewId="0">
      <selection activeCell="F1" sqref="F1"/>
    </sheetView>
  </sheetViews>
  <sheetFormatPr defaultRowHeight="12.75" x14ac:dyDescent="0.2"/>
  <sheetData>
    <row r="16" spans="5:5" x14ac:dyDescent="0.2">
      <c r="E16" s="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Data">
                <anchor>
                  <from>
                    <xdr:col>1</xdr:col>
                    <xdr:colOff>228600</xdr:colOff>
                    <xdr:row>4</xdr:row>
                    <xdr:rowOff>0</xdr:rowOff>
                  </from>
                  <to>
                    <xdr:col>3</xdr:col>
                    <xdr:colOff>190500</xdr:colOff>
                    <xdr:row>7</xdr:row>
                    <xdr:rowOff>104775</xdr:rowOff>
                  </to>
                </anchor>
              </controlPr>
            </control>
          </mc:Choice>
        </mc:AlternateContent>
        <mc:AlternateContent xmlns:mc="http://schemas.openxmlformats.org/markup-compatibility/2006">
          <mc:Choice Requires="x14">
            <control shapeId="1026" r:id="rId5" name="Button 2">
              <controlPr defaultSize="0" print="0" autoFill="0" autoPict="0" macro="[0]!ANERMKR">
                <anchor>
                  <from>
                    <xdr:col>5</xdr:col>
                    <xdr:colOff>285750</xdr:colOff>
                    <xdr:row>4</xdr:row>
                    <xdr:rowOff>0</xdr:rowOff>
                  </from>
                  <to>
                    <xdr:col>7</xdr:col>
                    <xdr:colOff>247650</xdr:colOff>
                    <xdr:row>7</xdr:row>
                    <xdr:rowOff>104775</xdr:rowOff>
                  </to>
                </anchor>
              </controlPr>
            </control>
          </mc:Choice>
        </mc:AlternateContent>
        <mc:AlternateContent xmlns:mc="http://schemas.openxmlformats.org/markup-compatibility/2006">
          <mc:Choice Requires="x14">
            <control shapeId="1027" r:id="rId6" name="Button 3">
              <controlPr locked="0" defaultSize="0" print="0" autoFill="0" autoPict="0" macro="[0]!CixisAll" altText="Çıxış.....">
                <anchor>
                  <from>
                    <xdr:col>1</xdr:col>
                    <xdr:colOff>228600</xdr:colOff>
                    <xdr:row>8</xdr:row>
                    <xdr:rowOff>9525</xdr:rowOff>
                  </from>
                  <to>
                    <xdr:col>7</xdr:col>
                    <xdr:colOff>257175</xdr:colOff>
                    <xdr:row>9</xdr:row>
                    <xdr:rowOff>85725</xdr:rowOff>
                  </to>
                </anchor>
              </controlPr>
            </control>
          </mc:Choice>
        </mc:AlternateContent>
        <mc:AlternateContent xmlns:mc="http://schemas.openxmlformats.org/markup-compatibility/2006">
          <mc:Choice Requires="x14">
            <control shapeId="1028" r:id="rId7" name="Button 4">
              <controlPr defaultSize="0" print="0" autoFill="0" autoPict="0" macro="[0]!FilialHaq">
                <anchor>
                  <from>
                    <xdr:col>1</xdr:col>
                    <xdr:colOff>228600</xdr:colOff>
                    <xdr:row>1</xdr:row>
                    <xdr:rowOff>114300</xdr:rowOff>
                  </from>
                  <to>
                    <xdr:col>7</xdr:col>
                    <xdr:colOff>247650</xdr:colOff>
                    <xdr:row>3</xdr:row>
                    <xdr:rowOff>76200</xdr:rowOff>
                  </to>
                </anchor>
              </controlPr>
            </control>
          </mc:Choice>
        </mc:AlternateContent>
        <mc:AlternateContent xmlns:mc="http://schemas.openxmlformats.org/markup-compatibility/2006">
          <mc:Choice Requires="x14">
            <control shapeId="1029" r:id="rId8" name="Button 5">
              <controlPr defaultSize="0" print="0" autoFill="0" autoPict="0" macro="[0]!DataBaseSh">
                <anchor>
                  <from>
                    <xdr:col>3</xdr:col>
                    <xdr:colOff>257175</xdr:colOff>
                    <xdr:row>4</xdr:row>
                    <xdr:rowOff>0</xdr:rowOff>
                  </from>
                  <to>
                    <xdr:col>5</xdr:col>
                    <xdr:colOff>219075</xdr:colOff>
                    <xdr:row>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H">
    <tabColor rgb="FF00B050"/>
  </sheetPr>
  <dimension ref="A1:M40"/>
  <sheetViews>
    <sheetView view="pageBreakPreview" zoomScale="130" zoomScaleNormal="100" zoomScaleSheetLayoutView="130" workbookViewId="0">
      <selection activeCell="I11" sqref="I11"/>
    </sheetView>
  </sheetViews>
  <sheetFormatPr defaultRowHeight="12.75" x14ac:dyDescent="0.2"/>
  <cols>
    <col min="1" max="1" width="2.7109375" style="317" customWidth="1"/>
    <col min="2" max="2" width="2.28515625" style="318" customWidth="1"/>
    <col min="3" max="3" width="24.140625" style="318" customWidth="1"/>
    <col min="4" max="4" width="26.7109375" style="318" customWidth="1"/>
    <col min="5" max="5" width="3.7109375" style="318" customWidth="1"/>
    <col min="6" max="7" width="9.140625" style="318"/>
    <col min="8" max="8" width="16" style="318" customWidth="1"/>
    <col min="9" max="9" width="29.140625" style="318" customWidth="1"/>
    <col min="10" max="10" width="2.7109375" style="317" customWidth="1"/>
    <col min="11" max="16384" width="9.140625" style="318"/>
  </cols>
  <sheetData>
    <row r="1" spans="2:13" s="317" customFormat="1" ht="15" customHeight="1" thickBot="1" x14ac:dyDescent="0.25"/>
    <row r="2" spans="2:13" ht="15" customHeight="1" x14ac:dyDescent="0.2">
      <c r="B2" s="524" t="s">
        <v>12</v>
      </c>
      <c r="C2" s="525"/>
      <c r="D2" s="525"/>
      <c r="E2" s="525"/>
      <c r="F2" s="525"/>
      <c r="G2" s="525"/>
      <c r="H2" s="525"/>
      <c r="I2" s="526"/>
    </row>
    <row r="3" spans="2:13" ht="3" customHeight="1" thickBot="1" x14ac:dyDescent="0.25">
      <c r="B3" s="7"/>
      <c r="C3" s="5"/>
      <c r="D3" s="5"/>
      <c r="E3" s="5"/>
      <c r="F3" s="5"/>
      <c r="G3" s="5"/>
      <c r="H3" s="5"/>
      <c r="I3" s="222"/>
    </row>
    <row r="4" spans="2:13" ht="15" customHeight="1" thickBot="1" x14ac:dyDescent="0.25">
      <c r="B4" s="7"/>
      <c r="C4" s="342" t="s">
        <v>11</v>
      </c>
      <c r="D4" s="343" t="s">
        <v>853</v>
      </c>
      <c r="E4" s="5"/>
      <c r="F4" s="527" t="s">
        <v>10</v>
      </c>
      <c r="G4" s="527"/>
      <c r="H4" s="527"/>
      <c r="I4" s="343" t="s">
        <v>773</v>
      </c>
    </row>
    <row r="5" spans="2:13" ht="3" customHeight="1" thickBot="1" x14ac:dyDescent="0.25">
      <c r="B5" s="7"/>
      <c r="C5" s="9"/>
      <c r="D5" s="6"/>
      <c r="E5" s="5"/>
      <c r="F5" s="5"/>
      <c r="G5" s="5"/>
      <c r="H5" s="5"/>
      <c r="I5" s="222"/>
    </row>
    <row r="6" spans="2:13" ht="15" customHeight="1" thickBot="1" x14ac:dyDescent="0.25">
      <c r="B6" s="7"/>
      <c r="C6" s="344" t="s">
        <v>9</v>
      </c>
      <c r="D6" s="345" t="s">
        <v>933</v>
      </c>
      <c r="E6" s="5"/>
      <c r="F6" s="5"/>
      <c r="G6" s="5"/>
      <c r="H6" s="344" t="s">
        <v>8</v>
      </c>
      <c r="I6" s="343" t="s">
        <v>774</v>
      </c>
    </row>
    <row r="7" spans="2:13" ht="3" customHeight="1" thickBot="1" x14ac:dyDescent="0.25">
      <c r="B7" s="7"/>
      <c r="C7" s="8"/>
      <c r="D7" s="8"/>
      <c r="E7" s="8"/>
      <c r="F7" s="8"/>
      <c r="G7" s="8"/>
      <c r="H7" s="8"/>
      <c r="I7" s="224"/>
    </row>
    <row r="8" spans="2:13" ht="15" customHeight="1" thickBot="1" x14ac:dyDescent="0.25">
      <c r="B8" s="7"/>
      <c r="C8" s="8"/>
      <c r="D8" s="346" t="str">
        <f>T.Convert!$AP$59&amp;" "&amp;T.Convert!$AW$59&amp;IF(RIGHT(T.Convert!$AW$59,1)="I","nin","nın")</f>
        <v>Ağcabədi  Filialının</v>
      </c>
      <c r="E8" s="8"/>
      <c r="F8" s="8"/>
      <c r="G8" s="8"/>
      <c r="H8" s="344" t="s">
        <v>7</v>
      </c>
      <c r="I8" s="343" t="s">
        <v>775</v>
      </c>
    </row>
    <row r="9" spans="2:13" ht="10.5" customHeight="1" x14ac:dyDescent="0.2">
      <c r="B9" s="7"/>
      <c r="C9" s="8"/>
      <c r="D9" s="8"/>
      <c r="E9" s="8"/>
      <c r="F9" s="8"/>
      <c r="G9" s="8"/>
      <c r="H9" s="8"/>
      <c r="I9" s="224"/>
    </row>
    <row r="10" spans="2:13" ht="15" customHeight="1" thickBot="1" x14ac:dyDescent="0.25">
      <c r="B10" s="7"/>
      <c r="C10" s="531" t="s">
        <v>6</v>
      </c>
      <c r="D10" s="531"/>
      <c r="E10" s="323"/>
      <c r="F10" s="323"/>
      <c r="G10" s="323"/>
      <c r="H10" s="532" t="s">
        <v>3</v>
      </c>
      <c r="I10" s="533"/>
    </row>
    <row r="11" spans="2:13" ht="15" customHeight="1" thickBot="1" x14ac:dyDescent="0.25">
      <c r="B11" s="7"/>
      <c r="C11" s="5"/>
      <c r="D11" s="345" t="s">
        <v>852</v>
      </c>
      <c r="E11" s="5"/>
      <c r="F11" s="5"/>
      <c r="G11" s="5"/>
      <c r="H11" s="5"/>
      <c r="I11" s="345" t="s">
        <v>761</v>
      </c>
    </row>
    <row r="12" spans="2:13" ht="15" customHeight="1" thickBot="1" x14ac:dyDescent="0.25">
      <c r="B12" s="7"/>
      <c r="C12" s="342" t="s">
        <v>4</v>
      </c>
      <c r="D12" s="346" t="str">
        <f>KMV!H2</f>
        <v>kredit meneceri</v>
      </c>
      <c r="E12" s="5"/>
      <c r="F12" s="5"/>
      <c r="G12" s="325"/>
      <c r="H12" s="342" t="s">
        <v>4</v>
      </c>
      <c r="I12" s="346" t="str">
        <f>KMV!H9</f>
        <v>Baş kredit mütəxəssisi</v>
      </c>
      <c r="L12" s="152"/>
      <c r="M12" s="152"/>
    </row>
    <row r="13" spans="2:13" ht="3" customHeight="1" thickBot="1" x14ac:dyDescent="0.25">
      <c r="B13" s="7"/>
      <c r="C13" s="6"/>
      <c r="D13" s="5"/>
      <c r="E13" s="5"/>
      <c r="F13" s="5"/>
      <c r="G13" s="5"/>
      <c r="H13" s="5"/>
      <c r="I13" s="222"/>
      <c r="L13" s="152"/>
      <c r="M13" s="152"/>
    </row>
    <row r="14" spans="2:13" ht="15" customHeight="1" thickBot="1" x14ac:dyDescent="0.25">
      <c r="B14" s="7"/>
      <c r="C14" s="344" t="s">
        <v>5</v>
      </c>
      <c r="D14" s="346" t="str">
        <f>KMV!G3</f>
        <v xml:space="preserve">Əhmədov </v>
      </c>
      <c r="E14" s="5"/>
      <c r="F14" s="5"/>
      <c r="G14" s="5"/>
      <c r="H14" s="344" t="s">
        <v>5</v>
      </c>
      <c r="I14" s="346" t="str">
        <f>KMV!G10</f>
        <v xml:space="preserve">Əhmədov </v>
      </c>
      <c r="L14" s="152"/>
    </row>
    <row r="15" spans="2:13" ht="3" customHeight="1" thickBot="1" x14ac:dyDescent="0.25">
      <c r="B15" s="7"/>
      <c r="C15" s="8"/>
      <c r="D15" s="5"/>
      <c r="E15" s="5"/>
      <c r="F15" s="5"/>
      <c r="G15" s="5"/>
      <c r="H15" s="5"/>
      <c r="I15" s="222"/>
      <c r="L15" s="152"/>
      <c r="M15" s="152"/>
    </row>
    <row r="16" spans="2:13" ht="15" customHeight="1" thickBot="1" x14ac:dyDescent="0.25">
      <c r="B16" s="7"/>
      <c r="C16" s="344" t="s">
        <v>2</v>
      </c>
      <c r="D16" s="346" t="str">
        <f>KMV!H3</f>
        <v xml:space="preserve">Bəhruz </v>
      </c>
      <c r="E16" s="5"/>
      <c r="F16" s="5"/>
      <c r="G16" s="324"/>
      <c r="H16" s="344" t="s">
        <v>2</v>
      </c>
      <c r="I16" s="346" t="str">
        <f>KMV!H10</f>
        <v xml:space="preserve">Məhəmməd </v>
      </c>
      <c r="L16" s="152"/>
      <c r="M16" s="152"/>
    </row>
    <row r="17" spans="2:9" ht="3" customHeight="1" thickBot="1" x14ac:dyDescent="0.25">
      <c r="B17" s="7"/>
      <c r="C17" s="5"/>
      <c r="D17" s="6"/>
      <c r="E17" s="5"/>
      <c r="F17" s="5"/>
      <c r="G17" s="5"/>
      <c r="H17" s="5"/>
      <c r="I17" s="222"/>
    </row>
    <row r="18" spans="2:9" ht="15" customHeight="1" thickBot="1" x14ac:dyDescent="0.25">
      <c r="B18" s="7"/>
      <c r="C18" s="344" t="s">
        <v>1</v>
      </c>
      <c r="D18" s="346" t="str">
        <f>KMV!I3</f>
        <v xml:space="preserve">Tofiq </v>
      </c>
      <c r="E18" s="5"/>
      <c r="F18" s="5"/>
      <c r="G18" s="5"/>
      <c r="H18" s="344" t="s">
        <v>1</v>
      </c>
      <c r="I18" s="346" t="str">
        <f>KMV!I10</f>
        <v xml:space="preserve">Nizam </v>
      </c>
    </row>
    <row r="19" spans="2:9" ht="3" customHeight="1" thickBot="1" x14ac:dyDescent="0.25">
      <c r="B19" s="7"/>
      <c r="C19" s="5"/>
      <c r="D19" s="5"/>
      <c r="E19" s="5"/>
      <c r="F19" s="5"/>
      <c r="G19" s="5"/>
      <c r="H19" s="5"/>
      <c r="I19" s="222"/>
    </row>
    <row r="20" spans="2:9" ht="15" customHeight="1" thickBot="1" x14ac:dyDescent="0.25">
      <c r="B20" s="326"/>
      <c r="C20" s="344"/>
      <c r="D20" s="346" t="str">
        <f>KMV!J3</f>
        <v>oğlu</v>
      </c>
      <c r="E20" s="322"/>
      <c r="F20" s="322"/>
      <c r="G20" s="322"/>
      <c r="H20" s="344"/>
      <c r="I20" s="346" t="str">
        <f>KMV!J10</f>
        <v>oğlu</v>
      </c>
    </row>
    <row r="21" spans="2:9" ht="3" customHeight="1" x14ac:dyDescent="0.2">
      <c r="B21" s="7"/>
      <c r="C21" s="5"/>
      <c r="D21" s="5"/>
      <c r="E21" s="5"/>
      <c r="F21" s="5"/>
      <c r="G21" s="5"/>
      <c r="H21" s="5"/>
      <c r="I21" s="222"/>
    </row>
    <row r="22" spans="2:9" ht="15" hidden="1" customHeight="1" x14ac:dyDescent="0.2">
      <c r="B22" s="7"/>
      <c r="C22" s="327"/>
      <c r="D22" s="327"/>
      <c r="E22" s="8"/>
      <c r="F22" s="8"/>
      <c r="G22" s="8"/>
      <c r="H22" s="327"/>
      <c r="I22" s="328"/>
    </row>
    <row r="23" spans="2:9" ht="3" hidden="1" customHeight="1" x14ac:dyDescent="0.2">
      <c r="B23" s="7"/>
      <c r="C23" s="8"/>
      <c r="D23" s="8"/>
      <c r="E23" s="8"/>
      <c r="F23" s="8"/>
      <c r="G23" s="8"/>
      <c r="H23" s="8"/>
      <c r="I23" s="224"/>
    </row>
    <row r="24" spans="2:9" ht="15" hidden="1" customHeight="1" x14ac:dyDescent="0.2">
      <c r="B24" s="7"/>
      <c r="C24" s="327"/>
      <c r="D24" s="327"/>
      <c r="E24" s="8"/>
      <c r="F24" s="8"/>
      <c r="G24" s="8"/>
      <c r="H24" s="8"/>
      <c r="I24" s="224"/>
    </row>
    <row r="25" spans="2:9" ht="3" hidden="1" customHeight="1" x14ac:dyDescent="0.2">
      <c r="B25" s="7"/>
      <c r="C25" s="8"/>
      <c r="D25" s="8"/>
      <c r="E25" s="8"/>
      <c r="F25" s="8"/>
      <c r="G25" s="8"/>
      <c r="H25" s="8"/>
      <c r="I25" s="224"/>
    </row>
    <row r="26" spans="2:9" ht="15" hidden="1" customHeight="1" x14ac:dyDescent="0.2">
      <c r="B26" s="7"/>
      <c r="C26" s="327"/>
      <c r="D26" s="327"/>
      <c r="E26" s="8"/>
      <c r="F26" s="8"/>
      <c r="G26" s="8"/>
      <c r="H26" s="327"/>
      <c r="I26" s="224"/>
    </row>
    <row r="27" spans="2:9" ht="3" hidden="1" customHeight="1" x14ac:dyDescent="0.2">
      <c r="B27" s="7"/>
      <c r="C27" s="8"/>
      <c r="D27" s="8"/>
      <c r="E27" s="8"/>
      <c r="F27" s="8"/>
      <c r="G27" s="8"/>
      <c r="H27" s="8"/>
      <c r="I27" s="224"/>
    </row>
    <row r="28" spans="2:9" ht="15" hidden="1" customHeight="1" x14ac:dyDescent="0.2">
      <c r="B28" s="7"/>
      <c r="C28" s="327"/>
      <c r="D28" s="327"/>
      <c r="E28" s="8"/>
      <c r="F28" s="8"/>
      <c r="G28" s="8"/>
      <c r="H28" s="8"/>
      <c r="I28" s="224"/>
    </row>
    <row r="29" spans="2:9" ht="15" hidden="1" customHeight="1" thickBot="1" x14ac:dyDescent="0.25">
      <c r="B29" s="7"/>
      <c r="C29" s="8"/>
      <c r="D29" s="232"/>
      <c r="E29" s="8"/>
      <c r="F29" s="8"/>
      <c r="G29" s="8"/>
      <c r="H29" s="8"/>
      <c r="I29" s="224"/>
    </row>
    <row r="30" spans="2:9" ht="15" hidden="1" customHeight="1" thickBot="1" x14ac:dyDescent="0.25">
      <c r="B30" s="7"/>
      <c r="C30" s="530" t="s">
        <v>601</v>
      </c>
      <c r="D30" s="528" t="s">
        <v>412</v>
      </c>
      <c r="E30" s="529"/>
      <c r="F30" s="529"/>
      <c r="G30" s="529"/>
      <c r="H30" s="529"/>
      <c r="I30" s="529"/>
    </row>
    <row r="31" spans="2:9" ht="15" hidden="1" customHeight="1" thickBot="1" x14ac:dyDescent="0.25">
      <c r="B31" s="7"/>
      <c r="C31" s="530"/>
      <c r="D31" s="529"/>
      <c r="E31" s="529"/>
      <c r="F31" s="529"/>
      <c r="G31" s="529"/>
      <c r="H31" s="529"/>
      <c r="I31" s="529"/>
    </row>
    <row r="32" spans="2:9" ht="15" customHeight="1" thickBot="1" x14ac:dyDescent="0.25">
      <c r="B32" s="4"/>
      <c r="C32" s="233"/>
      <c r="D32" s="234"/>
      <c r="E32" s="3"/>
      <c r="F32" s="3"/>
      <c r="G32" s="3"/>
      <c r="H32" s="3"/>
      <c r="I32" s="223"/>
    </row>
    <row r="33" spans="1:10" s="317" customFormat="1" ht="15" customHeight="1" x14ac:dyDescent="0.2">
      <c r="B33" s="2"/>
      <c r="C33" s="2"/>
      <c r="D33" s="2"/>
      <c r="E33" s="2"/>
      <c r="F33" s="2"/>
      <c r="G33" s="2"/>
      <c r="H33" s="2"/>
      <c r="I33" s="2"/>
      <c r="J33" s="319"/>
    </row>
    <row r="37" spans="1:10" x14ac:dyDescent="0.2">
      <c r="A37" s="320"/>
    </row>
    <row r="40" spans="1:10" x14ac:dyDescent="0.2">
      <c r="D40" s="152"/>
    </row>
  </sheetData>
  <mergeCells count="6">
    <mergeCell ref="B2:I2"/>
    <mergeCell ref="F4:H4"/>
    <mergeCell ref="D30:I31"/>
    <mergeCell ref="C30:C31"/>
    <mergeCell ref="C10:D10"/>
    <mergeCell ref="H10:I10"/>
  </mergeCells>
  <pageMargins left="0.7" right="0.7" top="0.75" bottom="0.75" header="0.3" footer="0.3"/>
  <pageSetup scale="5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aveWorkbook">
                <anchor moveWithCells="1" sizeWithCells="1">
                  <from>
                    <xdr:col>0</xdr:col>
                    <xdr:colOff>0</xdr:colOff>
                    <xdr:row>33</xdr:row>
                    <xdr:rowOff>47625</xdr:rowOff>
                  </from>
                  <to>
                    <xdr:col>10</xdr:col>
                    <xdr:colOff>19050</xdr:colOff>
                    <xdr:row>36</xdr:row>
                    <xdr:rowOff>0</xdr:rowOff>
                  </to>
                </anchor>
              </controlPr>
            </control>
          </mc:Choice>
        </mc:AlternateContent>
        <mc:AlternateContent xmlns:mc="http://schemas.openxmlformats.org/markup-compatibility/2006">
          <mc:Choice Requires="x14">
            <control shapeId="2055" r:id="rId5" name="Button 7">
              <controlPr defaultSize="0" print="0" autoFill="0" autoPict="0" macro="[0]!KMV">
                <anchor moveWithCells="1" sizeWithCells="1">
                  <from>
                    <xdr:col>4</xdr:col>
                    <xdr:colOff>152400</xdr:colOff>
                    <xdr:row>8</xdr:row>
                    <xdr:rowOff>123825</xdr:rowOff>
                  </from>
                  <to>
                    <xdr:col>6</xdr:col>
                    <xdr:colOff>523875</xdr:colOff>
                    <xdr:row>11</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OFFSET(T.Convert!$AP$61,0,0,COUNTA(T.Convert!$AP$61:$AV$201),1)</xm:f>
          </x14:formula1>
          <xm:sqref>D6</xm:sqref>
        </x14:dataValidation>
        <x14:dataValidation type="list" allowBlank="1" showInputMessage="1" showErrorMessage="1">
          <x14:formula1>
            <xm:f>OFFSET(KMV!$A$3,0,0,COUNTA(KMV!$A$3:$A$8),1)</xm:f>
          </x14:formula1>
          <xm:sqref>D11</xm:sqref>
        </x14:dataValidation>
        <x14:dataValidation type="list" allowBlank="1" showInputMessage="1" showErrorMessage="1">
          <x14:formula1>
            <xm:f>OFFSET(KMV!$A$10,0,0,COUNTA(KMV!$A$10:$A$30),1)</xm:f>
          </x14:formula1>
          <xm:sqref>I11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CON">
    <tabColor rgb="FFFF0000"/>
  </sheetPr>
  <dimension ref="A1:FN107"/>
  <sheetViews>
    <sheetView view="pageBreakPreview" topLeftCell="C1" zoomScaleNormal="100" zoomScaleSheetLayoutView="100" workbookViewId="0">
      <selection activeCell="BQ4" sqref="BQ4"/>
    </sheetView>
  </sheetViews>
  <sheetFormatPr defaultColWidth="2.28515625" defaultRowHeight="12.75" x14ac:dyDescent="0.2"/>
  <cols>
    <col min="1" max="3" width="2.28515625" style="41"/>
    <col min="4" max="4" width="5.85546875" style="41" bestFit="1" customWidth="1"/>
    <col min="5" max="16" width="2.28515625" style="41"/>
    <col min="17" max="17" width="5.28515625" style="41" bestFit="1" customWidth="1"/>
    <col min="18" max="38" width="2.28515625" style="41"/>
    <col min="39" max="40" width="1.85546875" style="41" bestFit="1" customWidth="1"/>
    <col min="41" max="41" width="2.7109375" style="41" bestFit="1" customWidth="1"/>
    <col min="42" max="42" width="2.5703125" style="41" customWidth="1"/>
    <col min="43" max="43" width="3.5703125" style="41" bestFit="1" customWidth="1"/>
    <col min="44" max="48" width="2.28515625" style="41"/>
    <col min="49" max="50" width="5.28515625" style="41" bestFit="1" customWidth="1"/>
    <col min="51" max="53" width="2.28515625" style="41"/>
    <col min="54" max="54" width="2.7109375" style="41" bestFit="1" customWidth="1"/>
    <col min="55" max="61" width="2.28515625" style="41"/>
    <col min="62" max="62" width="4.42578125" style="41" bestFit="1" customWidth="1"/>
    <col min="63" max="68" width="2.28515625" style="41"/>
    <col min="69" max="69" width="21.5703125" style="41" customWidth="1"/>
    <col min="70" max="70" width="5" style="41" customWidth="1"/>
    <col min="71" max="16384" width="2.28515625" style="41"/>
  </cols>
  <sheetData>
    <row r="1" spans="1:70" x14ac:dyDescent="0.2">
      <c r="A1" s="41" t="s">
        <v>371</v>
      </c>
      <c r="T1" s="41" t="s">
        <v>370</v>
      </c>
      <c r="AM1" s="41" t="s">
        <v>931</v>
      </c>
      <c r="BQ1" s="41" t="s">
        <v>879</v>
      </c>
    </row>
    <row r="2" spans="1:70" x14ac:dyDescent="0.2">
      <c r="A2" s="578">
        <f>START_DATE_KREDIT</f>
        <v>42216</v>
      </c>
      <c r="B2" s="579"/>
      <c r="C2" s="579"/>
      <c r="D2" s="579"/>
      <c r="E2" s="579"/>
      <c r="F2" s="580"/>
      <c r="G2" s="581" t="str">
        <f>A3&amp;" "&amp;C3&amp;" "&amp;G3&amp; " il"</f>
        <v>«31» İyul 2015-ci il</v>
      </c>
      <c r="H2" s="582"/>
      <c r="I2" s="582"/>
      <c r="J2" s="582"/>
      <c r="K2" s="582"/>
      <c r="L2" s="582"/>
      <c r="M2" s="582"/>
      <c r="N2" s="582"/>
      <c r="O2" s="582"/>
      <c r="P2" s="582"/>
      <c r="Q2" s="582"/>
      <c r="R2" s="582"/>
      <c r="S2" s="583"/>
      <c r="T2" s="578">
        <f>END_DATE_KREDIT</f>
        <v>42521</v>
      </c>
      <c r="U2" s="579"/>
      <c r="V2" s="579"/>
      <c r="W2" s="579"/>
      <c r="X2" s="579"/>
      <c r="Y2" s="580"/>
      <c r="Z2" s="581" t="str">
        <f>T3&amp;" "&amp;V3&amp;" "&amp;Z3&amp; " il"</f>
        <v>«31» May 2016-cı il</v>
      </c>
      <c r="AA2" s="582"/>
      <c r="AB2" s="582"/>
      <c r="AC2" s="582"/>
      <c r="AD2" s="582"/>
      <c r="AE2" s="582"/>
      <c r="AF2" s="582"/>
      <c r="AG2" s="582"/>
      <c r="AH2" s="582"/>
      <c r="AI2" s="582"/>
      <c r="AJ2" s="582"/>
      <c r="AK2" s="582"/>
      <c r="AL2" s="583"/>
      <c r="AM2" s="578" t="str">
        <f>OLD_DATE_KREDIT</f>
        <v>27.07.2014</v>
      </c>
      <c r="AN2" s="579"/>
      <c r="AO2" s="579"/>
      <c r="AP2" s="579"/>
      <c r="AQ2" s="579"/>
      <c r="AR2" s="580"/>
      <c r="AS2" s="581" t="str">
        <f>AM3&amp;" "&amp;AO3&amp;" "&amp;AS3&amp; " il"</f>
        <v>«27» İyul 2014-cü il</v>
      </c>
      <c r="AT2" s="582"/>
      <c r="AU2" s="582"/>
      <c r="AV2" s="582"/>
      <c r="AW2" s="582"/>
      <c r="AX2" s="582"/>
      <c r="AY2" s="582"/>
      <c r="AZ2" s="582"/>
      <c r="BA2" s="582"/>
      <c r="BB2" s="582"/>
      <c r="BC2" s="582"/>
      <c r="BD2" s="582"/>
      <c r="BE2" s="583"/>
      <c r="BQ2" s="41" t="s">
        <v>943</v>
      </c>
      <c r="BR2" s="41">
        <v>1</v>
      </c>
    </row>
    <row r="3" spans="1:70" x14ac:dyDescent="0.2">
      <c r="A3" s="584" t="str">
        <f>IF(DAY(A2)&lt;10,"«0" &amp; DAY(A2) &amp; "»","«" &amp; DAY(A2) &amp; "»")</f>
        <v>«31»</v>
      </c>
      <c r="B3" s="585"/>
      <c r="C3" s="584" t="str">
        <f>INDEX(C4:C15,MATCH(MONTH(A2),A4:A15,0))</f>
        <v>İyul</v>
      </c>
      <c r="D3" s="576"/>
      <c r="E3" s="576"/>
      <c r="F3" s="585"/>
      <c r="G3" s="584" t="str">
        <f>YEAR(A2)&amp;"-"&amp;H6&amp;H7&amp;H8&amp;H9&amp;H10&amp;H11&amp;H12&amp;H13&amp;H14&amp;H15</f>
        <v>2015-ci</v>
      </c>
      <c r="H3" s="576"/>
      <c r="I3" s="576"/>
      <c r="J3" s="576"/>
      <c r="K3" s="576"/>
      <c r="L3" s="576"/>
      <c r="M3" s="576"/>
      <c r="N3" s="576"/>
      <c r="O3" s="576"/>
      <c r="P3" s="576"/>
      <c r="Q3" s="576"/>
      <c r="R3" s="576"/>
      <c r="S3" s="585"/>
      <c r="T3" s="584" t="str">
        <f>IF(DAY(T2)&lt;10,"«0" &amp; DAY(T2) &amp; "»","«" &amp; DAY(T2) &amp; "»")</f>
        <v>«31»</v>
      </c>
      <c r="U3" s="585"/>
      <c r="V3" s="584" t="str">
        <f>INDEX(V4:V15,MATCH(MONTH(T2),T4:T15,0))</f>
        <v>May</v>
      </c>
      <c r="W3" s="576"/>
      <c r="X3" s="576"/>
      <c r="Y3" s="585"/>
      <c r="Z3" s="584" t="str">
        <f>YEAR(T2)&amp;"-"&amp;AA6&amp;AA7&amp;AA8&amp;AA9&amp;AA10&amp;AA11&amp;AA12&amp;AA13&amp;AA14&amp;AA15</f>
        <v>2016-cı</v>
      </c>
      <c r="AA3" s="576"/>
      <c r="AB3" s="576"/>
      <c r="AC3" s="576"/>
      <c r="AD3" s="576"/>
      <c r="AE3" s="576"/>
      <c r="AF3" s="576"/>
      <c r="AG3" s="576"/>
      <c r="AH3" s="576"/>
      <c r="AI3" s="576"/>
      <c r="AJ3" s="576"/>
      <c r="AK3" s="576"/>
      <c r="AL3" s="585"/>
      <c r="AM3" s="584" t="str">
        <f>IF(DAY(AM2)&lt;10,"«0" &amp; DAY(AM2) &amp; "»","«" &amp; DAY(AM2) &amp; "»")</f>
        <v>«27»</v>
      </c>
      <c r="AN3" s="585"/>
      <c r="AO3" s="584" t="str">
        <f>INDEX(AO4:AO15,MATCH(MONTH(AM2),AM4:AM15,0))</f>
        <v>İyul</v>
      </c>
      <c r="AP3" s="576"/>
      <c r="AQ3" s="576"/>
      <c r="AR3" s="585"/>
      <c r="AS3" s="584" t="str">
        <f>YEAR(AM2)&amp;"-"&amp;AT6&amp;AT7&amp;AT8&amp;AT9&amp;AT10&amp;AT11&amp;AT12&amp;AT13&amp;AT14&amp;AT15</f>
        <v>2014-cü</v>
      </c>
      <c r="AT3" s="576"/>
      <c r="AU3" s="576"/>
      <c r="AV3" s="576"/>
      <c r="AW3" s="576"/>
      <c r="AX3" s="576"/>
      <c r="AY3" s="576"/>
      <c r="AZ3" s="576"/>
      <c r="BA3" s="576"/>
      <c r="BB3" s="576"/>
      <c r="BC3" s="576"/>
      <c r="BD3" s="576"/>
      <c r="BE3" s="585"/>
      <c r="BQ3" s="41" t="s">
        <v>945</v>
      </c>
      <c r="BR3" s="41">
        <v>2</v>
      </c>
    </row>
    <row r="4" spans="1:70" x14ac:dyDescent="0.2">
      <c r="A4" s="562">
        <v>1</v>
      </c>
      <c r="B4" s="563"/>
      <c r="C4" s="562" t="s">
        <v>333</v>
      </c>
      <c r="D4" s="564"/>
      <c r="E4" s="564"/>
      <c r="F4" s="563"/>
      <c r="G4" s="586" t="str">
        <f>RIGHT(YEAR(A2),1)</f>
        <v>5</v>
      </c>
      <c r="H4" s="587"/>
      <c r="I4" s="587"/>
      <c r="J4" s="587"/>
      <c r="K4" s="587"/>
      <c r="L4" s="588"/>
      <c r="M4" s="586" t="str">
        <f>TEXT(G4,"0")</f>
        <v>5</v>
      </c>
      <c r="N4" s="587"/>
      <c r="O4" s="587"/>
      <c r="P4" s="587"/>
      <c r="Q4" s="587"/>
      <c r="R4" s="587"/>
      <c r="S4" s="588"/>
      <c r="T4" s="562">
        <v>1</v>
      </c>
      <c r="U4" s="563"/>
      <c r="V4" s="562" t="s">
        <v>333</v>
      </c>
      <c r="W4" s="564"/>
      <c r="X4" s="564"/>
      <c r="Y4" s="563"/>
      <c r="Z4" s="586" t="str">
        <f>RIGHT(YEAR(T2),1)</f>
        <v>6</v>
      </c>
      <c r="AA4" s="587"/>
      <c r="AB4" s="587"/>
      <c r="AC4" s="587"/>
      <c r="AD4" s="587"/>
      <c r="AE4" s="588"/>
      <c r="AF4" s="586" t="str">
        <f>TEXT(Z4,"0")</f>
        <v>6</v>
      </c>
      <c r="AG4" s="587"/>
      <c r="AH4" s="587"/>
      <c r="AI4" s="587"/>
      <c r="AJ4" s="587"/>
      <c r="AK4" s="587"/>
      <c r="AL4" s="588"/>
      <c r="AM4" s="562">
        <v>1</v>
      </c>
      <c r="AN4" s="563"/>
      <c r="AO4" s="562" t="s">
        <v>333</v>
      </c>
      <c r="AP4" s="564"/>
      <c r="AQ4" s="564"/>
      <c r="AR4" s="563"/>
      <c r="AS4" s="586" t="str">
        <f>RIGHT(YEAR(AM2),1)</f>
        <v>4</v>
      </c>
      <c r="AT4" s="587"/>
      <c r="AU4" s="587"/>
      <c r="AV4" s="587"/>
      <c r="AW4" s="587"/>
      <c r="AX4" s="588"/>
      <c r="AY4" s="586" t="str">
        <f>TEXT(AS4,"0")</f>
        <v>4</v>
      </c>
      <c r="AZ4" s="587"/>
      <c r="BA4" s="587"/>
      <c r="BB4" s="587"/>
      <c r="BC4" s="587"/>
      <c r="BD4" s="587"/>
      <c r="BE4" s="588"/>
      <c r="BQ4" s="41" t="s">
        <v>923</v>
      </c>
      <c r="BR4" s="41">
        <v>3</v>
      </c>
    </row>
    <row r="5" spans="1:70" x14ac:dyDescent="0.2">
      <c r="A5" s="562">
        <v>2</v>
      </c>
      <c r="B5" s="563"/>
      <c r="C5" s="562" t="s">
        <v>332</v>
      </c>
      <c r="D5" s="564"/>
      <c r="E5" s="564"/>
      <c r="F5" s="563"/>
      <c r="G5" s="572" t="str">
        <f>IF(DAY(A2)&lt;10,"0" &amp; DAY(A2) &amp; ".", DAY(A2) &amp; ".") &amp; IF( MONTH(A2)&lt;10,"0" &amp;  MONTH(A2) &amp; ".",  MONTH(A2) &amp; ".") &amp; G3 &amp; " il"</f>
        <v>31.07.2015-ci il</v>
      </c>
      <c r="H5" s="573"/>
      <c r="I5" s="573"/>
      <c r="J5" s="573"/>
      <c r="K5" s="573"/>
      <c r="L5" s="573"/>
      <c r="M5" s="573"/>
      <c r="N5" s="573"/>
      <c r="O5" s="573"/>
      <c r="P5" s="573"/>
      <c r="Q5" s="573"/>
      <c r="R5" s="573"/>
      <c r="S5" s="574"/>
      <c r="T5" s="562">
        <v>2</v>
      </c>
      <c r="U5" s="563"/>
      <c r="V5" s="562" t="s">
        <v>332</v>
      </c>
      <c r="W5" s="564"/>
      <c r="X5" s="564"/>
      <c r="Y5" s="563"/>
      <c r="Z5" s="572" t="str">
        <f>IF(DAY(T2)&lt;10,"0" &amp; DAY(T2) &amp; ".", DAY(T2) &amp; ".") &amp; IF( MONTH(T2)&lt;10,"0" &amp;  MONTH(T2) &amp; ".",  MONTH(T2) &amp; ".") &amp; Z3 &amp; " il"</f>
        <v>31.05.2016-cı il</v>
      </c>
      <c r="AA5" s="573"/>
      <c r="AB5" s="573"/>
      <c r="AC5" s="573"/>
      <c r="AD5" s="573"/>
      <c r="AE5" s="573"/>
      <c r="AF5" s="573"/>
      <c r="AG5" s="573"/>
      <c r="AH5" s="573"/>
      <c r="AI5" s="573"/>
      <c r="AJ5" s="573"/>
      <c r="AK5" s="573"/>
      <c r="AL5" s="574"/>
      <c r="AM5" s="562">
        <v>2</v>
      </c>
      <c r="AN5" s="563"/>
      <c r="AO5" s="562" t="s">
        <v>332</v>
      </c>
      <c r="AP5" s="564"/>
      <c r="AQ5" s="564"/>
      <c r="AR5" s="563"/>
      <c r="AS5" s="572" t="str">
        <f>IF(DAY(AM2)&lt;10,"0" &amp; DAY(AM2) &amp; ".", DAY(AM2) &amp; ".") &amp; IF( MONTH(AM2)&lt;10,"0" &amp;  MONTH(AM2) &amp; ".",  MONTH(AM2) &amp; ".") &amp; AS3 &amp; " il"</f>
        <v>27.07.2014-cü il</v>
      </c>
      <c r="AT5" s="573"/>
      <c r="AU5" s="573"/>
      <c r="AV5" s="573"/>
      <c r="AW5" s="573"/>
      <c r="AX5" s="573"/>
      <c r="AY5" s="573"/>
      <c r="AZ5" s="573"/>
      <c r="BA5" s="573"/>
      <c r="BB5" s="573"/>
      <c r="BC5" s="573"/>
      <c r="BD5" s="573"/>
      <c r="BE5" s="574"/>
      <c r="BQ5" s="41" t="s">
        <v>944</v>
      </c>
      <c r="BR5" s="41">
        <v>4</v>
      </c>
    </row>
    <row r="6" spans="1:70" x14ac:dyDescent="0.2">
      <c r="A6" s="562">
        <v>3</v>
      </c>
      <c r="B6" s="563"/>
      <c r="C6" s="562" t="s">
        <v>331</v>
      </c>
      <c r="D6" s="564"/>
      <c r="E6" s="564"/>
      <c r="F6" s="563"/>
      <c r="G6" s="43" t="s">
        <v>330</v>
      </c>
      <c r="H6" s="44" t="str">
        <f>IF(G6=M4,I6,"")</f>
        <v/>
      </c>
      <c r="I6" s="44" t="str">
        <f>M6&amp;M7&amp;M8&amp;M9&amp;M10&amp;M11&amp;M12&amp;M13&amp;M14&amp;M15&amp;R6&amp;R7&amp;R8&amp;R9&amp;R10&amp;R11&amp;R12&amp;R13&amp;R14&amp;R15</f>
        <v/>
      </c>
      <c r="J6" s="575">
        <v>1910</v>
      </c>
      <c r="K6" s="576"/>
      <c r="L6" s="577"/>
      <c r="M6" s="44" t="str">
        <f>IF(J6=YEAR(A2),N6,"")</f>
        <v/>
      </c>
      <c r="N6" s="44" t="s">
        <v>310</v>
      </c>
      <c r="O6" s="575">
        <v>2010</v>
      </c>
      <c r="P6" s="576"/>
      <c r="Q6" s="577"/>
      <c r="R6" s="44" t="str">
        <f>IF(O6=YEAR(A2),S6,"")</f>
        <v/>
      </c>
      <c r="S6" s="45" t="s">
        <v>310</v>
      </c>
      <c r="T6" s="562">
        <v>3</v>
      </c>
      <c r="U6" s="563"/>
      <c r="V6" s="562" t="s">
        <v>331</v>
      </c>
      <c r="W6" s="564"/>
      <c r="X6" s="564"/>
      <c r="Y6" s="563"/>
      <c r="Z6" s="43" t="s">
        <v>330</v>
      </c>
      <c r="AA6" s="44" t="str">
        <f>IF(Z6=AF4,AB6,"")</f>
        <v/>
      </c>
      <c r="AB6" s="44" t="str">
        <f>AF6&amp;AF7&amp;AF8&amp;AF9&amp;AF10&amp;AF11&amp;AF12&amp;AF13&amp;AF14&amp;AF15&amp;AK6&amp;AK7&amp;AK8&amp;AK9&amp;AK10&amp;AK11&amp;AK12&amp;AK13&amp;AK14&amp;AK15</f>
        <v/>
      </c>
      <c r="AC6" s="575">
        <v>1910</v>
      </c>
      <c r="AD6" s="576"/>
      <c r="AE6" s="577"/>
      <c r="AF6" s="44" t="str">
        <f>IF(AC6=YEAR(T2),AG6,"")</f>
        <v/>
      </c>
      <c r="AG6" s="44" t="s">
        <v>310</v>
      </c>
      <c r="AH6" s="575">
        <v>2010</v>
      </c>
      <c r="AI6" s="576"/>
      <c r="AJ6" s="577"/>
      <c r="AK6" s="44" t="str">
        <f>IF(AH6=YEAR(T2),AL6,"")</f>
        <v/>
      </c>
      <c r="AL6" s="45" t="s">
        <v>310</v>
      </c>
      <c r="AM6" s="562">
        <v>3</v>
      </c>
      <c r="AN6" s="563"/>
      <c r="AO6" s="562" t="s">
        <v>331</v>
      </c>
      <c r="AP6" s="564"/>
      <c r="AQ6" s="564"/>
      <c r="AR6" s="563"/>
      <c r="AS6" s="43" t="s">
        <v>330</v>
      </c>
      <c r="AT6" s="44" t="str">
        <f>IF(AS6=AY4,AU6,"")</f>
        <v/>
      </c>
      <c r="AU6" s="44" t="str">
        <f>AY6&amp;AY7&amp;AY8&amp;AY9&amp;AY10&amp;AY11&amp;AY12&amp;AY13&amp;AY14&amp;AY15&amp;BD6&amp;BD7&amp;BD8&amp;BD9&amp;BD10&amp;BD11&amp;BD12&amp;BD13&amp;BD14&amp;BD15</f>
        <v/>
      </c>
      <c r="AV6" s="575">
        <v>1910</v>
      </c>
      <c r="AW6" s="576"/>
      <c r="AX6" s="577"/>
      <c r="AY6" s="44" t="str">
        <f>IF(AV6=YEAR(AM2),AZ6,"")</f>
        <v/>
      </c>
      <c r="AZ6" s="44" t="s">
        <v>310</v>
      </c>
      <c r="BA6" s="575">
        <v>2010</v>
      </c>
      <c r="BB6" s="576"/>
      <c r="BC6" s="577"/>
      <c r="BD6" s="44" t="str">
        <f>IF(BA6=YEAR(AM2),BE6,"")</f>
        <v/>
      </c>
      <c r="BE6" s="45" t="s">
        <v>310</v>
      </c>
    </row>
    <row r="7" spans="1:70" x14ac:dyDescent="0.2">
      <c r="A7" s="562">
        <v>4</v>
      </c>
      <c r="B7" s="563"/>
      <c r="C7" s="562" t="s">
        <v>329</v>
      </c>
      <c r="D7" s="564"/>
      <c r="E7" s="564"/>
      <c r="F7" s="563"/>
      <c r="G7" s="43" t="s">
        <v>328</v>
      </c>
      <c r="H7" s="44" t="str">
        <f>IF(G7=M4,I7,"")</f>
        <v/>
      </c>
      <c r="I7" s="44" t="s">
        <v>309</v>
      </c>
      <c r="J7" s="565">
        <v>1920</v>
      </c>
      <c r="K7" s="564"/>
      <c r="L7" s="566"/>
      <c r="M7" s="44" t="str">
        <f>IF(J7=YEAR(A2),N7,"")</f>
        <v/>
      </c>
      <c r="N7" s="44" t="s">
        <v>309</v>
      </c>
      <c r="O7" s="565">
        <v>2020</v>
      </c>
      <c r="P7" s="564"/>
      <c r="Q7" s="566"/>
      <c r="R7" s="44" t="str">
        <f>IF(O7=YEAR(A2),S7,"")</f>
        <v/>
      </c>
      <c r="S7" s="45" t="s">
        <v>309</v>
      </c>
      <c r="T7" s="562">
        <v>4</v>
      </c>
      <c r="U7" s="563"/>
      <c r="V7" s="562" t="s">
        <v>329</v>
      </c>
      <c r="W7" s="564"/>
      <c r="X7" s="564"/>
      <c r="Y7" s="563"/>
      <c r="Z7" s="43" t="s">
        <v>328</v>
      </c>
      <c r="AA7" s="44" t="str">
        <f>IF(Z7=AF4,AB7,"")</f>
        <v/>
      </c>
      <c r="AB7" s="44" t="s">
        <v>309</v>
      </c>
      <c r="AC7" s="565">
        <v>1920</v>
      </c>
      <c r="AD7" s="564"/>
      <c r="AE7" s="566"/>
      <c r="AF7" s="44" t="str">
        <f>IF(AC7=YEAR(T2),AG7,"")</f>
        <v/>
      </c>
      <c r="AG7" s="44" t="s">
        <v>309</v>
      </c>
      <c r="AH7" s="565">
        <v>2020</v>
      </c>
      <c r="AI7" s="564"/>
      <c r="AJ7" s="566"/>
      <c r="AK7" s="44" t="str">
        <f>IF(AH7=YEAR(T2),AL7,"")</f>
        <v/>
      </c>
      <c r="AL7" s="45" t="s">
        <v>309</v>
      </c>
      <c r="AM7" s="562">
        <v>4</v>
      </c>
      <c r="AN7" s="563"/>
      <c r="AO7" s="562" t="s">
        <v>329</v>
      </c>
      <c r="AP7" s="564"/>
      <c r="AQ7" s="564"/>
      <c r="AR7" s="563"/>
      <c r="AS7" s="43" t="s">
        <v>328</v>
      </c>
      <c r="AT7" s="44" t="str">
        <f>IF(AS7=AY4,AU7,"")</f>
        <v/>
      </c>
      <c r="AU7" s="44" t="s">
        <v>309</v>
      </c>
      <c r="AV7" s="565">
        <v>1920</v>
      </c>
      <c r="AW7" s="564"/>
      <c r="AX7" s="566"/>
      <c r="AY7" s="44" t="str">
        <f>IF(AV7=YEAR(AM2),AZ7,"")</f>
        <v/>
      </c>
      <c r="AZ7" s="44" t="s">
        <v>309</v>
      </c>
      <c r="BA7" s="565">
        <v>2020</v>
      </c>
      <c r="BB7" s="564"/>
      <c r="BC7" s="566"/>
      <c r="BD7" s="44" t="str">
        <f>IF(BA7=YEAR(AM2),BE7,"")</f>
        <v/>
      </c>
      <c r="BE7" s="45" t="s">
        <v>309</v>
      </c>
    </row>
    <row r="8" spans="1:70" x14ac:dyDescent="0.2">
      <c r="A8" s="562">
        <v>5</v>
      </c>
      <c r="B8" s="563"/>
      <c r="C8" s="562" t="s">
        <v>327</v>
      </c>
      <c r="D8" s="564"/>
      <c r="E8" s="564"/>
      <c r="F8" s="563"/>
      <c r="G8" s="43" t="s">
        <v>326</v>
      </c>
      <c r="H8" s="44" t="str">
        <f>IF(G8=M4,I8,"")</f>
        <v/>
      </c>
      <c r="I8" s="44" t="s">
        <v>309</v>
      </c>
      <c r="J8" s="565">
        <v>1930</v>
      </c>
      <c r="K8" s="564"/>
      <c r="L8" s="566"/>
      <c r="M8" s="44" t="str">
        <f>IF(J8=YEAR(A2),N8,"")</f>
        <v/>
      </c>
      <c r="N8" s="44" t="s">
        <v>310</v>
      </c>
      <c r="O8" s="565">
        <v>2030</v>
      </c>
      <c r="P8" s="564"/>
      <c r="Q8" s="566"/>
      <c r="R8" s="44" t="str">
        <f>IF(O8=YEAR(A2),S8,"")</f>
        <v/>
      </c>
      <c r="S8" s="45" t="s">
        <v>310</v>
      </c>
      <c r="T8" s="562">
        <v>5</v>
      </c>
      <c r="U8" s="563"/>
      <c r="V8" s="562" t="s">
        <v>327</v>
      </c>
      <c r="W8" s="564"/>
      <c r="X8" s="564"/>
      <c r="Y8" s="563"/>
      <c r="Z8" s="43" t="s">
        <v>326</v>
      </c>
      <c r="AA8" s="44" t="str">
        <f>IF(Z8=AF4,AB8,"")</f>
        <v/>
      </c>
      <c r="AB8" s="44" t="s">
        <v>309</v>
      </c>
      <c r="AC8" s="565">
        <v>1930</v>
      </c>
      <c r="AD8" s="564"/>
      <c r="AE8" s="566"/>
      <c r="AF8" s="44" t="str">
        <f>IF(AC8=YEAR(T2),AG8,"")</f>
        <v/>
      </c>
      <c r="AG8" s="44" t="s">
        <v>310</v>
      </c>
      <c r="AH8" s="565">
        <v>2030</v>
      </c>
      <c r="AI8" s="564"/>
      <c r="AJ8" s="566"/>
      <c r="AK8" s="44" t="str">
        <f>IF(AH8=YEAR(T2),AL8,"")</f>
        <v/>
      </c>
      <c r="AL8" s="45" t="s">
        <v>310</v>
      </c>
      <c r="AM8" s="562">
        <v>5</v>
      </c>
      <c r="AN8" s="563"/>
      <c r="AO8" s="562" t="s">
        <v>327</v>
      </c>
      <c r="AP8" s="564"/>
      <c r="AQ8" s="564"/>
      <c r="AR8" s="563"/>
      <c r="AS8" s="43" t="s">
        <v>326</v>
      </c>
      <c r="AT8" s="44" t="str">
        <f>IF(AS8=AY4,AU8,"")</f>
        <v/>
      </c>
      <c r="AU8" s="44" t="s">
        <v>309</v>
      </c>
      <c r="AV8" s="565">
        <v>1930</v>
      </c>
      <c r="AW8" s="564"/>
      <c r="AX8" s="566"/>
      <c r="AY8" s="44" t="str">
        <f>IF(AV8=YEAR(AM2),AZ8,"")</f>
        <v/>
      </c>
      <c r="AZ8" s="44" t="s">
        <v>310</v>
      </c>
      <c r="BA8" s="565">
        <v>2030</v>
      </c>
      <c r="BB8" s="564"/>
      <c r="BC8" s="566"/>
      <c r="BD8" s="44" t="str">
        <f>IF(BA8=YEAR(AM2),BE8,"")</f>
        <v/>
      </c>
      <c r="BE8" s="45" t="s">
        <v>310</v>
      </c>
    </row>
    <row r="9" spans="1:70" x14ac:dyDescent="0.2">
      <c r="A9" s="562">
        <v>6</v>
      </c>
      <c r="B9" s="563"/>
      <c r="C9" s="562" t="s">
        <v>325</v>
      </c>
      <c r="D9" s="564"/>
      <c r="E9" s="564"/>
      <c r="F9" s="563"/>
      <c r="G9" s="43" t="s">
        <v>324</v>
      </c>
      <c r="H9" s="44" t="str">
        <f>IF(G9=M4,I9,"")</f>
        <v/>
      </c>
      <c r="I9" s="44" t="s">
        <v>308</v>
      </c>
      <c r="J9" s="565">
        <v>1940</v>
      </c>
      <c r="K9" s="564"/>
      <c r="L9" s="566"/>
      <c r="M9" s="44" t="str">
        <f>IF(J9=YEAR(A2),N9,"")</f>
        <v/>
      </c>
      <c r="N9" s="44" t="s">
        <v>313</v>
      </c>
      <c r="O9" s="565">
        <v>2040</v>
      </c>
      <c r="P9" s="564"/>
      <c r="Q9" s="566"/>
      <c r="R9" s="44" t="str">
        <f>IF(O9=YEAR(A2),S9,"")</f>
        <v/>
      </c>
      <c r="S9" s="45" t="s">
        <v>313</v>
      </c>
      <c r="T9" s="562">
        <v>6</v>
      </c>
      <c r="U9" s="563"/>
      <c r="V9" s="562" t="s">
        <v>325</v>
      </c>
      <c r="W9" s="564"/>
      <c r="X9" s="564"/>
      <c r="Y9" s="563"/>
      <c r="Z9" s="43" t="s">
        <v>324</v>
      </c>
      <c r="AA9" s="44" t="str">
        <f>IF(Z9=AF4,AB9,"")</f>
        <v/>
      </c>
      <c r="AB9" s="44" t="s">
        <v>308</v>
      </c>
      <c r="AC9" s="565">
        <v>1940</v>
      </c>
      <c r="AD9" s="564"/>
      <c r="AE9" s="566"/>
      <c r="AF9" s="44" t="str">
        <f>IF(AC9=YEAR(T2),AG9,"")</f>
        <v/>
      </c>
      <c r="AG9" s="44" t="s">
        <v>313</v>
      </c>
      <c r="AH9" s="565">
        <v>2040</v>
      </c>
      <c r="AI9" s="564"/>
      <c r="AJ9" s="566"/>
      <c r="AK9" s="44" t="str">
        <f>IF(AH9=YEAR(T2),AL9,"")</f>
        <v/>
      </c>
      <c r="AL9" s="45" t="s">
        <v>313</v>
      </c>
      <c r="AM9" s="562">
        <v>6</v>
      </c>
      <c r="AN9" s="563"/>
      <c r="AO9" s="562" t="s">
        <v>325</v>
      </c>
      <c r="AP9" s="564"/>
      <c r="AQ9" s="564"/>
      <c r="AR9" s="563"/>
      <c r="AS9" s="43" t="s">
        <v>324</v>
      </c>
      <c r="AT9" s="44" t="str">
        <f>IF(AS9=AY4,AU9,"")</f>
        <v/>
      </c>
      <c r="AU9" s="44" t="s">
        <v>308</v>
      </c>
      <c r="AV9" s="565">
        <v>1940</v>
      </c>
      <c r="AW9" s="564"/>
      <c r="AX9" s="566"/>
      <c r="AY9" s="44" t="str">
        <f>IF(AV9=YEAR(AM2),AZ9,"")</f>
        <v/>
      </c>
      <c r="AZ9" s="44" t="s">
        <v>313</v>
      </c>
      <c r="BA9" s="565">
        <v>2040</v>
      </c>
      <c r="BB9" s="564"/>
      <c r="BC9" s="566"/>
      <c r="BD9" s="44" t="str">
        <f>IF(BA9=YEAR(AM2),BE9,"")</f>
        <v/>
      </c>
      <c r="BE9" s="45" t="s">
        <v>313</v>
      </c>
    </row>
    <row r="10" spans="1:70" x14ac:dyDescent="0.2">
      <c r="A10" s="562">
        <v>7</v>
      </c>
      <c r="B10" s="563"/>
      <c r="C10" s="562" t="s">
        <v>323</v>
      </c>
      <c r="D10" s="564"/>
      <c r="E10" s="564"/>
      <c r="F10" s="563"/>
      <c r="G10" s="43" t="s">
        <v>322</v>
      </c>
      <c r="H10" s="44" t="str">
        <f>IF(G10=M4,I10,"")</f>
        <v/>
      </c>
      <c r="I10" s="44" t="s">
        <v>308</v>
      </c>
      <c r="J10" s="565">
        <v>1950</v>
      </c>
      <c r="K10" s="564"/>
      <c r="L10" s="566"/>
      <c r="M10" s="44" t="str">
        <f>IF(J10=YEAR(A2),N10,"")</f>
        <v/>
      </c>
      <c r="N10" s="44" t="s">
        <v>309</v>
      </c>
      <c r="O10" s="565">
        <v>2050</v>
      </c>
      <c r="P10" s="564"/>
      <c r="Q10" s="566"/>
      <c r="R10" s="44" t="str">
        <f>IF(O10=YEAR(A2),S10,"")</f>
        <v/>
      </c>
      <c r="S10" s="45" t="s">
        <v>309</v>
      </c>
      <c r="T10" s="562">
        <v>7</v>
      </c>
      <c r="U10" s="563"/>
      <c r="V10" s="562" t="s">
        <v>323</v>
      </c>
      <c r="W10" s="564"/>
      <c r="X10" s="564"/>
      <c r="Y10" s="563"/>
      <c r="Z10" s="43" t="s">
        <v>322</v>
      </c>
      <c r="AA10" s="44" t="str">
        <f>IF(Z10=AF4,AB10,"")</f>
        <v/>
      </c>
      <c r="AB10" s="44" t="s">
        <v>308</v>
      </c>
      <c r="AC10" s="565">
        <v>1950</v>
      </c>
      <c r="AD10" s="564"/>
      <c r="AE10" s="566"/>
      <c r="AF10" s="44" t="str">
        <f>IF(AC10=YEAR(T2),AG10,"")</f>
        <v/>
      </c>
      <c r="AG10" s="44" t="s">
        <v>309</v>
      </c>
      <c r="AH10" s="565">
        <v>2050</v>
      </c>
      <c r="AI10" s="564"/>
      <c r="AJ10" s="566"/>
      <c r="AK10" s="44" t="str">
        <f>IF(AH10=YEAR(T2),AL10,"")</f>
        <v/>
      </c>
      <c r="AL10" s="45" t="s">
        <v>309</v>
      </c>
      <c r="AM10" s="562">
        <v>7</v>
      </c>
      <c r="AN10" s="563"/>
      <c r="AO10" s="562" t="s">
        <v>323</v>
      </c>
      <c r="AP10" s="564"/>
      <c r="AQ10" s="564"/>
      <c r="AR10" s="563"/>
      <c r="AS10" s="43" t="s">
        <v>322</v>
      </c>
      <c r="AT10" s="44" t="str">
        <f>IF(AS10=AY4,AU10,"")</f>
        <v>cü</v>
      </c>
      <c r="AU10" s="44" t="s">
        <v>308</v>
      </c>
      <c r="AV10" s="565">
        <v>1950</v>
      </c>
      <c r="AW10" s="564"/>
      <c r="AX10" s="566"/>
      <c r="AY10" s="44" t="str">
        <f>IF(AV10=YEAR(AM2),AZ10,"")</f>
        <v/>
      </c>
      <c r="AZ10" s="44" t="s">
        <v>309</v>
      </c>
      <c r="BA10" s="565">
        <v>2050</v>
      </c>
      <c r="BB10" s="564"/>
      <c r="BC10" s="566"/>
      <c r="BD10" s="44" t="str">
        <f>IF(BA10=YEAR(AM2),BE10,"")</f>
        <v/>
      </c>
      <c r="BE10" s="45" t="s">
        <v>309</v>
      </c>
    </row>
    <row r="11" spans="1:70" x14ac:dyDescent="0.2">
      <c r="A11" s="562">
        <v>8</v>
      </c>
      <c r="B11" s="563"/>
      <c r="C11" s="562" t="s">
        <v>321</v>
      </c>
      <c r="D11" s="564"/>
      <c r="E11" s="564"/>
      <c r="F11" s="563"/>
      <c r="G11" s="43" t="s">
        <v>320</v>
      </c>
      <c r="H11" s="44" t="str">
        <f>IF(G11=M4,I11,"")</f>
        <v>ci</v>
      </c>
      <c r="I11" s="44" t="s">
        <v>309</v>
      </c>
      <c r="J11" s="565">
        <v>1960</v>
      </c>
      <c r="K11" s="564"/>
      <c r="L11" s="566"/>
      <c r="M11" s="44" t="str">
        <f>IF(J11=YEAR(A2),N11,"")</f>
        <v/>
      </c>
      <c r="N11" s="44" t="s">
        <v>313</v>
      </c>
      <c r="O11" s="565">
        <v>2060</v>
      </c>
      <c r="P11" s="564"/>
      <c r="Q11" s="566"/>
      <c r="R11" s="44" t="str">
        <f>IF(O11=YEAR(A2),S11,"")</f>
        <v/>
      </c>
      <c r="S11" s="45" t="s">
        <v>313</v>
      </c>
      <c r="T11" s="562">
        <v>8</v>
      </c>
      <c r="U11" s="563"/>
      <c r="V11" s="562" t="s">
        <v>321</v>
      </c>
      <c r="W11" s="564"/>
      <c r="X11" s="564"/>
      <c r="Y11" s="563"/>
      <c r="Z11" s="43" t="s">
        <v>320</v>
      </c>
      <c r="AA11" s="44" t="str">
        <f>IF(Z11=AF4,AB11,"")</f>
        <v/>
      </c>
      <c r="AB11" s="44" t="s">
        <v>309</v>
      </c>
      <c r="AC11" s="565">
        <v>1960</v>
      </c>
      <c r="AD11" s="564"/>
      <c r="AE11" s="566"/>
      <c r="AF11" s="44" t="str">
        <f>IF(AC11=YEAR(T2),AG11,"")</f>
        <v/>
      </c>
      <c r="AG11" s="44" t="s">
        <v>313</v>
      </c>
      <c r="AH11" s="565">
        <v>2060</v>
      </c>
      <c r="AI11" s="564"/>
      <c r="AJ11" s="566"/>
      <c r="AK11" s="44" t="str">
        <f>IF(AH11=YEAR(T2),AL11,"")</f>
        <v/>
      </c>
      <c r="AL11" s="45" t="s">
        <v>313</v>
      </c>
      <c r="AM11" s="562">
        <v>8</v>
      </c>
      <c r="AN11" s="563"/>
      <c r="AO11" s="562" t="s">
        <v>321</v>
      </c>
      <c r="AP11" s="564"/>
      <c r="AQ11" s="564"/>
      <c r="AR11" s="563"/>
      <c r="AS11" s="43" t="s">
        <v>320</v>
      </c>
      <c r="AT11" s="44" t="str">
        <f>IF(AS11=AY4,AU11,"")</f>
        <v/>
      </c>
      <c r="AU11" s="44" t="s">
        <v>309</v>
      </c>
      <c r="AV11" s="565">
        <v>1960</v>
      </c>
      <c r="AW11" s="564"/>
      <c r="AX11" s="566"/>
      <c r="AY11" s="44" t="str">
        <f>IF(AV11=YEAR(AM2),AZ11,"")</f>
        <v/>
      </c>
      <c r="AZ11" s="44" t="s">
        <v>313</v>
      </c>
      <c r="BA11" s="565">
        <v>2060</v>
      </c>
      <c r="BB11" s="564"/>
      <c r="BC11" s="566"/>
      <c r="BD11" s="44" t="str">
        <f>IF(BA11=YEAR(AM2),BE11,"")</f>
        <v/>
      </c>
      <c r="BE11" s="45" t="s">
        <v>313</v>
      </c>
    </row>
    <row r="12" spans="1:70" x14ac:dyDescent="0.2">
      <c r="A12" s="562">
        <v>9</v>
      </c>
      <c r="B12" s="563"/>
      <c r="C12" s="562" t="s">
        <v>319</v>
      </c>
      <c r="D12" s="564"/>
      <c r="E12" s="564"/>
      <c r="F12" s="563"/>
      <c r="G12" s="43" t="s">
        <v>318</v>
      </c>
      <c r="H12" s="44" t="str">
        <f>IF(G12=M4,I12,"")</f>
        <v/>
      </c>
      <c r="I12" s="44" t="s">
        <v>313</v>
      </c>
      <c r="J12" s="565">
        <v>1970</v>
      </c>
      <c r="K12" s="564"/>
      <c r="L12" s="566"/>
      <c r="M12" s="44" t="str">
        <f>IF(J12=YEAR(A2),N12,"")</f>
        <v/>
      </c>
      <c r="N12" s="44" t="s">
        <v>309</v>
      </c>
      <c r="O12" s="565">
        <v>2070</v>
      </c>
      <c r="P12" s="564"/>
      <c r="Q12" s="566"/>
      <c r="R12" s="44" t="str">
        <f>IF(O12=YEAR(A2),S12,"")</f>
        <v/>
      </c>
      <c r="S12" s="45" t="s">
        <v>309</v>
      </c>
      <c r="T12" s="562">
        <v>9</v>
      </c>
      <c r="U12" s="563"/>
      <c r="V12" s="562" t="s">
        <v>319</v>
      </c>
      <c r="W12" s="564"/>
      <c r="X12" s="564"/>
      <c r="Y12" s="563"/>
      <c r="Z12" s="43" t="s">
        <v>318</v>
      </c>
      <c r="AA12" s="44" t="str">
        <f>IF(Z12=AF4,AB12,"")</f>
        <v>cı</v>
      </c>
      <c r="AB12" s="44" t="s">
        <v>313</v>
      </c>
      <c r="AC12" s="565">
        <v>1970</v>
      </c>
      <c r="AD12" s="564"/>
      <c r="AE12" s="566"/>
      <c r="AF12" s="44" t="str">
        <f>IF(AC12=YEAR(T2),AG12,"")</f>
        <v/>
      </c>
      <c r="AG12" s="44" t="s">
        <v>309</v>
      </c>
      <c r="AH12" s="565">
        <v>2070</v>
      </c>
      <c r="AI12" s="564"/>
      <c r="AJ12" s="566"/>
      <c r="AK12" s="44" t="str">
        <f>IF(AH12=YEAR(T2),AL12,"")</f>
        <v/>
      </c>
      <c r="AL12" s="45" t="s">
        <v>309</v>
      </c>
      <c r="AM12" s="562">
        <v>9</v>
      </c>
      <c r="AN12" s="563"/>
      <c r="AO12" s="562" t="s">
        <v>319</v>
      </c>
      <c r="AP12" s="564"/>
      <c r="AQ12" s="564"/>
      <c r="AR12" s="563"/>
      <c r="AS12" s="43" t="s">
        <v>318</v>
      </c>
      <c r="AT12" s="44" t="str">
        <f>IF(AS12=AY4,AU12,"")</f>
        <v/>
      </c>
      <c r="AU12" s="44" t="s">
        <v>313</v>
      </c>
      <c r="AV12" s="565">
        <v>1970</v>
      </c>
      <c r="AW12" s="564"/>
      <c r="AX12" s="566"/>
      <c r="AY12" s="44" t="str">
        <f>IF(AV12=YEAR(AM2),AZ12,"")</f>
        <v/>
      </c>
      <c r="AZ12" s="44" t="s">
        <v>309</v>
      </c>
      <c r="BA12" s="565">
        <v>2070</v>
      </c>
      <c r="BB12" s="564"/>
      <c r="BC12" s="566"/>
      <c r="BD12" s="44" t="str">
        <f>IF(BA12=YEAR(AM2),BE12,"")</f>
        <v/>
      </c>
      <c r="BE12" s="45" t="s">
        <v>309</v>
      </c>
    </row>
    <row r="13" spans="1:70" x14ac:dyDescent="0.2">
      <c r="A13" s="562">
        <v>10</v>
      </c>
      <c r="B13" s="563"/>
      <c r="C13" s="562" t="s">
        <v>317</v>
      </c>
      <c r="D13" s="564"/>
      <c r="E13" s="564"/>
      <c r="F13" s="563"/>
      <c r="G13" s="43" t="s">
        <v>316</v>
      </c>
      <c r="H13" s="44" t="str">
        <f>IF(G13=M4,I13,"")</f>
        <v/>
      </c>
      <c r="I13" s="44" t="s">
        <v>309</v>
      </c>
      <c r="J13" s="565">
        <v>1980</v>
      </c>
      <c r="K13" s="564"/>
      <c r="L13" s="566"/>
      <c r="M13" s="44" t="str">
        <f>IF(J13=YEAR(A2),N13,"")</f>
        <v/>
      </c>
      <c r="N13" s="44" t="s">
        <v>309</v>
      </c>
      <c r="O13" s="565">
        <v>2080</v>
      </c>
      <c r="P13" s="564"/>
      <c r="Q13" s="566"/>
      <c r="R13" s="44" t="str">
        <f>IF(O13=YEAR(A2),S13,"")</f>
        <v/>
      </c>
      <c r="S13" s="45" t="s">
        <v>309</v>
      </c>
      <c r="T13" s="562">
        <v>10</v>
      </c>
      <c r="U13" s="563"/>
      <c r="V13" s="562" t="s">
        <v>317</v>
      </c>
      <c r="W13" s="564"/>
      <c r="X13" s="564"/>
      <c r="Y13" s="563"/>
      <c r="Z13" s="43" t="s">
        <v>316</v>
      </c>
      <c r="AA13" s="44" t="str">
        <f>IF(Z13=AF4,AB13,"")</f>
        <v/>
      </c>
      <c r="AB13" s="44" t="s">
        <v>309</v>
      </c>
      <c r="AC13" s="565">
        <v>1980</v>
      </c>
      <c r="AD13" s="564"/>
      <c r="AE13" s="566"/>
      <c r="AF13" s="44" t="str">
        <f>IF(AC13=YEAR(T2),AG13,"")</f>
        <v/>
      </c>
      <c r="AG13" s="44" t="s">
        <v>309</v>
      </c>
      <c r="AH13" s="565">
        <v>2080</v>
      </c>
      <c r="AI13" s="564"/>
      <c r="AJ13" s="566"/>
      <c r="AK13" s="44" t="str">
        <f>IF(AH13=YEAR(T2),AL13,"")</f>
        <v/>
      </c>
      <c r="AL13" s="45" t="s">
        <v>309</v>
      </c>
      <c r="AM13" s="562">
        <v>10</v>
      </c>
      <c r="AN13" s="563"/>
      <c r="AO13" s="562" t="s">
        <v>317</v>
      </c>
      <c r="AP13" s="564"/>
      <c r="AQ13" s="564"/>
      <c r="AR13" s="563"/>
      <c r="AS13" s="43" t="s">
        <v>316</v>
      </c>
      <c r="AT13" s="44" t="str">
        <f>IF(AS13=AY4,AU13,"")</f>
        <v/>
      </c>
      <c r="AU13" s="44" t="s">
        <v>309</v>
      </c>
      <c r="AV13" s="565">
        <v>1980</v>
      </c>
      <c r="AW13" s="564"/>
      <c r="AX13" s="566"/>
      <c r="AY13" s="44" t="str">
        <f>IF(AV13=YEAR(AM2),AZ13,"")</f>
        <v/>
      </c>
      <c r="AZ13" s="44" t="s">
        <v>309</v>
      </c>
      <c r="BA13" s="565">
        <v>2080</v>
      </c>
      <c r="BB13" s="564"/>
      <c r="BC13" s="566"/>
      <c r="BD13" s="44" t="str">
        <f>IF(BA13=YEAR(AM2),BE13,"")</f>
        <v/>
      </c>
      <c r="BE13" s="45" t="s">
        <v>309</v>
      </c>
    </row>
    <row r="14" spans="1:70" x14ac:dyDescent="0.2">
      <c r="A14" s="562">
        <v>11</v>
      </c>
      <c r="B14" s="563"/>
      <c r="C14" s="562" t="s">
        <v>315</v>
      </c>
      <c r="D14" s="564"/>
      <c r="E14" s="564"/>
      <c r="F14" s="563"/>
      <c r="G14" s="43" t="s">
        <v>314</v>
      </c>
      <c r="H14" s="44" t="str">
        <f>IF(G14=M4,I14,"")</f>
        <v/>
      </c>
      <c r="I14" s="44" t="s">
        <v>309</v>
      </c>
      <c r="J14" s="565">
        <v>1990</v>
      </c>
      <c r="K14" s="564"/>
      <c r="L14" s="566"/>
      <c r="M14" s="44" t="str">
        <f>IF(J14=YEAR(A2),N14,"")</f>
        <v/>
      </c>
      <c r="N14" s="44" t="s">
        <v>313</v>
      </c>
      <c r="O14" s="565">
        <v>2090</v>
      </c>
      <c r="P14" s="564"/>
      <c r="Q14" s="566"/>
      <c r="R14" s="44" t="str">
        <f>IF(O14=YEAR(A2),S14,"")</f>
        <v/>
      </c>
      <c r="S14" s="45" t="s">
        <v>313</v>
      </c>
      <c r="T14" s="562">
        <v>11</v>
      </c>
      <c r="U14" s="563"/>
      <c r="V14" s="562" t="s">
        <v>315</v>
      </c>
      <c r="W14" s="564"/>
      <c r="X14" s="564"/>
      <c r="Y14" s="563"/>
      <c r="Z14" s="43" t="s">
        <v>314</v>
      </c>
      <c r="AA14" s="44" t="str">
        <f>IF(Z14=AF4,AB14,"")</f>
        <v/>
      </c>
      <c r="AB14" s="44" t="s">
        <v>309</v>
      </c>
      <c r="AC14" s="565">
        <v>1990</v>
      </c>
      <c r="AD14" s="564"/>
      <c r="AE14" s="566"/>
      <c r="AF14" s="44" t="str">
        <f>IF(AC14=YEAR(T2),AG14,"")</f>
        <v/>
      </c>
      <c r="AG14" s="44" t="s">
        <v>313</v>
      </c>
      <c r="AH14" s="565">
        <v>2090</v>
      </c>
      <c r="AI14" s="564"/>
      <c r="AJ14" s="566"/>
      <c r="AK14" s="44" t="str">
        <f>IF(AH14=YEAR(T2),AL14,"")</f>
        <v/>
      </c>
      <c r="AL14" s="45" t="s">
        <v>313</v>
      </c>
      <c r="AM14" s="562">
        <v>11</v>
      </c>
      <c r="AN14" s="563"/>
      <c r="AO14" s="562" t="s">
        <v>315</v>
      </c>
      <c r="AP14" s="564"/>
      <c r="AQ14" s="564"/>
      <c r="AR14" s="563"/>
      <c r="AS14" s="43" t="s">
        <v>314</v>
      </c>
      <c r="AT14" s="44" t="str">
        <f>IF(AS14=AY4,AU14,"")</f>
        <v/>
      </c>
      <c r="AU14" s="44" t="s">
        <v>309</v>
      </c>
      <c r="AV14" s="565">
        <v>1990</v>
      </c>
      <c r="AW14" s="564"/>
      <c r="AX14" s="566"/>
      <c r="AY14" s="44" t="str">
        <f>IF(AV14=YEAR(AM2),AZ14,"")</f>
        <v/>
      </c>
      <c r="AZ14" s="44" t="s">
        <v>313</v>
      </c>
      <c r="BA14" s="565">
        <v>2090</v>
      </c>
      <c r="BB14" s="564"/>
      <c r="BC14" s="566"/>
      <c r="BD14" s="44" t="str">
        <f>IF(BA14=YEAR(AM2),BE14,"")</f>
        <v/>
      </c>
      <c r="BE14" s="45" t="s">
        <v>313</v>
      </c>
    </row>
    <row r="15" spans="1:70" x14ac:dyDescent="0.2">
      <c r="A15" s="567">
        <v>12</v>
      </c>
      <c r="B15" s="568"/>
      <c r="C15" s="567" t="s">
        <v>312</v>
      </c>
      <c r="D15" s="569"/>
      <c r="E15" s="569"/>
      <c r="F15" s="568"/>
      <c r="G15" s="46" t="s">
        <v>311</v>
      </c>
      <c r="H15" s="47" t="str">
        <f>IF(G15=M4,I15,"")</f>
        <v/>
      </c>
      <c r="I15" s="47" t="s">
        <v>310</v>
      </c>
      <c r="J15" s="569">
        <v>2000</v>
      </c>
      <c r="K15" s="569"/>
      <c r="L15" s="569"/>
      <c r="M15" s="47" t="str">
        <f>IF(J15=YEAR(A2),N15,"")</f>
        <v/>
      </c>
      <c r="N15" s="47" t="s">
        <v>309</v>
      </c>
      <c r="O15" s="569">
        <v>2100</v>
      </c>
      <c r="P15" s="569"/>
      <c r="Q15" s="569"/>
      <c r="R15" s="47" t="str">
        <f>IF(O15=YEAR(A2),S15,"")</f>
        <v/>
      </c>
      <c r="S15" s="48" t="s">
        <v>308</v>
      </c>
      <c r="T15" s="567">
        <v>12</v>
      </c>
      <c r="U15" s="568"/>
      <c r="V15" s="567" t="s">
        <v>312</v>
      </c>
      <c r="W15" s="569"/>
      <c r="X15" s="569"/>
      <c r="Y15" s="568"/>
      <c r="Z15" s="46" t="s">
        <v>311</v>
      </c>
      <c r="AA15" s="47" t="str">
        <f>IF(Z15=AF4,AB15,"")</f>
        <v/>
      </c>
      <c r="AB15" s="47" t="s">
        <v>310</v>
      </c>
      <c r="AC15" s="569">
        <v>2000</v>
      </c>
      <c r="AD15" s="569"/>
      <c r="AE15" s="569"/>
      <c r="AF15" s="47" t="str">
        <f>IF(AC15=YEAR(T2),AG15,"")</f>
        <v/>
      </c>
      <c r="AG15" s="47" t="s">
        <v>309</v>
      </c>
      <c r="AH15" s="569">
        <v>2100</v>
      </c>
      <c r="AI15" s="569"/>
      <c r="AJ15" s="569"/>
      <c r="AK15" s="47" t="str">
        <f>IF(AH15=YEAR(T2),AL15,"")</f>
        <v/>
      </c>
      <c r="AL15" s="48" t="s">
        <v>308</v>
      </c>
      <c r="AM15" s="567">
        <v>12</v>
      </c>
      <c r="AN15" s="568"/>
      <c r="AO15" s="567" t="s">
        <v>312</v>
      </c>
      <c r="AP15" s="569"/>
      <c r="AQ15" s="569"/>
      <c r="AR15" s="568"/>
      <c r="AS15" s="487" t="s">
        <v>311</v>
      </c>
      <c r="AT15" s="488" t="str">
        <f>IF(AS15=AY4,AU15,"")</f>
        <v/>
      </c>
      <c r="AU15" s="488" t="s">
        <v>310</v>
      </c>
      <c r="AV15" s="569">
        <v>2000</v>
      </c>
      <c r="AW15" s="569"/>
      <c r="AX15" s="569"/>
      <c r="AY15" s="488" t="str">
        <f>IF(AV15=YEAR(AM2),AZ15,"")</f>
        <v/>
      </c>
      <c r="AZ15" s="488" t="s">
        <v>309</v>
      </c>
      <c r="BA15" s="569">
        <v>2100</v>
      </c>
      <c r="BB15" s="569"/>
      <c r="BC15" s="569"/>
      <c r="BD15" s="488" t="str">
        <f>IF(BA15=YEAR(AM2),BE15,"")</f>
        <v/>
      </c>
      <c r="BE15" s="48" t="s">
        <v>308</v>
      </c>
    </row>
    <row r="16" spans="1:70" x14ac:dyDescent="0.2">
      <c r="A16" s="41" t="s">
        <v>369</v>
      </c>
      <c r="R16" s="41" t="s">
        <v>368</v>
      </c>
      <c r="AI16" s="41" t="s">
        <v>498</v>
      </c>
      <c r="AZ16" s="41" t="s">
        <v>932</v>
      </c>
    </row>
    <row r="17" spans="1:170" x14ac:dyDescent="0.2">
      <c r="A17" s="570" t="str">
        <f>PUL_VAHIDI</f>
        <v>AZN</v>
      </c>
      <c r="B17" s="570"/>
      <c r="C17" s="570"/>
      <c r="D17" s="571" t="str">
        <f>GOTURDUYU_MEBLEQ</f>
        <v>1000.00</v>
      </c>
      <c r="E17" s="571"/>
      <c r="F17" s="571"/>
      <c r="G17" s="571"/>
      <c r="H17" s="571"/>
      <c r="I17" s="571"/>
      <c r="J17" s="552"/>
      <c r="K17" s="553"/>
      <c r="L17" s="553"/>
      <c r="M17" s="553"/>
      <c r="N17" s="553"/>
      <c r="O17" s="553"/>
      <c r="P17" s="554"/>
      <c r="R17" s="570" t="str">
        <f>PUL_VAHIDI</f>
        <v>AZN</v>
      </c>
      <c r="S17" s="570"/>
      <c r="T17" s="570"/>
      <c r="U17" s="571">
        <f>GE_SUM</f>
        <v>5030</v>
      </c>
      <c r="V17" s="571"/>
      <c r="W17" s="571"/>
      <c r="X17" s="571"/>
      <c r="Y17" s="571"/>
      <c r="Z17" s="571"/>
      <c r="AA17" s="552"/>
      <c r="AB17" s="553"/>
      <c r="AC17" s="553"/>
      <c r="AD17" s="553"/>
      <c r="AE17" s="553"/>
      <c r="AF17" s="553"/>
      <c r="AG17" s="554"/>
      <c r="AI17" s="988" t="str">
        <f>PUL_VAHIDI</f>
        <v>AZN</v>
      </c>
      <c r="AJ17" s="989"/>
      <c r="AK17" s="990"/>
      <c r="AL17" s="552" t="str">
        <f>SF</f>
        <v>RS Köhnə LD</v>
      </c>
      <c r="AM17" s="553"/>
      <c r="AN17" s="553"/>
      <c r="AO17" s="553"/>
      <c r="AP17" s="553"/>
      <c r="AQ17" s="554"/>
      <c r="AR17" s="552" t="e">
        <f>AI18&amp; " "&amp;PUL_VAHIDI_SOZLE&amp;" "&amp;AI33&amp;" "&amp;AN33</f>
        <v>#VALUE!</v>
      </c>
      <c r="AS17" s="553"/>
      <c r="AT17" s="553"/>
      <c r="AU17" s="553"/>
      <c r="AV17" s="553"/>
      <c r="AW17" s="553"/>
      <c r="AX17" s="554"/>
      <c r="AZ17" s="570" t="s">
        <v>335</v>
      </c>
      <c r="BA17" s="570"/>
      <c r="BB17" s="570"/>
      <c r="BC17" s="571">
        <f>OLD_MEBLEQ</f>
        <v>963.03</v>
      </c>
      <c r="BD17" s="571"/>
      <c r="BE17" s="571"/>
      <c r="BF17" s="571"/>
      <c r="BG17" s="571"/>
      <c r="BH17" s="571"/>
      <c r="BI17" s="552" t="str">
        <f>AZ18&amp; " ABŞ dolları "&amp;AZ33&amp;" "&amp;BE33</f>
        <v>doqquz yüz altmış üç  ABŞ dolları 3 sent</v>
      </c>
      <c r="BJ17" s="553"/>
      <c r="BK17" s="553"/>
      <c r="BL17" s="553"/>
      <c r="BM17" s="553"/>
      <c r="BN17" s="553"/>
      <c r="BO17" s="554"/>
      <c r="BP17" s="15"/>
      <c r="BQ17" s="227"/>
      <c r="BR17" s="227"/>
      <c r="BS17" s="227"/>
      <c r="BT17" s="227"/>
      <c r="BU17" s="227"/>
      <c r="BV17" s="227"/>
      <c r="BW17" s="227"/>
      <c r="BX17" s="227"/>
      <c r="BY17" s="227"/>
      <c r="BZ17" s="18"/>
      <c r="CA17" s="17"/>
      <c r="CB17" s="17"/>
      <c r="CC17" s="17"/>
      <c r="CD17" s="17"/>
      <c r="CE17" s="17"/>
      <c r="CF17" s="17"/>
      <c r="CG17" s="15"/>
      <c r="CH17" s="227"/>
      <c r="CI17" s="227"/>
      <c r="CJ17" s="227"/>
      <c r="CK17" s="227"/>
      <c r="CL17" s="227"/>
      <c r="CM17" s="227"/>
      <c r="CN17" s="227"/>
      <c r="CO17" s="227"/>
      <c r="CP17" s="227"/>
      <c r="CQ17" s="18"/>
      <c r="CR17" s="17"/>
      <c r="CS17" s="17"/>
      <c r="CT17" s="17"/>
      <c r="CU17" s="17"/>
      <c r="CV17" s="17"/>
      <c r="CW17" s="17"/>
      <c r="CX17" s="15"/>
      <c r="CY17" s="227"/>
      <c r="CZ17" s="227"/>
      <c r="DA17" s="227"/>
      <c r="DB17" s="227"/>
      <c r="DC17" s="227"/>
      <c r="DD17" s="227"/>
      <c r="DE17" s="227"/>
      <c r="DF17" s="227"/>
      <c r="DG17" s="227"/>
      <c r="DH17" s="18"/>
      <c r="DI17" s="17"/>
      <c r="DJ17" s="17"/>
      <c r="DK17" s="17"/>
      <c r="DL17" s="17"/>
      <c r="DM17" s="17"/>
      <c r="DN17" s="17"/>
      <c r="DO17" s="15"/>
      <c r="DP17" s="227"/>
      <c r="DQ17" s="227"/>
      <c r="DR17" s="227"/>
      <c r="DS17" s="227"/>
      <c r="DT17" s="227"/>
      <c r="DU17" s="227"/>
      <c r="DV17" s="227"/>
      <c r="DW17" s="227"/>
      <c r="DX17" s="227"/>
      <c r="DY17" s="18"/>
      <c r="DZ17" s="17"/>
      <c r="EA17" s="17"/>
      <c r="EB17" s="17"/>
      <c r="EC17" s="17"/>
      <c r="ED17" s="17"/>
      <c r="EE17" s="17"/>
      <c r="EF17" s="15"/>
      <c r="EG17" s="227"/>
      <c r="EH17" s="227"/>
      <c r="EI17" s="227"/>
      <c r="EJ17" s="227"/>
      <c r="EK17" s="227"/>
      <c r="EL17" s="227"/>
      <c r="EM17" s="227"/>
      <c r="EN17" s="227"/>
      <c r="EO17" s="227"/>
      <c r="EP17" s="18"/>
      <c r="EQ17" s="17"/>
      <c r="ER17" s="17"/>
      <c r="ES17" s="17"/>
      <c r="ET17" s="17"/>
      <c r="EU17" s="17"/>
      <c r="EV17" s="17"/>
      <c r="EW17" s="15"/>
      <c r="EX17" s="227"/>
      <c r="EY17" s="227"/>
      <c r="EZ17" s="227"/>
      <c r="FA17" s="227"/>
      <c r="FB17" s="227"/>
      <c r="FC17" s="227"/>
      <c r="FD17" s="227"/>
      <c r="FE17" s="227"/>
      <c r="FF17" s="227"/>
      <c r="FG17" s="18"/>
      <c r="FH17" s="17"/>
      <c r="FI17" s="17"/>
      <c r="FJ17" s="17"/>
      <c r="FK17" s="17"/>
      <c r="FL17" s="17"/>
      <c r="FM17" s="17"/>
      <c r="FN17" s="15"/>
    </row>
    <row r="18" spans="1:170" x14ac:dyDescent="0.2">
      <c r="A18" s="555" t="str">
        <f>IF(A32=0,"sıfır",J35&amp; K35&amp; L35&amp;M35&amp;N35&amp;O35 &amp;P35 )</f>
        <v xml:space="preserve">bir min </v>
      </c>
      <c r="B18" s="555"/>
      <c r="C18" s="555"/>
      <c r="D18" s="555"/>
      <c r="E18" s="555"/>
      <c r="F18" s="555"/>
      <c r="G18" s="555"/>
      <c r="H18" s="555"/>
      <c r="I18" s="555"/>
      <c r="J18" s="555"/>
      <c r="K18" s="555"/>
      <c r="L18" s="555"/>
      <c r="M18" s="555"/>
      <c r="N18" s="555"/>
      <c r="O18" s="555"/>
      <c r="P18" s="555"/>
      <c r="R18" s="555" t="str">
        <f>IF(R32=0,"sıfır",AA35&amp; AB35&amp; AC35&amp;AD35&amp;AE35&amp;AF35 &amp;AG35 )</f>
        <v xml:space="preserve">beş min otuz </v>
      </c>
      <c r="S18" s="555"/>
      <c r="T18" s="555"/>
      <c r="U18" s="555"/>
      <c r="V18" s="555"/>
      <c r="W18" s="555"/>
      <c r="X18" s="555"/>
      <c r="Y18" s="555"/>
      <c r="Z18" s="555"/>
      <c r="AA18" s="555"/>
      <c r="AB18" s="555"/>
      <c r="AC18" s="555"/>
      <c r="AD18" s="555"/>
      <c r="AE18" s="555"/>
      <c r="AF18" s="555"/>
      <c r="AG18" s="555"/>
      <c r="AI18" s="985" t="e">
        <f>IF(AI32=0,"sıfır",AR35&amp; AS35&amp; AT35&amp;AU35&amp;AV35&amp;AW35 &amp;AX35  )</f>
        <v>#VALUE!</v>
      </c>
      <c r="AJ18" s="986"/>
      <c r="AK18" s="986"/>
      <c r="AL18" s="986"/>
      <c r="AM18" s="986"/>
      <c r="AN18" s="986"/>
      <c r="AO18" s="986"/>
      <c r="AP18" s="986"/>
      <c r="AQ18" s="986"/>
      <c r="AR18" s="986"/>
      <c r="AS18" s="986"/>
      <c r="AT18" s="986"/>
      <c r="AU18" s="986"/>
      <c r="AV18" s="986"/>
      <c r="AW18" s="986"/>
      <c r="AX18" s="987"/>
      <c r="AZ18" s="555" t="str">
        <f>IF(AZ32=0,"sıfır",BI35&amp; BJ35&amp; BK35&amp;BL35&amp;BM35&amp;BN35 &amp;BO35  )</f>
        <v xml:space="preserve">doqquz yüz altmış üç </v>
      </c>
      <c r="BA18" s="555"/>
      <c r="BB18" s="555"/>
      <c r="BC18" s="555"/>
      <c r="BD18" s="555"/>
      <c r="BE18" s="555"/>
      <c r="BF18" s="555"/>
      <c r="BG18" s="555"/>
      <c r="BH18" s="555"/>
      <c r="BI18" s="555"/>
      <c r="BJ18" s="555"/>
      <c r="BK18" s="555"/>
      <c r="BL18" s="555"/>
      <c r="BM18" s="555"/>
      <c r="BN18" s="555"/>
      <c r="BO18" s="555"/>
      <c r="BP18" s="15"/>
      <c r="BQ18" s="14"/>
      <c r="BR18" s="14"/>
      <c r="BS18" s="14"/>
      <c r="BT18" s="14"/>
      <c r="BU18" s="14"/>
      <c r="BV18" s="14"/>
      <c r="BW18" s="14"/>
      <c r="BX18" s="14"/>
      <c r="BY18" s="14"/>
      <c r="BZ18" s="14"/>
      <c r="CA18" s="14"/>
      <c r="CB18" s="14"/>
      <c r="CC18" s="14"/>
      <c r="CD18" s="14"/>
      <c r="CE18" s="14"/>
      <c r="CF18" s="14"/>
      <c r="CG18" s="15"/>
      <c r="CH18" s="14"/>
      <c r="CI18" s="14"/>
      <c r="CJ18" s="14"/>
      <c r="CK18" s="14"/>
      <c r="CL18" s="14"/>
      <c r="CM18" s="14"/>
      <c r="CN18" s="14"/>
      <c r="CO18" s="14"/>
      <c r="CP18" s="14"/>
      <c r="CQ18" s="14"/>
      <c r="CR18" s="14"/>
      <c r="CS18" s="14"/>
      <c r="CT18" s="14"/>
      <c r="CU18" s="14"/>
      <c r="CV18" s="14"/>
      <c r="CW18" s="14"/>
      <c r="CX18" s="15"/>
      <c r="CY18" s="14"/>
      <c r="CZ18" s="14"/>
      <c r="DA18" s="14"/>
      <c r="DB18" s="14"/>
      <c r="DC18" s="14"/>
      <c r="DD18" s="14"/>
      <c r="DE18" s="14"/>
      <c r="DF18" s="14"/>
      <c r="DG18" s="14"/>
      <c r="DH18" s="14"/>
      <c r="DI18" s="14"/>
      <c r="DJ18" s="14"/>
      <c r="DK18" s="14"/>
      <c r="DL18" s="14"/>
      <c r="DM18" s="14"/>
      <c r="DN18" s="14"/>
      <c r="DO18" s="15"/>
      <c r="DP18" s="14"/>
      <c r="DQ18" s="14"/>
      <c r="DR18" s="14"/>
      <c r="DS18" s="14"/>
      <c r="DT18" s="14"/>
      <c r="DU18" s="14"/>
      <c r="DV18" s="14"/>
      <c r="DW18" s="14"/>
      <c r="DX18" s="14"/>
      <c r="DY18" s="14"/>
      <c r="DZ18" s="14"/>
      <c r="EA18" s="14"/>
      <c r="EB18" s="14"/>
      <c r="EC18" s="14"/>
      <c r="ED18" s="14"/>
      <c r="EE18" s="14"/>
      <c r="EF18" s="15"/>
      <c r="EG18" s="14"/>
      <c r="EH18" s="14"/>
      <c r="EI18" s="14"/>
      <c r="EJ18" s="14"/>
      <c r="EK18" s="14"/>
      <c r="EL18" s="14"/>
      <c r="EM18" s="14"/>
      <c r="EN18" s="14"/>
      <c r="EO18" s="14"/>
      <c r="EP18" s="14"/>
      <c r="EQ18" s="14"/>
      <c r="ER18" s="14"/>
      <c r="ES18" s="14"/>
      <c r="ET18" s="14"/>
      <c r="EU18" s="14"/>
      <c r="EV18" s="14"/>
      <c r="EW18" s="15"/>
      <c r="EX18" s="14"/>
      <c r="EY18" s="14"/>
      <c r="EZ18" s="14"/>
      <c r="FA18" s="14"/>
      <c r="FB18" s="14"/>
      <c r="FC18" s="14"/>
      <c r="FD18" s="14"/>
      <c r="FE18" s="14"/>
      <c r="FF18" s="14"/>
      <c r="FG18" s="14"/>
      <c r="FH18" s="14"/>
      <c r="FI18" s="14"/>
      <c r="FJ18" s="14"/>
      <c r="FK18" s="14"/>
      <c r="FL18" s="14"/>
      <c r="FM18" s="14"/>
      <c r="FN18" s="15"/>
    </row>
    <row r="19" spans="1:170" x14ac:dyDescent="0.2">
      <c r="A19" s="555" t="str">
        <f>UPPER(LEFT(A18,1))&amp;RIGHT(A18,LEN(A18)-1)</f>
        <v xml:space="preserve">Bir min </v>
      </c>
      <c r="B19" s="555"/>
      <c r="C19" s="555"/>
      <c r="D19" s="555"/>
      <c r="E19" s="555"/>
      <c r="F19" s="555"/>
      <c r="G19" s="555"/>
      <c r="H19" s="555"/>
      <c r="I19" s="555"/>
      <c r="J19" s="555"/>
      <c r="K19" s="555"/>
      <c r="L19" s="555"/>
      <c r="M19" s="555"/>
      <c r="N19" s="555"/>
      <c r="O19" s="555"/>
      <c r="P19" s="555"/>
      <c r="R19" s="555" t="str">
        <f>UPPER(LEFT(R18,1))&amp;RIGHT(R18,LEN(R18)-1)</f>
        <v xml:space="preserve">Beş min otuz </v>
      </c>
      <c r="S19" s="555"/>
      <c r="T19" s="555"/>
      <c r="U19" s="555"/>
      <c r="V19" s="555"/>
      <c r="W19" s="555"/>
      <c r="X19" s="555"/>
      <c r="Y19" s="555"/>
      <c r="Z19" s="555"/>
      <c r="AA19" s="555"/>
      <c r="AB19" s="555"/>
      <c r="AC19" s="555"/>
      <c r="AD19" s="555"/>
      <c r="AE19" s="555"/>
      <c r="AF19" s="555"/>
      <c r="AG19" s="555"/>
      <c r="AI19" s="985" t="e">
        <f>UPPER(LEFT(AI18,1))&amp;RIGHT(AI18,LEN(AI18)-1)</f>
        <v>#VALUE!</v>
      </c>
      <c r="AJ19" s="986"/>
      <c r="AK19" s="986"/>
      <c r="AL19" s="986"/>
      <c r="AM19" s="986"/>
      <c r="AN19" s="986"/>
      <c r="AO19" s="986"/>
      <c r="AP19" s="986"/>
      <c r="AQ19" s="986"/>
      <c r="AR19" s="986"/>
      <c r="AS19" s="986"/>
      <c r="AT19" s="986"/>
      <c r="AU19" s="986"/>
      <c r="AV19" s="986"/>
      <c r="AW19" s="986"/>
      <c r="AX19" s="987"/>
      <c r="AZ19" s="555" t="str">
        <f>UPPER(LEFT(AZ18,1))&amp;RIGHT(AZ18,LEN(AZ18)-1)</f>
        <v xml:space="preserve">Doqquz yüz altmış üç </v>
      </c>
      <c r="BA19" s="555"/>
      <c r="BB19" s="555"/>
      <c r="BC19" s="555"/>
      <c r="BD19" s="555"/>
      <c r="BE19" s="555"/>
      <c r="BF19" s="555"/>
      <c r="BG19" s="555"/>
      <c r="BH19" s="555"/>
      <c r="BI19" s="555"/>
      <c r="BJ19" s="555"/>
      <c r="BK19" s="555"/>
      <c r="BL19" s="555"/>
      <c r="BM19" s="555"/>
      <c r="BN19" s="555"/>
      <c r="BO19" s="555"/>
      <c r="BP19" s="15"/>
      <c r="BQ19" s="14"/>
      <c r="BR19" s="14"/>
      <c r="BS19" s="14"/>
      <c r="BT19" s="14"/>
      <c r="BU19" s="14"/>
      <c r="BV19" s="14"/>
      <c r="BW19" s="14"/>
      <c r="BX19" s="14"/>
      <c r="BY19" s="14"/>
      <c r="BZ19" s="14"/>
      <c r="CA19" s="14"/>
      <c r="CB19" s="14"/>
      <c r="CC19" s="14"/>
      <c r="CD19" s="14"/>
      <c r="CE19" s="14"/>
      <c r="CF19" s="14"/>
      <c r="CG19" s="15"/>
      <c r="CH19" s="14"/>
      <c r="CI19" s="14"/>
      <c r="CJ19" s="14"/>
      <c r="CK19" s="14"/>
      <c r="CL19" s="14"/>
      <c r="CM19" s="14"/>
      <c r="CN19" s="14"/>
      <c r="CO19" s="14"/>
      <c r="CP19" s="14"/>
      <c r="CQ19" s="14"/>
      <c r="CR19" s="14"/>
      <c r="CS19" s="14"/>
      <c r="CT19" s="14"/>
      <c r="CU19" s="14"/>
      <c r="CV19" s="14"/>
      <c r="CW19" s="14"/>
      <c r="CX19" s="15"/>
      <c r="CY19" s="14"/>
      <c r="CZ19" s="14"/>
      <c r="DA19" s="14"/>
      <c r="DB19" s="14"/>
      <c r="DC19" s="14"/>
      <c r="DD19" s="14"/>
      <c r="DE19" s="14"/>
      <c r="DF19" s="14"/>
      <c r="DG19" s="14"/>
      <c r="DH19" s="14"/>
      <c r="DI19" s="14"/>
      <c r="DJ19" s="14"/>
      <c r="DK19" s="14"/>
      <c r="DL19" s="14"/>
      <c r="DM19" s="14"/>
      <c r="DN19" s="14"/>
      <c r="DO19" s="15"/>
      <c r="DP19" s="14"/>
      <c r="DQ19" s="14"/>
      <c r="DR19" s="14"/>
      <c r="DS19" s="14"/>
      <c r="DT19" s="14"/>
      <c r="DU19" s="14"/>
      <c r="DV19" s="14"/>
      <c r="DW19" s="14"/>
      <c r="DX19" s="14"/>
      <c r="DY19" s="14"/>
      <c r="DZ19" s="14"/>
      <c r="EA19" s="14"/>
      <c r="EB19" s="14"/>
      <c r="EC19" s="14"/>
      <c r="ED19" s="14"/>
      <c r="EE19" s="14"/>
      <c r="EF19" s="15"/>
      <c r="EG19" s="14"/>
      <c r="EH19" s="14"/>
      <c r="EI19" s="14"/>
      <c r="EJ19" s="14"/>
      <c r="EK19" s="14"/>
      <c r="EL19" s="14"/>
      <c r="EM19" s="14"/>
      <c r="EN19" s="14"/>
      <c r="EO19" s="14"/>
      <c r="EP19" s="14"/>
      <c r="EQ19" s="14"/>
      <c r="ER19" s="14"/>
      <c r="ES19" s="14"/>
      <c r="ET19" s="14"/>
      <c r="EU19" s="14"/>
      <c r="EV19" s="14"/>
      <c r="EW19" s="15"/>
      <c r="EX19" s="14"/>
      <c r="EY19" s="14"/>
      <c r="EZ19" s="14"/>
      <c r="FA19" s="14"/>
      <c r="FB19" s="14"/>
      <c r="FC19" s="14"/>
      <c r="FD19" s="14"/>
      <c r="FE19" s="14"/>
      <c r="FF19" s="14"/>
      <c r="FG19" s="14"/>
      <c r="FH19" s="14"/>
      <c r="FI19" s="14"/>
      <c r="FJ19" s="14"/>
      <c r="FK19" s="14"/>
      <c r="FL19" s="14"/>
      <c r="FM19" s="14"/>
      <c r="FN19" s="15"/>
    </row>
    <row r="20" spans="1:170" x14ac:dyDescent="0.2">
      <c r="A20" s="555" t="str">
        <f>IF(A32=0,"sıfır "&amp; F32,J35&amp; K35&amp; L35&amp;M35&amp;N35&amp;O35 &amp;P35 &amp;F32)</f>
        <v xml:space="preserve">bir min </v>
      </c>
      <c r="B20" s="555"/>
      <c r="C20" s="555"/>
      <c r="D20" s="555"/>
      <c r="E20" s="555"/>
      <c r="F20" s="555"/>
      <c r="G20" s="555"/>
      <c r="H20" s="555"/>
      <c r="I20" s="555"/>
      <c r="J20" s="555"/>
      <c r="K20" s="555"/>
      <c r="L20" s="555"/>
      <c r="M20" s="555"/>
      <c r="N20" s="555"/>
      <c r="O20" s="555"/>
      <c r="P20" s="555"/>
      <c r="R20" s="555" t="str">
        <f>IF(R32=0,"sıfır "&amp; W32,AA35&amp; AB35&amp; AC35&amp;AD35&amp;AE35&amp;AF35 &amp;AG35 &amp;W32)</f>
        <v xml:space="preserve">beş min otuz </v>
      </c>
      <c r="S20" s="555"/>
      <c r="T20" s="555"/>
      <c r="U20" s="555"/>
      <c r="V20" s="555"/>
      <c r="W20" s="555"/>
      <c r="X20" s="555"/>
      <c r="Y20" s="555"/>
      <c r="Z20" s="555"/>
      <c r="AA20" s="555"/>
      <c r="AB20" s="555"/>
      <c r="AC20" s="555"/>
      <c r="AD20" s="555"/>
      <c r="AE20" s="555"/>
      <c r="AF20" s="555"/>
      <c r="AG20" s="555"/>
      <c r="AI20" s="985" t="e">
        <f>IF(AI32=0,"sıfır "&amp; AN32,AR35&amp; AS35&amp; AT35&amp;AU35&amp;AV35&amp;AW35 &amp;AX35 &amp;AN32)</f>
        <v>#VALUE!</v>
      </c>
      <c r="AJ20" s="986"/>
      <c r="AK20" s="986"/>
      <c r="AL20" s="986"/>
      <c r="AM20" s="986"/>
      <c r="AN20" s="986"/>
      <c r="AO20" s="986"/>
      <c r="AP20" s="986"/>
      <c r="AQ20" s="986"/>
      <c r="AR20" s="986"/>
      <c r="AS20" s="986"/>
      <c r="AT20" s="986"/>
      <c r="AU20" s="986"/>
      <c r="AV20" s="986"/>
      <c r="AW20" s="986"/>
      <c r="AX20" s="987"/>
      <c r="AZ20" s="555" t="str">
        <f>IF(AZ32=0,"sıfır "&amp; BE32,BI35&amp; BJ35&amp; BK35&amp;BL35&amp;BM35&amp;BN35 &amp;BO35 &amp;BE32)</f>
        <v xml:space="preserve">doqquz yüz altmış üç </v>
      </c>
      <c r="BA20" s="555"/>
      <c r="BB20" s="555"/>
      <c r="BC20" s="555"/>
      <c r="BD20" s="555"/>
      <c r="BE20" s="555"/>
      <c r="BF20" s="555"/>
      <c r="BG20" s="555"/>
      <c r="BH20" s="555"/>
      <c r="BI20" s="555"/>
      <c r="BJ20" s="555"/>
      <c r="BK20" s="555"/>
      <c r="BL20" s="555"/>
      <c r="BM20" s="555"/>
      <c r="BN20" s="555"/>
      <c r="BO20" s="555"/>
      <c r="BP20" s="15"/>
      <c r="BQ20" s="14"/>
      <c r="BR20" s="14"/>
      <c r="BS20" s="14"/>
      <c r="BT20" s="14"/>
      <c r="BU20" s="14"/>
      <c r="BV20" s="14"/>
      <c r="BW20" s="14"/>
      <c r="BX20" s="14"/>
      <c r="BY20" s="14"/>
      <c r="BZ20" s="14"/>
      <c r="CA20" s="14"/>
      <c r="CB20" s="14"/>
      <c r="CC20" s="14"/>
      <c r="CD20" s="14"/>
      <c r="CE20" s="14"/>
      <c r="CF20" s="14"/>
      <c r="CG20" s="15"/>
      <c r="CH20" s="14"/>
      <c r="CI20" s="14"/>
      <c r="CJ20" s="14"/>
      <c r="CK20" s="14"/>
      <c r="CL20" s="14"/>
      <c r="CM20" s="14"/>
      <c r="CN20" s="14"/>
      <c r="CO20" s="14"/>
      <c r="CP20" s="14"/>
      <c r="CQ20" s="14"/>
      <c r="CR20" s="14"/>
      <c r="CS20" s="14"/>
      <c r="CT20" s="14"/>
      <c r="CU20" s="14"/>
      <c r="CV20" s="14"/>
      <c r="CW20" s="14"/>
      <c r="CX20" s="15"/>
      <c r="CY20" s="14"/>
      <c r="CZ20" s="14"/>
      <c r="DA20" s="14"/>
      <c r="DB20" s="14"/>
      <c r="DC20" s="14"/>
      <c r="DD20" s="14"/>
      <c r="DE20" s="14"/>
      <c r="DF20" s="14"/>
      <c r="DG20" s="14"/>
      <c r="DH20" s="14"/>
      <c r="DI20" s="14"/>
      <c r="DJ20" s="14"/>
      <c r="DK20" s="14"/>
      <c r="DL20" s="14"/>
      <c r="DM20" s="14"/>
      <c r="DN20" s="14"/>
      <c r="DO20" s="15"/>
      <c r="DP20" s="14"/>
      <c r="DQ20" s="14"/>
      <c r="DR20" s="14"/>
      <c r="DS20" s="14"/>
      <c r="DT20" s="14"/>
      <c r="DU20" s="14"/>
      <c r="DV20" s="14"/>
      <c r="DW20" s="14"/>
      <c r="DX20" s="14"/>
      <c r="DY20" s="14"/>
      <c r="DZ20" s="14"/>
      <c r="EA20" s="14"/>
      <c r="EB20" s="14"/>
      <c r="EC20" s="14"/>
      <c r="ED20" s="14"/>
      <c r="EE20" s="14"/>
      <c r="EF20" s="15"/>
      <c r="EG20" s="14"/>
      <c r="EH20" s="14"/>
      <c r="EI20" s="14"/>
      <c r="EJ20" s="14"/>
      <c r="EK20" s="14"/>
      <c r="EL20" s="14"/>
      <c r="EM20" s="14"/>
      <c r="EN20" s="14"/>
      <c r="EO20" s="14"/>
      <c r="EP20" s="14"/>
      <c r="EQ20" s="14"/>
      <c r="ER20" s="14"/>
      <c r="ES20" s="14"/>
      <c r="ET20" s="14"/>
      <c r="EU20" s="14"/>
      <c r="EV20" s="14"/>
      <c r="EW20" s="15"/>
      <c r="EX20" s="14"/>
      <c r="EY20" s="14"/>
      <c r="EZ20" s="14"/>
      <c r="FA20" s="14"/>
      <c r="FB20" s="14"/>
      <c r="FC20" s="14"/>
      <c r="FD20" s="14"/>
      <c r="FE20" s="14"/>
      <c r="FF20" s="14"/>
      <c r="FG20" s="14"/>
      <c r="FH20" s="14"/>
      <c r="FI20" s="14"/>
      <c r="FJ20" s="14"/>
      <c r="FK20" s="14"/>
      <c r="FL20" s="14"/>
      <c r="FM20" s="14"/>
      <c r="FN20" s="15"/>
    </row>
    <row r="21" spans="1:170" x14ac:dyDescent="0.2">
      <c r="A21" s="555" t="str">
        <f>UPPER(LEFT(A20,1))&amp;RIGHT(A20,LEN(A20)-1)</f>
        <v xml:space="preserve">Bir min </v>
      </c>
      <c r="B21" s="555"/>
      <c r="C21" s="555"/>
      <c r="D21" s="555"/>
      <c r="E21" s="555"/>
      <c r="F21" s="555"/>
      <c r="G21" s="555"/>
      <c r="H21" s="555"/>
      <c r="I21" s="555"/>
      <c r="J21" s="555"/>
      <c r="K21" s="555"/>
      <c r="L21" s="555"/>
      <c r="M21" s="555"/>
      <c r="N21" s="555"/>
      <c r="O21" s="555"/>
      <c r="P21" s="555"/>
      <c r="R21" s="555" t="str">
        <f>UPPER(LEFT(R20,1))&amp;RIGHT(R20,LEN(R20)-1)</f>
        <v xml:space="preserve">Beş min otuz </v>
      </c>
      <c r="S21" s="555"/>
      <c r="T21" s="555"/>
      <c r="U21" s="555"/>
      <c r="V21" s="555"/>
      <c r="W21" s="555"/>
      <c r="X21" s="555"/>
      <c r="Y21" s="555"/>
      <c r="Z21" s="555"/>
      <c r="AA21" s="555"/>
      <c r="AB21" s="555"/>
      <c r="AC21" s="555"/>
      <c r="AD21" s="555"/>
      <c r="AE21" s="555"/>
      <c r="AF21" s="555"/>
      <c r="AG21" s="555"/>
      <c r="AI21" s="985" t="e">
        <f>UPPER(LEFT(AI20,1))&amp;RIGHT(AI20,LEN(AI20)-1)</f>
        <v>#VALUE!</v>
      </c>
      <c r="AJ21" s="986"/>
      <c r="AK21" s="986"/>
      <c r="AL21" s="986"/>
      <c r="AM21" s="986"/>
      <c r="AN21" s="986"/>
      <c r="AO21" s="986"/>
      <c r="AP21" s="986"/>
      <c r="AQ21" s="986"/>
      <c r="AR21" s="986"/>
      <c r="AS21" s="986"/>
      <c r="AT21" s="986"/>
      <c r="AU21" s="986"/>
      <c r="AV21" s="986"/>
      <c r="AW21" s="986"/>
      <c r="AX21" s="987"/>
      <c r="AZ21" s="555" t="str">
        <f>UPPER(LEFT(AZ20,1))&amp;RIGHT(AZ20,LEN(AZ20)-1)</f>
        <v xml:space="preserve">Doqquz yüz altmış üç </v>
      </c>
      <c r="BA21" s="555"/>
      <c r="BB21" s="555"/>
      <c r="BC21" s="555"/>
      <c r="BD21" s="555"/>
      <c r="BE21" s="555"/>
      <c r="BF21" s="555"/>
      <c r="BG21" s="555"/>
      <c r="BH21" s="555"/>
      <c r="BI21" s="555"/>
      <c r="BJ21" s="555"/>
      <c r="BK21" s="555"/>
      <c r="BL21" s="555"/>
      <c r="BM21" s="555"/>
      <c r="BN21" s="555"/>
      <c r="BO21" s="555"/>
      <c r="BP21" s="15"/>
      <c r="BQ21" s="14"/>
      <c r="BR21" s="14"/>
      <c r="BS21" s="14"/>
      <c r="BT21" s="14"/>
      <c r="BU21" s="14"/>
      <c r="BV21" s="14"/>
      <c r="BW21" s="14"/>
      <c r="BX21" s="14"/>
      <c r="BY21" s="14"/>
      <c r="BZ21" s="14"/>
      <c r="CA21" s="14"/>
      <c r="CB21" s="14"/>
      <c r="CC21" s="14"/>
      <c r="CD21" s="14"/>
      <c r="CE21" s="14"/>
      <c r="CF21" s="14"/>
      <c r="CG21" s="15"/>
      <c r="CH21" s="14"/>
      <c r="CI21" s="14"/>
      <c r="CJ21" s="14"/>
      <c r="CK21" s="14"/>
      <c r="CL21" s="14"/>
      <c r="CM21" s="14"/>
      <c r="CN21" s="14"/>
      <c r="CO21" s="14"/>
      <c r="CP21" s="14"/>
      <c r="CQ21" s="14"/>
      <c r="CR21" s="14"/>
      <c r="CS21" s="14"/>
      <c r="CT21" s="14"/>
      <c r="CU21" s="14"/>
      <c r="CV21" s="14"/>
      <c r="CW21" s="14"/>
      <c r="CX21" s="15"/>
      <c r="CY21" s="14"/>
      <c r="CZ21" s="14"/>
      <c r="DA21" s="14"/>
      <c r="DB21" s="14"/>
      <c r="DC21" s="14"/>
      <c r="DD21" s="14"/>
      <c r="DE21" s="14"/>
      <c r="DF21" s="14"/>
      <c r="DG21" s="14"/>
      <c r="DH21" s="14"/>
      <c r="DI21" s="14"/>
      <c r="DJ21" s="14"/>
      <c r="DK21" s="14"/>
      <c r="DL21" s="14"/>
      <c r="DM21" s="14"/>
      <c r="DN21" s="14"/>
      <c r="DO21" s="15"/>
      <c r="DP21" s="14"/>
      <c r="DQ21" s="14"/>
      <c r="DR21" s="14"/>
      <c r="DS21" s="14"/>
      <c r="DT21" s="14"/>
      <c r="DU21" s="14"/>
      <c r="DV21" s="14"/>
      <c r="DW21" s="14"/>
      <c r="DX21" s="14"/>
      <c r="DY21" s="14"/>
      <c r="DZ21" s="14"/>
      <c r="EA21" s="14"/>
      <c r="EB21" s="14"/>
      <c r="EC21" s="14"/>
      <c r="ED21" s="14"/>
      <c r="EE21" s="14"/>
      <c r="EF21" s="15"/>
      <c r="EG21" s="14"/>
      <c r="EH21" s="14"/>
      <c r="EI21" s="14"/>
      <c r="EJ21" s="14"/>
      <c r="EK21" s="14"/>
      <c r="EL21" s="14"/>
      <c r="EM21" s="14"/>
      <c r="EN21" s="14"/>
      <c r="EO21" s="14"/>
      <c r="EP21" s="14"/>
      <c r="EQ21" s="14"/>
      <c r="ER21" s="14"/>
      <c r="ES21" s="14"/>
      <c r="ET21" s="14"/>
      <c r="EU21" s="14"/>
      <c r="EV21" s="14"/>
      <c r="EW21" s="15"/>
      <c r="EX21" s="14"/>
      <c r="EY21" s="14"/>
      <c r="EZ21" s="14"/>
      <c r="FA21" s="14"/>
      <c r="FB21" s="14"/>
      <c r="FC21" s="14"/>
      <c r="FD21" s="14"/>
      <c r="FE21" s="14"/>
      <c r="FF21" s="14"/>
      <c r="FG21" s="14"/>
      <c r="FH21" s="14"/>
      <c r="FI21" s="14"/>
      <c r="FJ21" s="14"/>
      <c r="FK21" s="14"/>
      <c r="FL21" s="14"/>
      <c r="FM21" s="14"/>
      <c r="FN21" s="15"/>
    </row>
    <row r="22" spans="1:170" x14ac:dyDescent="0.2">
      <c r="A22" s="556"/>
      <c r="B22" s="557"/>
      <c r="C22" s="557"/>
      <c r="D22" s="557"/>
      <c r="E22" s="557"/>
      <c r="F22" s="557"/>
      <c r="G22" s="557"/>
      <c r="H22" s="557"/>
      <c r="I22" s="558"/>
      <c r="J22" s="50">
        <f>INT(RIGHT(A32,7)/1000000)</f>
        <v>0</v>
      </c>
      <c r="K22" s="51">
        <f>INT(RIGHT(A32,6)/100000)</f>
        <v>0</v>
      </c>
      <c r="L22" s="51">
        <f>INT(RIGHT(A32,5)/10000)</f>
        <v>0</v>
      </c>
      <c r="M22" s="51">
        <f>INT(RIGHT(A32,4)/1000)</f>
        <v>1</v>
      </c>
      <c r="N22" s="51">
        <f>INT(RIGHT(A32,3)/100)</f>
        <v>0</v>
      </c>
      <c r="O22" s="51">
        <f>INT(RIGHT(A32,2)/10)</f>
        <v>0</v>
      </c>
      <c r="P22" s="52">
        <f>INT(RIGHT(A32,1))</f>
        <v>0</v>
      </c>
      <c r="R22" s="556"/>
      <c r="S22" s="557"/>
      <c r="T22" s="557"/>
      <c r="U22" s="557"/>
      <c r="V22" s="557"/>
      <c r="W22" s="557"/>
      <c r="X22" s="557"/>
      <c r="Y22" s="557"/>
      <c r="Z22" s="558"/>
      <c r="AA22" s="50">
        <f>INT(RIGHT(R32,7)/1000000)</f>
        <v>0</v>
      </c>
      <c r="AB22" s="51">
        <f>INT(RIGHT(R32,6)/100000)</f>
        <v>0</v>
      </c>
      <c r="AC22" s="51">
        <f>INT(RIGHT(R32,5)/10000)</f>
        <v>0</v>
      </c>
      <c r="AD22" s="51">
        <f>INT(RIGHT(R32,4)/1000)</f>
        <v>5</v>
      </c>
      <c r="AE22" s="51">
        <f>INT(RIGHT(R32,3)/100)</f>
        <v>0</v>
      </c>
      <c r="AF22" s="51">
        <f>INT(RIGHT(R32,2)/10)</f>
        <v>3</v>
      </c>
      <c r="AG22" s="52">
        <f>INT(RIGHT(R32,1))</f>
        <v>0</v>
      </c>
      <c r="AI22" s="599"/>
      <c r="AJ22" s="984"/>
      <c r="AK22" s="984"/>
      <c r="AL22" s="984"/>
      <c r="AM22" s="984"/>
      <c r="AN22" s="984"/>
      <c r="AO22" s="984"/>
      <c r="AP22" s="984"/>
      <c r="AQ22" s="600"/>
      <c r="AR22" s="50" t="e">
        <f>INT(RIGHT(AI32,7)/1000000)</f>
        <v>#VALUE!</v>
      </c>
      <c r="AS22" s="51" t="e">
        <f>INT(RIGHT(AI32,6)/100000)</f>
        <v>#VALUE!</v>
      </c>
      <c r="AT22" s="51" t="e">
        <f>INT(RIGHT(AI32,5)/10000)</f>
        <v>#VALUE!</v>
      </c>
      <c r="AU22" s="51" t="e">
        <f>INT(RIGHT(AI32,4)/1000)</f>
        <v>#VALUE!</v>
      </c>
      <c r="AV22" s="51" t="e">
        <f>INT(RIGHT(AI32,3)/100)</f>
        <v>#VALUE!</v>
      </c>
      <c r="AW22" s="51" t="e">
        <f>INT(RIGHT(AI32,2)/10)</f>
        <v>#VALUE!</v>
      </c>
      <c r="AX22" s="52" t="e">
        <f>INT(RIGHT(AI32,1))</f>
        <v>#VALUE!</v>
      </c>
      <c r="AZ22" s="556"/>
      <c r="BA22" s="557"/>
      <c r="BB22" s="557"/>
      <c r="BC22" s="557"/>
      <c r="BD22" s="557"/>
      <c r="BE22" s="557"/>
      <c r="BF22" s="557"/>
      <c r="BG22" s="557"/>
      <c r="BH22" s="558"/>
      <c r="BI22" s="50">
        <f>INT(RIGHT(AZ32,7)/1000000)</f>
        <v>0</v>
      </c>
      <c r="BJ22" s="51">
        <f>INT(RIGHT(AZ32,6)/100000)</f>
        <v>0</v>
      </c>
      <c r="BK22" s="51">
        <f>INT(RIGHT(AZ32,5)/10000)</f>
        <v>0</v>
      </c>
      <c r="BL22" s="51">
        <f>INT(RIGHT(AZ32,4)/1000)</f>
        <v>0</v>
      </c>
      <c r="BM22" s="51">
        <f>INT(RIGHT(AZ32,3)/100)</f>
        <v>9</v>
      </c>
      <c r="BN22" s="51">
        <f>INT(RIGHT(AZ32,2)/10)</f>
        <v>6</v>
      </c>
      <c r="BO22" s="52">
        <f>INT(RIGHT(AZ32,1))</f>
        <v>3</v>
      </c>
      <c r="BP22" s="15"/>
      <c r="BQ22" s="227"/>
      <c r="BR22" s="227"/>
      <c r="BS22" s="227"/>
      <c r="BT22" s="227"/>
      <c r="BU22" s="227"/>
      <c r="BV22" s="227"/>
      <c r="BW22" s="227"/>
      <c r="BX22" s="227"/>
      <c r="BY22" s="227"/>
      <c r="BZ22" s="16"/>
      <c r="CA22" s="16"/>
      <c r="CB22" s="16"/>
      <c r="CC22" s="16"/>
      <c r="CD22" s="16"/>
      <c r="CE22" s="16"/>
      <c r="CF22" s="16"/>
      <c r="CG22" s="15"/>
      <c r="CH22" s="227"/>
      <c r="CI22" s="227"/>
      <c r="CJ22" s="227"/>
      <c r="CK22" s="227"/>
      <c r="CL22" s="227"/>
      <c r="CM22" s="227"/>
      <c r="CN22" s="227"/>
      <c r="CO22" s="227"/>
      <c r="CP22" s="227"/>
      <c r="CQ22" s="16"/>
      <c r="CR22" s="16"/>
      <c r="CS22" s="16"/>
      <c r="CT22" s="16"/>
      <c r="CU22" s="16"/>
      <c r="CV22" s="16"/>
      <c r="CW22" s="16"/>
      <c r="CX22" s="15"/>
      <c r="CY22" s="227"/>
      <c r="CZ22" s="227"/>
      <c r="DA22" s="227"/>
      <c r="DB22" s="227"/>
      <c r="DC22" s="227"/>
      <c r="DD22" s="227"/>
      <c r="DE22" s="227"/>
      <c r="DF22" s="227"/>
      <c r="DG22" s="227"/>
      <c r="DH22" s="16"/>
      <c r="DI22" s="16"/>
      <c r="DJ22" s="16"/>
      <c r="DK22" s="16"/>
      <c r="DL22" s="16"/>
      <c r="DM22" s="16"/>
      <c r="DN22" s="16"/>
      <c r="DO22" s="15"/>
      <c r="DP22" s="227"/>
      <c r="DQ22" s="227"/>
      <c r="DR22" s="227"/>
      <c r="DS22" s="227"/>
      <c r="DT22" s="227"/>
      <c r="DU22" s="227"/>
      <c r="DV22" s="227"/>
      <c r="DW22" s="227"/>
      <c r="DX22" s="227"/>
      <c r="DY22" s="16"/>
      <c r="DZ22" s="16"/>
      <c r="EA22" s="16"/>
      <c r="EB22" s="16"/>
      <c r="EC22" s="16"/>
      <c r="ED22" s="16"/>
      <c r="EE22" s="16"/>
      <c r="EF22" s="15"/>
      <c r="EG22" s="227"/>
      <c r="EH22" s="227"/>
      <c r="EI22" s="227"/>
      <c r="EJ22" s="227"/>
      <c r="EK22" s="227"/>
      <c r="EL22" s="227"/>
      <c r="EM22" s="227"/>
      <c r="EN22" s="227"/>
      <c r="EO22" s="227"/>
      <c r="EP22" s="16"/>
      <c r="EQ22" s="16"/>
      <c r="ER22" s="16"/>
      <c r="ES22" s="16"/>
      <c r="ET22" s="16"/>
      <c r="EU22" s="16"/>
      <c r="EV22" s="16"/>
      <c r="EW22" s="15"/>
      <c r="EX22" s="227"/>
      <c r="EY22" s="227"/>
      <c r="EZ22" s="227"/>
      <c r="FA22" s="227"/>
      <c r="FB22" s="227"/>
      <c r="FC22" s="227"/>
      <c r="FD22" s="227"/>
      <c r="FE22" s="227"/>
      <c r="FF22" s="227"/>
      <c r="FG22" s="16"/>
      <c r="FH22" s="16"/>
      <c r="FI22" s="16"/>
      <c r="FJ22" s="16"/>
      <c r="FK22" s="16"/>
      <c r="FL22" s="16"/>
      <c r="FM22" s="16"/>
      <c r="FN22" s="15"/>
    </row>
    <row r="23" spans="1:170" x14ac:dyDescent="0.2">
      <c r="A23" s="559" t="s">
        <v>359</v>
      </c>
      <c r="B23" s="560"/>
      <c r="C23" s="560"/>
      <c r="D23" s="560" t="s">
        <v>358</v>
      </c>
      <c r="E23" s="560"/>
      <c r="F23" s="560"/>
      <c r="G23" s="560" t="s">
        <v>367</v>
      </c>
      <c r="H23" s="560"/>
      <c r="I23" s="561"/>
      <c r="J23" s="53" t="str">
        <f>IF(J22=1,A23&amp; " " &amp; "milyon","")</f>
        <v/>
      </c>
      <c r="K23" s="54" t="str">
        <f>IF(K22=1,"yüz","")</f>
        <v/>
      </c>
      <c r="L23" s="54" t="str">
        <f>IF(L22=1,D23,"")</f>
        <v/>
      </c>
      <c r="M23" s="54" t="str">
        <f>IF(M22=1,A23,"")</f>
        <v>bir</v>
      </c>
      <c r="N23" s="54" t="str">
        <f>IF(N22=1,"yüz","")</f>
        <v/>
      </c>
      <c r="O23" s="54" t="str">
        <f>IF(O22=1,D23,"")</f>
        <v/>
      </c>
      <c r="P23" s="55" t="str">
        <f>IF(P22=1,A23,"")</f>
        <v/>
      </c>
      <c r="R23" s="559" t="s">
        <v>359</v>
      </c>
      <c r="S23" s="560"/>
      <c r="T23" s="560"/>
      <c r="U23" s="560" t="s">
        <v>358</v>
      </c>
      <c r="V23" s="560"/>
      <c r="W23" s="560"/>
      <c r="X23" s="560" t="s">
        <v>367</v>
      </c>
      <c r="Y23" s="560"/>
      <c r="Z23" s="561"/>
      <c r="AA23" s="53" t="str">
        <f>IF(AA22=1,R23&amp; " " &amp; "milyon","")</f>
        <v/>
      </c>
      <c r="AB23" s="54" t="str">
        <f>IF(AB22=1,"yüz","")</f>
        <v/>
      </c>
      <c r="AC23" s="54" t="str">
        <f>IF(AC22=1,U23,"")</f>
        <v/>
      </c>
      <c r="AD23" s="54" t="str">
        <f>IF(AD22=1,R23,"")</f>
        <v/>
      </c>
      <c r="AE23" s="54" t="str">
        <f>IF(AE22=1,"yüz","")</f>
        <v/>
      </c>
      <c r="AF23" s="54" t="str">
        <f>IF(AF22=1,U23,"")</f>
        <v/>
      </c>
      <c r="AG23" s="55" t="str">
        <f>IF(AG22=1,R23,"")</f>
        <v/>
      </c>
      <c r="AI23" s="601" t="s">
        <v>359</v>
      </c>
      <c r="AJ23" s="982"/>
      <c r="AK23" s="602"/>
      <c r="AL23" s="981" t="s">
        <v>358</v>
      </c>
      <c r="AM23" s="982"/>
      <c r="AN23" s="602"/>
      <c r="AO23" s="981" t="s">
        <v>367</v>
      </c>
      <c r="AP23" s="982"/>
      <c r="AQ23" s="983"/>
      <c r="AR23" s="53" t="e">
        <f>IF(AR22=1,AI23&amp; " " &amp; "milyon","")</f>
        <v>#VALUE!</v>
      </c>
      <c r="AS23" s="54" t="e">
        <f>IF(AS22=1,"yüz","")</f>
        <v>#VALUE!</v>
      </c>
      <c r="AT23" s="54" t="e">
        <f>IF(AT22=1,AL23,"")</f>
        <v>#VALUE!</v>
      </c>
      <c r="AU23" s="54" t="e">
        <f>IF(AU22=1,AI23,"")</f>
        <v>#VALUE!</v>
      </c>
      <c r="AV23" s="54" t="e">
        <f>IF(AV22=1,"yüz","")</f>
        <v>#VALUE!</v>
      </c>
      <c r="AW23" s="54" t="e">
        <f>IF(AW22=1,AL23,"")</f>
        <v>#VALUE!</v>
      </c>
      <c r="AX23" s="55" t="e">
        <f>IF(AX22=1,AI23,"")</f>
        <v>#VALUE!</v>
      </c>
      <c r="AZ23" s="559" t="s">
        <v>359</v>
      </c>
      <c r="BA23" s="560"/>
      <c r="BB23" s="560"/>
      <c r="BC23" s="560" t="s">
        <v>358</v>
      </c>
      <c r="BD23" s="560"/>
      <c r="BE23" s="560"/>
      <c r="BF23" s="560" t="s">
        <v>367</v>
      </c>
      <c r="BG23" s="560"/>
      <c r="BH23" s="561"/>
      <c r="BI23" s="53" t="str">
        <f>IF(BI22=1,AZ23&amp; " " &amp; "milyon","")</f>
        <v/>
      </c>
      <c r="BJ23" s="54" t="str">
        <f>IF(BJ22=1,"yüz","")</f>
        <v/>
      </c>
      <c r="BK23" s="54" t="str">
        <f>IF(BK22=1,BC23,"")</f>
        <v/>
      </c>
      <c r="BL23" s="54" t="str">
        <f>IF(BL22=1,AZ23,"")</f>
        <v/>
      </c>
      <c r="BM23" s="54" t="str">
        <f>IF(BM22=1,"yüz","")</f>
        <v/>
      </c>
      <c r="BN23" s="54" t="str">
        <f>IF(BN22=1,BC23,"")</f>
        <v/>
      </c>
      <c r="BO23" s="55" t="str">
        <f>IF(BO22=1,AZ23,"")</f>
        <v/>
      </c>
      <c r="BP23" s="15"/>
      <c r="BQ23" s="227"/>
      <c r="BR23" s="227"/>
      <c r="BS23" s="227"/>
      <c r="BT23" s="227"/>
      <c r="BU23" s="227"/>
      <c r="BV23" s="227"/>
      <c r="BW23" s="227"/>
      <c r="BX23" s="227"/>
      <c r="BY23" s="227"/>
      <c r="BZ23" s="16"/>
      <c r="CA23" s="16"/>
      <c r="CB23" s="16"/>
      <c r="CC23" s="16"/>
      <c r="CD23" s="16"/>
      <c r="CE23" s="16"/>
      <c r="CF23" s="16"/>
      <c r="CG23" s="15"/>
      <c r="CH23" s="227"/>
      <c r="CI23" s="227"/>
      <c r="CJ23" s="227"/>
      <c r="CK23" s="227"/>
      <c r="CL23" s="227"/>
      <c r="CM23" s="227"/>
      <c r="CN23" s="227"/>
      <c r="CO23" s="227"/>
      <c r="CP23" s="227"/>
      <c r="CQ23" s="16"/>
      <c r="CR23" s="16"/>
      <c r="CS23" s="16"/>
      <c r="CT23" s="16"/>
      <c r="CU23" s="16"/>
      <c r="CV23" s="16"/>
      <c r="CW23" s="16"/>
      <c r="CX23" s="15"/>
      <c r="CY23" s="227"/>
      <c r="CZ23" s="227"/>
      <c r="DA23" s="227"/>
      <c r="DB23" s="227"/>
      <c r="DC23" s="227"/>
      <c r="DD23" s="227"/>
      <c r="DE23" s="227"/>
      <c r="DF23" s="227"/>
      <c r="DG23" s="227"/>
      <c r="DH23" s="16"/>
      <c r="DI23" s="16"/>
      <c r="DJ23" s="16"/>
      <c r="DK23" s="16"/>
      <c r="DL23" s="16"/>
      <c r="DM23" s="16"/>
      <c r="DN23" s="16"/>
      <c r="DO23" s="15"/>
      <c r="DP23" s="227"/>
      <c r="DQ23" s="227"/>
      <c r="DR23" s="227"/>
      <c r="DS23" s="227"/>
      <c r="DT23" s="227"/>
      <c r="DU23" s="227"/>
      <c r="DV23" s="227"/>
      <c r="DW23" s="227"/>
      <c r="DX23" s="227"/>
      <c r="DY23" s="16"/>
      <c r="DZ23" s="16"/>
      <c r="EA23" s="16"/>
      <c r="EB23" s="16"/>
      <c r="EC23" s="16"/>
      <c r="ED23" s="16"/>
      <c r="EE23" s="16"/>
      <c r="EF23" s="15"/>
      <c r="EG23" s="227"/>
      <c r="EH23" s="227"/>
      <c r="EI23" s="227"/>
      <c r="EJ23" s="227"/>
      <c r="EK23" s="227"/>
      <c r="EL23" s="227"/>
      <c r="EM23" s="227"/>
      <c r="EN23" s="227"/>
      <c r="EO23" s="227"/>
      <c r="EP23" s="16"/>
      <c r="EQ23" s="16"/>
      <c r="ER23" s="16"/>
      <c r="ES23" s="16"/>
      <c r="ET23" s="16"/>
      <c r="EU23" s="16"/>
      <c r="EV23" s="16"/>
      <c r="EW23" s="15"/>
      <c r="EX23" s="227"/>
      <c r="EY23" s="227"/>
      <c r="EZ23" s="227"/>
      <c r="FA23" s="227"/>
      <c r="FB23" s="227"/>
      <c r="FC23" s="227"/>
      <c r="FD23" s="227"/>
      <c r="FE23" s="227"/>
      <c r="FF23" s="227"/>
      <c r="FG23" s="16"/>
      <c r="FH23" s="16"/>
      <c r="FI23" s="16"/>
      <c r="FJ23" s="16"/>
      <c r="FK23" s="16"/>
      <c r="FL23" s="16"/>
      <c r="FM23" s="16"/>
      <c r="FN23" s="15"/>
    </row>
    <row r="24" spans="1:170" x14ac:dyDescent="0.2">
      <c r="A24" s="543" t="s">
        <v>357</v>
      </c>
      <c r="B24" s="544"/>
      <c r="C24" s="544"/>
      <c r="D24" s="544" t="s">
        <v>356</v>
      </c>
      <c r="E24" s="544"/>
      <c r="F24" s="544"/>
      <c r="G24" s="544" t="s">
        <v>366</v>
      </c>
      <c r="H24" s="544"/>
      <c r="I24" s="545"/>
      <c r="J24" s="56" t="str">
        <f>IF(J22=2,A24&amp; " " &amp; "milyon","")</f>
        <v/>
      </c>
      <c r="K24" s="57" t="str">
        <f>IF(K22=2,A24 &amp; " " &amp; "yüz","")</f>
        <v/>
      </c>
      <c r="L24" s="57" t="str">
        <f>IF(L22=2,D24,"")</f>
        <v/>
      </c>
      <c r="M24" s="57" t="str">
        <f>IF(M22=2,A24,"")</f>
        <v/>
      </c>
      <c r="N24" s="57" t="str">
        <f>IF(N22=2,A24 &amp; " " &amp; "yüz","")</f>
        <v/>
      </c>
      <c r="O24" s="57" t="str">
        <f>IF(O22=2,D24,"")</f>
        <v/>
      </c>
      <c r="P24" s="58" t="str">
        <f>IF(P22=2,A24,"")</f>
        <v/>
      </c>
      <c r="R24" s="543" t="s">
        <v>357</v>
      </c>
      <c r="S24" s="544"/>
      <c r="T24" s="544"/>
      <c r="U24" s="544" t="s">
        <v>356</v>
      </c>
      <c r="V24" s="544"/>
      <c r="W24" s="544"/>
      <c r="X24" s="544" t="s">
        <v>366</v>
      </c>
      <c r="Y24" s="544"/>
      <c r="Z24" s="545"/>
      <c r="AA24" s="56" t="str">
        <f>IF(AA22=2,R24&amp; " " &amp; "milyon","")</f>
        <v/>
      </c>
      <c r="AB24" s="57" t="str">
        <f>IF(AB22=2,R24 &amp; " " &amp; "yüz","")</f>
        <v/>
      </c>
      <c r="AC24" s="57" t="str">
        <f>IF(AC22=2,U24,"")</f>
        <v/>
      </c>
      <c r="AD24" s="57" t="str">
        <f>IF(AD22=2,R24,"")</f>
        <v/>
      </c>
      <c r="AE24" s="57" t="str">
        <f>IF(AE22=2,R24 &amp; " " &amp; "yüz","")</f>
        <v/>
      </c>
      <c r="AF24" s="57" t="str">
        <f>IF(AF22=2,U24,"")</f>
        <v/>
      </c>
      <c r="AG24" s="58" t="str">
        <f>IF(AG22=2,R24,"")</f>
        <v/>
      </c>
      <c r="AI24" s="603" t="s">
        <v>357</v>
      </c>
      <c r="AJ24" s="979"/>
      <c r="AK24" s="604"/>
      <c r="AL24" s="978" t="s">
        <v>356</v>
      </c>
      <c r="AM24" s="979"/>
      <c r="AN24" s="604"/>
      <c r="AO24" s="978" t="s">
        <v>366</v>
      </c>
      <c r="AP24" s="979"/>
      <c r="AQ24" s="980"/>
      <c r="AR24" s="56" t="e">
        <f>IF(AR22=2,AI24&amp; " " &amp; "milyon","")</f>
        <v>#VALUE!</v>
      </c>
      <c r="AS24" s="57" t="e">
        <f>IF(AS22=2,AI24 &amp; " " &amp; "yüz","")</f>
        <v>#VALUE!</v>
      </c>
      <c r="AT24" s="57" t="e">
        <f>IF(AT22=2,AL24,"")</f>
        <v>#VALUE!</v>
      </c>
      <c r="AU24" s="57" t="e">
        <f>IF(AU22=2,AI24,"")</f>
        <v>#VALUE!</v>
      </c>
      <c r="AV24" s="57" t="e">
        <f>IF(AV22=2,AI24 &amp; " " &amp; "yüz","")</f>
        <v>#VALUE!</v>
      </c>
      <c r="AW24" s="57" t="e">
        <f>IF(AW22=2,AL24,"")</f>
        <v>#VALUE!</v>
      </c>
      <c r="AX24" s="58" t="e">
        <f>IF(AX22=2,AI24,"")</f>
        <v>#VALUE!</v>
      </c>
      <c r="AZ24" s="543" t="s">
        <v>357</v>
      </c>
      <c r="BA24" s="544"/>
      <c r="BB24" s="544"/>
      <c r="BC24" s="544" t="s">
        <v>356</v>
      </c>
      <c r="BD24" s="544"/>
      <c r="BE24" s="544"/>
      <c r="BF24" s="544" t="s">
        <v>366</v>
      </c>
      <c r="BG24" s="544"/>
      <c r="BH24" s="545"/>
      <c r="BI24" s="56" t="str">
        <f>IF(BI22=2,AZ24&amp; " " &amp; "milyon","")</f>
        <v/>
      </c>
      <c r="BJ24" s="57" t="str">
        <f>IF(BJ22=2,AZ24 &amp; " " &amp; "yüz","")</f>
        <v/>
      </c>
      <c r="BK24" s="57" t="str">
        <f>IF(BK22=2,BC24,"")</f>
        <v/>
      </c>
      <c r="BL24" s="57" t="str">
        <f>IF(BL22=2,AZ24,"")</f>
        <v/>
      </c>
      <c r="BM24" s="57" t="str">
        <f>IF(BM22=2,AZ24 &amp; " " &amp; "yüz","")</f>
        <v/>
      </c>
      <c r="BN24" s="57" t="str">
        <f>IF(BN22=2,BC24,"")</f>
        <v/>
      </c>
      <c r="BO24" s="58" t="str">
        <f>IF(BO22=2,AZ24,"")</f>
        <v/>
      </c>
      <c r="BP24" s="15"/>
      <c r="CA24" s="16"/>
      <c r="CB24" s="16"/>
      <c r="CC24" s="16"/>
      <c r="CD24" s="16"/>
      <c r="CE24" s="16"/>
      <c r="CF24" s="16"/>
      <c r="CG24" s="15"/>
      <c r="CH24" s="227"/>
      <c r="CI24" s="227"/>
      <c r="CJ24" s="227"/>
      <c r="CK24" s="227"/>
      <c r="CL24" s="227"/>
      <c r="CM24" s="227"/>
      <c r="CN24" s="227"/>
      <c r="CO24" s="227"/>
      <c r="CP24" s="227"/>
      <c r="CQ24" s="16"/>
      <c r="CR24" s="16"/>
      <c r="CS24" s="16"/>
      <c r="CT24" s="16"/>
      <c r="CU24" s="16"/>
      <c r="CV24" s="16"/>
      <c r="CW24" s="16"/>
      <c r="CX24" s="15"/>
      <c r="CY24" s="227"/>
      <c r="CZ24" s="227"/>
      <c r="DA24" s="227"/>
      <c r="DB24" s="227"/>
      <c r="DC24" s="227"/>
      <c r="DD24" s="227"/>
      <c r="DE24" s="227"/>
      <c r="DF24" s="227"/>
      <c r="DG24" s="227"/>
      <c r="DH24" s="16"/>
      <c r="DI24" s="16"/>
      <c r="DJ24" s="16"/>
      <c r="DK24" s="16"/>
      <c r="DL24" s="16"/>
      <c r="DM24" s="16"/>
      <c r="DN24" s="16"/>
      <c r="DO24" s="15"/>
      <c r="DP24" s="227"/>
      <c r="DQ24" s="227"/>
      <c r="DR24" s="227"/>
      <c r="DS24" s="227"/>
      <c r="DT24" s="227"/>
      <c r="DU24" s="227"/>
      <c r="DV24" s="227"/>
      <c r="DW24" s="227"/>
      <c r="DX24" s="227"/>
      <c r="DY24" s="16"/>
      <c r="DZ24" s="16"/>
      <c r="EA24" s="16"/>
      <c r="EB24" s="16"/>
      <c r="EC24" s="16"/>
      <c r="ED24" s="16"/>
      <c r="EE24" s="16"/>
      <c r="EF24" s="15"/>
      <c r="EG24" s="227"/>
      <c r="EH24" s="227"/>
      <c r="EI24" s="227"/>
      <c r="EJ24" s="227"/>
      <c r="EK24" s="227"/>
      <c r="EL24" s="227"/>
      <c r="EM24" s="227"/>
      <c r="EN24" s="227"/>
      <c r="EO24" s="227"/>
      <c r="EP24" s="16"/>
      <c r="EQ24" s="16"/>
      <c r="ER24" s="16"/>
      <c r="ES24" s="16"/>
      <c r="ET24" s="16"/>
      <c r="EU24" s="16"/>
      <c r="EV24" s="16"/>
      <c r="EW24" s="15"/>
      <c r="EX24" s="227"/>
      <c r="EY24" s="227"/>
      <c r="EZ24" s="227"/>
      <c r="FA24" s="227"/>
      <c r="FB24" s="227"/>
      <c r="FC24" s="227"/>
      <c r="FD24" s="227"/>
      <c r="FE24" s="227"/>
      <c r="FF24" s="227"/>
      <c r="FG24" s="16"/>
      <c r="FH24" s="16"/>
      <c r="FI24" s="16"/>
      <c r="FJ24" s="16"/>
      <c r="FK24" s="16"/>
      <c r="FL24" s="16"/>
      <c r="FM24" s="16"/>
      <c r="FN24" s="15"/>
    </row>
    <row r="25" spans="1:170" x14ac:dyDescent="0.2">
      <c r="A25" s="543" t="s">
        <v>355</v>
      </c>
      <c r="B25" s="544"/>
      <c r="C25" s="544"/>
      <c r="D25" s="544" t="s">
        <v>354</v>
      </c>
      <c r="E25" s="544"/>
      <c r="F25" s="544"/>
      <c r="G25" s="544" t="s">
        <v>365</v>
      </c>
      <c r="H25" s="544"/>
      <c r="I25" s="545"/>
      <c r="J25" s="56" t="str">
        <f>IF(J22=3,A25&amp; " " &amp; "milyon","")</f>
        <v/>
      </c>
      <c r="K25" s="57" t="str">
        <f>IF(K22=3,A25  &amp; " " &amp; "yüz","")</f>
        <v/>
      </c>
      <c r="L25" s="57" t="str">
        <f>IF(L22=3,D25,"")</f>
        <v/>
      </c>
      <c r="M25" s="57" t="str">
        <f>IF(M22=3,A25,"")</f>
        <v/>
      </c>
      <c r="N25" s="57" t="str">
        <f>IF(N22=3,A25  &amp; " " &amp; "yüz","")</f>
        <v/>
      </c>
      <c r="O25" s="57" t="str">
        <f>IF(O22=3,D25,"")</f>
        <v/>
      </c>
      <c r="P25" s="58" t="str">
        <f>IF(P22=3,A25,"")</f>
        <v/>
      </c>
      <c r="R25" s="543" t="s">
        <v>355</v>
      </c>
      <c r="S25" s="544"/>
      <c r="T25" s="544"/>
      <c r="U25" s="544" t="s">
        <v>354</v>
      </c>
      <c r="V25" s="544"/>
      <c r="W25" s="544"/>
      <c r="X25" s="544" t="s">
        <v>365</v>
      </c>
      <c r="Y25" s="544"/>
      <c r="Z25" s="545"/>
      <c r="AA25" s="56" t="str">
        <f>IF(AA22=3,R25&amp; " " &amp; "milyon","")</f>
        <v/>
      </c>
      <c r="AB25" s="57" t="str">
        <f>IF(AB22=3,R25  &amp; " " &amp; "yüz","")</f>
        <v/>
      </c>
      <c r="AC25" s="57" t="str">
        <f>IF(AC22=3,U25,"")</f>
        <v/>
      </c>
      <c r="AD25" s="57" t="str">
        <f>IF(AD22=3,R25,"")</f>
        <v/>
      </c>
      <c r="AE25" s="57" t="str">
        <f>IF(AE22=3,R25  &amp; " " &amp; "yüz","")</f>
        <v/>
      </c>
      <c r="AF25" s="57" t="str">
        <f>IF(AF22=3,U25,"")</f>
        <v>otuz</v>
      </c>
      <c r="AG25" s="58" t="str">
        <f>IF(AG22=3,R25,"")</f>
        <v/>
      </c>
      <c r="AI25" s="603" t="s">
        <v>355</v>
      </c>
      <c r="AJ25" s="979"/>
      <c r="AK25" s="604"/>
      <c r="AL25" s="978" t="s">
        <v>354</v>
      </c>
      <c r="AM25" s="979"/>
      <c r="AN25" s="604"/>
      <c r="AO25" s="978" t="s">
        <v>365</v>
      </c>
      <c r="AP25" s="979"/>
      <c r="AQ25" s="980"/>
      <c r="AR25" s="56" t="e">
        <f>IF(AR22=3,AI25&amp; " " &amp; "milyon","")</f>
        <v>#VALUE!</v>
      </c>
      <c r="AS25" s="57" t="e">
        <f>IF(AS22=3,AI25  &amp; " " &amp; "yüz","")</f>
        <v>#VALUE!</v>
      </c>
      <c r="AT25" s="57" t="e">
        <f>IF(AT22=3,AL25,"")</f>
        <v>#VALUE!</v>
      </c>
      <c r="AU25" s="57" t="e">
        <f>IF(AU22=3,AI25,"")</f>
        <v>#VALUE!</v>
      </c>
      <c r="AV25" s="57" t="e">
        <f>IF(AV22=3,AI25  &amp; " " &amp; "yüz","")</f>
        <v>#VALUE!</v>
      </c>
      <c r="AW25" s="57" t="e">
        <f>IF(AW22=3,AL25,"")</f>
        <v>#VALUE!</v>
      </c>
      <c r="AX25" s="58" t="e">
        <f>IF(AX22=3,AI25,"")</f>
        <v>#VALUE!</v>
      </c>
      <c r="AZ25" s="543" t="s">
        <v>355</v>
      </c>
      <c r="BA25" s="544"/>
      <c r="BB25" s="544"/>
      <c r="BC25" s="544" t="s">
        <v>354</v>
      </c>
      <c r="BD25" s="544"/>
      <c r="BE25" s="544"/>
      <c r="BF25" s="544" t="s">
        <v>365</v>
      </c>
      <c r="BG25" s="544"/>
      <c r="BH25" s="545"/>
      <c r="BI25" s="56" t="str">
        <f>IF(BI22=3,AZ25&amp; " " &amp; "milyon","")</f>
        <v/>
      </c>
      <c r="BJ25" s="57" t="str">
        <f>IF(BJ22=3,AZ25  &amp; " " &amp; "yüz","")</f>
        <v/>
      </c>
      <c r="BK25" s="57" t="str">
        <f>IF(BK22=3,BC25,"")</f>
        <v/>
      </c>
      <c r="BL25" s="57" t="str">
        <f>IF(BL22=3,AZ25,"")</f>
        <v/>
      </c>
      <c r="BM25" s="57" t="str">
        <f>IF(BM22=3,AZ25  &amp; " " &amp; "yüz","")</f>
        <v/>
      </c>
      <c r="BN25" s="57" t="str">
        <f>IF(BN22=3,BC25,"")</f>
        <v/>
      </c>
      <c r="BO25" s="58" t="str">
        <f>IF(BO22=3,AZ25,"")</f>
        <v>üç</v>
      </c>
      <c r="BP25" s="15"/>
      <c r="CA25" s="16"/>
      <c r="CB25" s="16"/>
      <c r="CC25" s="16"/>
      <c r="CD25" s="16"/>
      <c r="CE25" s="16"/>
      <c r="CF25" s="16"/>
      <c r="CG25" s="15"/>
      <c r="CH25" s="227"/>
      <c r="CI25" s="227"/>
      <c r="CJ25" s="227"/>
      <c r="CK25" s="227"/>
      <c r="CL25" s="227"/>
      <c r="CM25" s="227"/>
      <c r="CN25" s="227"/>
      <c r="CO25" s="227"/>
      <c r="CP25" s="227"/>
      <c r="CQ25" s="16"/>
      <c r="CR25" s="16"/>
      <c r="CS25" s="16"/>
      <c r="CT25" s="16"/>
      <c r="CU25" s="16"/>
      <c r="CV25" s="16"/>
      <c r="CW25" s="16"/>
      <c r="CX25" s="15"/>
      <c r="CY25" s="227"/>
      <c r="CZ25" s="227"/>
      <c r="DA25" s="227"/>
      <c r="DB25" s="227"/>
      <c r="DC25" s="227"/>
      <c r="DD25" s="227"/>
      <c r="DE25" s="227"/>
      <c r="DF25" s="227"/>
      <c r="DG25" s="227"/>
      <c r="DH25" s="16"/>
      <c r="DI25" s="16"/>
      <c r="DJ25" s="16"/>
      <c r="DK25" s="16"/>
      <c r="DL25" s="16"/>
      <c r="DM25" s="16"/>
      <c r="DN25" s="16"/>
      <c r="DO25" s="15"/>
      <c r="DP25" s="227"/>
      <c r="DQ25" s="227"/>
      <c r="DR25" s="227"/>
      <c r="DS25" s="227"/>
      <c r="DT25" s="227"/>
      <c r="DU25" s="227"/>
      <c r="DV25" s="227"/>
      <c r="DW25" s="227"/>
      <c r="DX25" s="227"/>
      <c r="DY25" s="16"/>
      <c r="DZ25" s="16"/>
      <c r="EA25" s="16"/>
      <c r="EB25" s="16"/>
      <c r="EC25" s="16"/>
      <c r="ED25" s="16"/>
      <c r="EE25" s="16"/>
      <c r="EF25" s="15"/>
      <c r="EG25" s="227"/>
      <c r="EH25" s="227"/>
      <c r="EI25" s="227"/>
      <c r="EJ25" s="227"/>
      <c r="EK25" s="227"/>
      <c r="EL25" s="227"/>
      <c r="EM25" s="227"/>
      <c r="EN25" s="227"/>
      <c r="EO25" s="227"/>
      <c r="EP25" s="16"/>
      <c r="EQ25" s="16"/>
      <c r="ER25" s="16"/>
      <c r="ES25" s="16"/>
      <c r="ET25" s="16"/>
      <c r="EU25" s="16"/>
      <c r="EV25" s="16"/>
      <c r="EW25" s="15"/>
      <c r="EX25" s="227"/>
      <c r="EY25" s="227"/>
      <c r="EZ25" s="227"/>
      <c r="FA25" s="227"/>
      <c r="FB25" s="227"/>
      <c r="FC25" s="227"/>
      <c r="FD25" s="227"/>
      <c r="FE25" s="227"/>
      <c r="FF25" s="227"/>
      <c r="FG25" s="16"/>
      <c r="FH25" s="16"/>
      <c r="FI25" s="16"/>
      <c r="FJ25" s="16"/>
      <c r="FK25" s="16"/>
      <c r="FL25" s="16"/>
      <c r="FM25" s="16"/>
      <c r="FN25" s="15"/>
    </row>
    <row r="26" spans="1:170" x14ac:dyDescent="0.2">
      <c r="A26" s="543" t="s">
        <v>353</v>
      </c>
      <c r="B26" s="544"/>
      <c r="C26" s="544"/>
      <c r="D26" s="544" t="s">
        <v>352</v>
      </c>
      <c r="E26" s="544"/>
      <c r="F26" s="544"/>
      <c r="G26" s="544"/>
      <c r="H26" s="544"/>
      <c r="I26" s="545"/>
      <c r="J26" s="56" t="str">
        <f>IF(J22=4,A26&amp; " " &amp; "milyon","")</f>
        <v/>
      </c>
      <c r="K26" s="57" t="str">
        <f>IF(K22=4,A26 &amp; " " &amp; "yüz","")</f>
        <v/>
      </c>
      <c r="L26" s="57" t="str">
        <f>IF(L22=4,D26,"")</f>
        <v/>
      </c>
      <c r="M26" s="57" t="str">
        <f>IF(M22=4,A26,"")</f>
        <v/>
      </c>
      <c r="N26" s="57" t="str">
        <f>IF(N22=4,A26 &amp; " " &amp; "yüz","")</f>
        <v/>
      </c>
      <c r="O26" s="57" t="str">
        <f>IF(O22=4,D26,"")</f>
        <v/>
      </c>
      <c r="P26" s="58" t="str">
        <f>IF(P22=4,A26,"")</f>
        <v/>
      </c>
      <c r="R26" s="543" t="s">
        <v>353</v>
      </c>
      <c r="S26" s="544"/>
      <c r="T26" s="544"/>
      <c r="U26" s="544" t="s">
        <v>352</v>
      </c>
      <c r="V26" s="544"/>
      <c r="W26" s="544"/>
      <c r="X26" s="544"/>
      <c r="Y26" s="544"/>
      <c r="Z26" s="545"/>
      <c r="AA26" s="56" t="str">
        <f>IF(AA22=4,R26&amp; " " &amp; "milyon","")</f>
        <v/>
      </c>
      <c r="AB26" s="57" t="str">
        <f>IF(AB22=4,R26 &amp; " " &amp; "yüz","")</f>
        <v/>
      </c>
      <c r="AC26" s="57" t="str">
        <f>IF(AC22=4,U26,"")</f>
        <v/>
      </c>
      <c r="AD26" s="57" t="str">
        <f>IF(AD22=4,R26,"")</f>
        <v/>
      </c>
      <c r="AE26" s="57" t="str">
        <f>IF(AE22=4,R26 &amp; " " &amp; "yüz","")</f>
        <v/>
      </c>
      <c r="AF26" s="57" t="str">
        <f>IF(AF22=4,U26,"")</f>
        <v/>
      </c>
      <c r="AG26" s="58" t="str">
        <f>IF(AG22=4,R26,"")</f>
        <v/>
      </c>
      <c r="AI26" s="603" t="s">
        <v>353</v>
      </c>
      <c r="AJ26" s="979"/>
      <c r="AK26" s="604"/>
      <c r="AL26" s="978" t="s">
        <v>352</v>
      </c>
      <c r="AM26" s="979"/>
      <c r="AN26" s="604"/>
      <c r="AO26" s="978"/>
      <c r="AP26" s="979"/>
      <c r="AQ26" s="980"/>
      <c r="AR26" s="56" t="e">
        <f>IF(AR22=4,AI26&amp; " " &amp; "milyon","")</f>
        <v>#VALUE!</v>
      </c>
      <c r="AS26" s="57" t="e">
        <f>IF(AS22=4,AI26 &amp; " " &amp; "yüz","")</f>
        <v>#VALUE!</v>
      </c>
      <c r="AT26" s="57" t="e">
        <f>IF(AT22=4,AL26,"")</f>
        <v>#VALUE!</v>
      </c>
      <c r="AU26" s="57" t="e">
        <f>IF(AU22=4,AI26,"")</f>
        <v>#VALUE!</v>
      </c>
      <c r="AV26" s="57" t="e">
        <f>IF(AV22=4,AI26 &amp; " " &amp; "yüz","")</f>
        <v>#VALUE!</v>
      </c>
      <c r="AW26" s="57" t="e">
        <f>IF(AW22=4,AL26,"")</f>
        <v>#VALUE!</v>
      </c>
      <c r="AX26" s="58" t="e">
        <f>IF(AX22=4,AI26,"")</f>
        <v>#VALUE!</v>
      </c>
      <c r="AZ26" s="543" t="s">
        <v>353</v>
      </c>
      <c r="BA26" s="544"/>
      <c r="BB26" s="544"/>
      <c r="BC26" s="544" t="s">
        <v>352</v>
      </c>
      <c r="BD26" s="544"/>
      <c r="BE26" s="544"/>
      <c r="BF26" s="544"/>
      <c r="BG26" s="544"/>
      <c r="BH26" s="545"/>
      <c r="BI26" s="56" t="str">
        <f>IF(BI22=4,AZ26&amp; " " &amp; "milyon","")</f>
        <v/>
      </c>
      <c r="BJ26" s="57" t="str">
        <f>IF(BJ22=4,AZ26 &amp; " " &amp; "yüz","")</f>
        <v/>
      </c>
      <c r="BK26" s="57" t="str">
        <f>IF(BK22=4,BC26,"")</f>
        <v/>
      </c>
      <c r="BL26" s="57" t="str">
        <f>IF(BL22=4,AZ26,"")</f>
        <v/>
      </c>
      <c r="BM26" s="57" t="str">
        <f>IF(BM22=4,AZ26 &amp; " " &amp; "yüz","")</f>
        <v/>
      </c>
      <c r="BN26" s="57" t="str">
        <f>IF(BN22=4,BC26,"")</f>
        <v/>
      </c>
      <c r="BO26" s="58" t="str">
        <f>IF(BO22=4,AZ26,"")</f>
        <v/>
      </c>
      <c r="BP26" s="15"/>
      <c r="CA26" s="16"/>
      <c r="CB26" s="16"/>
      <c r="CC26" s="16"/>
      <c r="CD26" s="16"/>
      <c r="CE26" s="16"/>
      <c r="CF26" s="16"/>
      <c r="CG26" s="15"/>
      <c r="CH26" s="227"/>
      <c r="CI26" s="227"/>
      <c r="CJ26" s="227"/>
      <c r="CK26" s="227"/>
      <c r="CL26" s="227"/>
      <c r="CM26" s="227"/>
      <c r="CN26" s="227"/>
      <c r="CO26" s="227"/>
      <c r="CP26" s="227"/>
      <c r="CQ26" s="16"/>
      <c r="CR26" s="16"/>
      <c r="CS26" s="16"/>
      <c r="CT26" s="16"/>
      <c r="CU26" s="16"/>
      <c r="CV26" s="16"/>
      <c r="CW26" s="16"/>
      <c r="CX26" s="15"/>
      <c r="CY26" s="227"/>
      <c r="CZ26" s="227"/>
      <c r="DA26" s="227"/>
      <c r="DB26" s="227"/>
      <c r="DC26" s="227"/>
      <c r="DD26" s="227"/>
      <c r="DE26" s="227"/>
      <c r="DF26" s="227"/>
      <c r="DG26" s="227"/>
      <c r="DH26" s="16"/>
      <c r="DI26" s="16"/>
      <c r="DJ26" s="16"/>
      <c r="DK26" s="16"/>
      <c r="DL26" s="16"/>
      <c r="DM26" s="16"/>
      <c r="DN26" s="16"/>
      <c r="DO26" s="15"/>
      <c r="DP26" s="227"/>
      <c r="DQ26" s="227"/>
      <c r="DR26" s="227"/>
      <c r="DS26" s="227"/>
      <c r="DT26" s="227"/>
      <c r="DU26" s="227"/>
      <c r="DV26" s="227"/>
      <c r="DW26" s="227"/>
      <c r="DX26" s="227"/>
      <c r="DY26" s="16"/>
      <c r="DZ26" s="16"/>
      <c r="EA26" s="16"/>
      <c r="EB26" s="16"/>
      <c r="EC26" s="16"/>
      <c r="ED26" s="16"/>
      <c r="EE26" s="16"/>
      <c r="EF26" s="15"/>
      <c r="EG26" s="227"/>
      <c r="EH26" s="227"/>
      <c r="EI26" s="227"/>
      <c r="EJ26" s="227"/>
      <c r="EK26" s="227"/>
      <c r="EL26" s="227"/>
      <c r="EM26" s="227"/>
      <c r="EN26" s="227"/>
      <c r="EO26" s="227"/>
      <c r="EP26" s="16"/>
      <c r="EQ26" s="16"/>
      <c r="ER26" s="16"/>
      <c r="ES26" s="16"/>
      <c r="ET26" s="16"/>
      <c r="EU26" s="16"/>
      <c r="EV26" s="16"/>
      <c r="EW26" s="15"/>
      <c r="EX26" s="227"/>
      <c r="EY26" s="227"/>
      <c r="EZ26" s="227"/>
      <c r="FA26" s="227"/>
      <c r="FB26" s="227"/>
      <c r="FC26" s="227"/>
      <c r="FD26" s="227"/>
      <c r="FE26" s="227"/>
      <c r="FF26" s="227"/>
      <c r="FG26" s="16"/>
      <c r="FH26" s="16"/>
      <c r="FI26" s="16"/>
      <c r="FJ26" s="16"/>
      <c r="FK26" s="16"/>
      <c r="FL26" s="16"/>
      <c r="FM26" s="16"/>
      <c r="FN26" s="15"/>
    </row>
    <row r="27" spans="1:170" x14ac:dyDescent="0.2">
      <c r="A27" s="543" t="s">
        <v>351</v>
      </c>
      <c r="B27" s="544"/>
      <c r="C27" s="544"/>
      <c r="D27" s="544" t="s">
        <v>350</v>
      </c>
      <c r="E27" s="544"/>
      <c r="F27" s="544"/>
      <c r="G27" s="544"/>
      <c r="H27" s="544"/>
      <c r="I27" s="545"/>
      <c r="J27" s="56" t="str">
        <f>IF(J22=5,A27&amp; " " &amp; "milyon","")</f>
        <v/>
      </c>
      <c r="K27" s="57" t="str">
        <f>IF(K22=5,A27 &amp; " " &amp; "yüz","")</f>
        <v/>
      </c>
      <c r="L27" s="57" t="str">
        <f>IF(L22=5,D27,"")</f>
        <v/>
      </c>
      <c r="M27" s="57" t="str">
        <f>IF(M22=5,A27,"")</f>
        <v/>
      </c>
      <c r="N27" s="57" t="str">
        <f>IF(N22=5,A27 &amp; " " &amp; "yüz","")</f>
        <v/>
      </c>
      <c r="O27" s="57" t="str">
        <f>IF(O22=5,D27,"")</f>
        <v/>
      </c>
      <c r="P27" s="58" t="str">
        <f>IF(P22=5,A27,"")</f>
        <v/>
      </c>
      <c r="R27" s="543" t="s">
        <v>351</v>
      </c>
      <c r="S27" s="544"/>
      <c r="T27" s="544"/>
      <c r="U27" s="544" t="s">
        <v>350</v>
      </c>
      <c r="V27" s="544"/>
      <c r="W27" s="544"/>
      <c r="X27" s="544"/>
      <c r="Y27" s="544"/>
      <c r="Z27" s="545"/>
      <c r="AA27" s="56" t="str">
        <f>IF(AA22=5,R27&amp; " " &amp; "milyon","")</f>
        <v/>
      </c>
      <c r="AB27" s="57" t="str">
        <f>IF(AB22=5,R27 &amp; " " &amp; "yüz","")</f>
        <v/>
      </c>
      <c r="AC27" s="57" t="str">
        <f>IF(AC22=5,U27,"")</f>
        <v/>
      </c>
      <c r="AD27" s="57" t="str">
        <f>IF(AD22=5,R27,"")</f>
        <v>beş</v>
      </c>
      <c r="AE27" s="57" t="str">
        <f>IF(AE22=5,R27 &amp; " " &amp; "yüz","")</f>
        <v/>
      </c>
      <c r="AF27" s="57" t="str">
        <f>IF(AF22=5,U27,"")</f>
        <v/>
      </c>
      <c r="AG27" s="58" t="str">
        <f>IF(AG22=5,R27,"")</f>
        <v/>
      </c>
      <c r="AI27" s="603" t="s">
        <v>351</v>
      </c>
      <c r="AJ27" s="979"/>
      <c r="AK27" s="604"/>
      <c r="AL27" s="978" t="s">
        <v>350</v>
      </c>
      <c r="AM27" s="979"/>
      <c r="AN27" s="604"/>
      <c r="AO27" s="978"/>
      <c r="AP27" s="979"/>
      <c r="AQ27" s="980"/>
      <c r="AR27" s="56" t="e">
        <f>IF(AR22=5,AI27&amp; " " &amp; "milyon","")</f>
        <v>#VALUE!</v>
      </c>
      <c r="AS27" s="57" t="e">
        <f>IF(AS22=5,AI27 &amp; " " &amp; "yüz","")</f>
        <v>#VALUE!</v>
      </c>
      <c r="AT27" s="57" t="e">
        <f>IF(AT22=5,AL27,"")</f>
        <v>#VALUE!</v>
      </c>
      <c r="AU27" s="57" t="e">
        <f>IF(AU22=5,AI27,"")</f>
        <v>#VALUE!</v>
      </c>
      <c r="AV27" s="57" t="e">
        <f>IF(AV22=5,AI27 &amp; " " &amp; "yüz","")</f>
        <v>#VALUE!</v>
      </c>
      <c r="AW27" s="57" t="e">
        <f>IF(AW22=5,AL27,"")</f>
        <v>#VALUE!</v>
      </c>
      <c r="AX27" s="58" t="e">
        <f>IF(AX22=5,AI27,"")</f>
        <v>#VALUE!</v>
      </c>
      <c r="AZ27" s="543" t="s">
        <v>351</v>
      </c>
      <c r="BA27" s="544"/>
      <c r="BB27" s="544"/>
      <c r="BC27" s="544" t="s">
        <v>350</v>
      </c>
      <c r="BD27" s="544"/>
      <c r="BE27" s="544"/>
      <c r="BF27" s="544"/>
      <c r="BG27" s="544"/>
      <c r="BH27" s="545"/>
      <c r="BI27" s="56" t="str">
        <f>IF(BI22=5,AZ27&amp; " " &amp; "milyon","")</f>
        <v/>
      </c>
      <c r="BJ27" s="57" t="str">
        <f>IF(BJ22=5,AZ27 &amp; " " &amp; "yüz","")</f>
        <v/>
      </c>
      <c r="BK27" s="57" t="str">
        <f>IF(BK22=5,BC27,"")</f>
        <v/>
      </c>
      <c r="BL27" s="57" t="str">
        <f>IF(BL22=5,AZ27,"")</f>
        <v/>
      </c>
      <c r="BM27" s="57" t="str">
        <f>IF(BM22=5,AZ27 &amp; " " &amp; "yüz","")</f>
        <v/>
      </c>
      <c r="BN27" s="57" t="str">
        <f>IF(BN22=5,BC27,"")</f>
        <v/>
      </c>
      <c r="BO27" s="58" t="str">
        <f>IF(BO22=5,AZ27,"")</f>
        <v/>
      </c>
      <c r="BP27" s="15"/>
      <c r="BQ27" s="227"/>
      <c r="BR27" s="227"/>
      <c r="BS27" s="227"/>
      <c r="BT27" s="227"/>
      <c r="BU27" s="227"/>
      <c r="BV27" s="227"/>
      <c r="BW27" s="227"/>
      <c r="BX27" s="227"/>
      <c r="BY27" s="227"/>
      <c r="BZ27" s="16"/>
      <c r="CA27" s="16"/>
      <c r="CB27" s="16"/>
      <c r="CC27" s="16"/>
      <c r="CD27" s="16"/>
      <c r="CE27" s="16"/>
      <c r="CF27" s="16"/>
      <c r="CG27" s="15"/>
      <c r="CH27" s="227"/>
      <c r="CI27" s="227"/>
      <c r="CJ27" s="227"/>
      <c r="CK27" s="227"/>
      <c r="CL27" s="227"/>
      <c r="CM27" s="227"/>
      <c r="CN27" s="227"/>
      <c r="CO27" s="227"/>
      <c r="CP27" s="227"/>
      <c r="CQ27" s="16"/>
      <c r="CR27" s="16"/>
      <c r="CS27" s="16"/>
      <c r="CT27" s="16"/>
      <c r="CU27" s="16"/>
      <c r="CV27" s="16"/>
      <c r="CW27" s="16"/>
      <c r="CX27" s="15"/>
      <c r="CY27" s="227"/>
      <c r="CZ27" s="227"/>
      <c r="DA27" s="227"/>
      <c r="DB27" s="227"/>
      <c r="DC27" s="227"/>
      <c r="DD27" s="227"/>
      <c r="DE27" s="227"/>
      <c r="DF27" s="227"/>
      <c r="DG27" s="227"/>
      <c r="DH27" s="16"/>
      <c r="DI27" s="16"/>
      <c r="DJ27" s="16"/>
      <c r="DK27" s="16"/>
      <c r="DL27" s="16"/>
      <c r="DM27" s="16"/>
      <c r="DN27" s="16"/>
      <c r="DO27" s="15"/>
      <c r="DP27" s="227"/>
      <c r="DQ27" s="227"/>
      <c r="DR27" s="227"/>
      <c r="DS27" s="227"/>
      <c r="DT27" s="227"/>
      <c r="DU27" s="227"/>
      <c r="DV27" s="227"/>
      <c r="DW27" s="227"/>
      <c r="DX27" s="227"/>
      <c r="DY27" s="16"/>
      <c r="DZ27" s="16"/>
      <c r="EA27" s="16"/>
      <c r="EB27" s="16"/>
      <c r="EC27" s="16"/>
      <c r="ED27" s="16"/>
      <c r="EE27" s="16"/>
      <c r="EF27" s="15"/>
      <c r="EG27" s="227"/>
      <c r="EH27" s="227"/>
      <c r="EI27" s="227"/>
      <c r="EJ27" s="227"/>
      <c r="EK27" s="227"/>
      <c r="EL27" s="227"/>
      <c r="EM27" s="227"/>
      <c r="EN27" s="227"/>
      <c r="EO27" s="227"/>
      <c r="EP27" s="16"/>
      <c r="EQ27" s="16"/>
      <c r="ER27" s="16"/>
      <c r="ES27" s="16"/>
      <c r="ET27" s="16"/>
      <c r="EU27" s="16"/>
      <c r="EV27" s="16"/>
      <c r="EW27" s="15"/>
      <c r="EX27" s="227"/>
      <c r="EY27" s="227"/>
      <c r="EZ27" s="227"/>
      <c r="FA27" s="227"/>
      <c r="FB27" s="227"/>
      <c r="FC27" s="227"/>
      <c r="FD27" s="227"/>
      <c r="FE27" s="227"/>
      <c r="FF27" s="227"/>
      <c r="FG27" s="16"/>
      <c r="FH27" s="16"/>
      <c r="FI27" s="16"/>
      <c r="FJ27" s="16"/>
      <c r="FK27" s="16"/>
      <c r="FL27" s="16"/>
      <c r="FM27" s="16"/>
      <c r="FN27" s="15"/>
    </row>
    <row r="28" spans="1:170" x14ac:dyDescent="0.2">
      <c r="A28" s="543" t="s">
        <v>349</v>
      </c>
      <c r="B28" s="544"/>
      <c r="C28" s="544"/>
      <c r="D28" s="544" t="s">
        <v>348</v>
      </c>
      <c r="E28" s="544"/>
      <c r="F28" s="544"/>
      <c r="G28" s="544"/>
      <c r="H28" s="544"/>
      <c r="I28" s="545"/>
      <c r="J28" s="56" t="str">
        <f>IF(J22=6,A28&amp; " " &amp; "milyon","")</f>
        <v/>
      </c>
      <c r="K28" s="57" t="str">
        <f>IF(K22=6,A28  &amp; " " &amp; "yüz","")</f>
        <v/>
      </c>
      <c r="L28" s="57" t="str">
        <f>IF(L22=6,D28,"")</f>
        <v/>
      </c>
      <c r="M28" s="57" t="str">
        <f>IF(M22=6,A28,"")</f>
        <v/>
      </c>
      <c r="N28" s="57" t="str">
        <f>IF(N22=6,A28  &amp; " " &amp; "yüz","")</f>
        <v/>
      </c>
      <c r="O28" s="57" t="str">
        <f>IF(O22=6,D28,"")</f>
        <v/>
      </c>
      <c r="P28" s="58" t="str">
        <f>IF(P22=6,A28,"")</f>
        <v/>
      </c>
      <c r="R28" s="543" t="s">
        <v>349</v>
      </c>
      <c r="S28" s="544"/>
      <c r="T28" s="544"/>
      <c r="U28" s="544" t="s">
        <v>348</v>
      </c>
      <c r="V28" s="544"/>
      <c r="W28" s="544"/>
      <c r="X28" s="544"/>
      <c r="Y28" s="544"/>
      <c r="Z28" s="545"/>
      <c r="AA28" s="56" t="str">
        <f>IF(AA22=6,R28&amp; " " &amp; "milyon","")</f>
        <v/>
      </c>
      <c r="AB28" s="57" t="str">
        <f>IF(AB22=6,R28  &amp; " " &amp; "yüz","")</f>
        <v/>
      </c>
      <c r="AC28" s="57" t="str">
        <f>IF(AC22=6,U28,"")</f>
        <v/>
      </c>
      <c r="AD28" s="57" t="str">
        <f>IF(AD22=6,R28,"")</f>
        <v/>
      </c>
      <c r="AE28" s="57" t="str">
        <f>IF(AE22=6,R28  &amp; " " &amp; "yüz","")</f>
        <v/>
      </c>
      <c r="AF28" s="57" t="str">
        <f>IF(AF22=6,U28,"")</f>
        <v/>
      </c>
      <c r="AG28" s="58" t="str">
        <f>IF(AG22=6,R28,"")</f>
        <v/>
      </c>
      <c r="AI28" s="603" t="s">
        <v>349</v>
      </c>
      <c r="AJ28" s="979"/>
      <c r="AK28" s="604"/>
      <c r="AL28" s="978" t="s">
        <v>348</v>
      </c>
      <c r="AM28" s="979"/>
      <c r="AN28" s="604"/>
      <c r="AO28" s="978"/>
      <c r="AP28" s="979"/>
      <c r="AQ28" s="980"/>
      <c r="AR28" s="56" t="e">
        <f>IF(AR22=6,AI28&amp; " " &amp; "milyon","")</f>
        <v>#VALUE!</v>
      </c>
      <c r="AS28" s="57" t="e">
        <f>IF(AS22=6,AI28  &amp; " " &amp; "yüz","")</f>
        <v>#VALUE!</v>
      </c>
      <c r="AT28" s="57" t="e">
        <f>IF(AT22=6,AL28,"")</f>
        <v>#VALUE!</v>
      </c>
      <c r="AU28" s="57" t="e">
        <f>IF(AU22=6,AI28,"")</f>
        <v>#VALUE!</v>
      </c>
      <c r="AV28" s="57" t="e">
        <f>IF(AV22=6,AI28  &amp; " " &amp; "yüz","")</f>
        <v>#VALUE!</v>
      </c>
      <c r="AW28" s="57" t="e">
        <f>IF(AW22=6,AL28,"")</f>
        <v>#VALUE!</v>
      </c>
      <c r="AX28" s="58" t="e">
        <f>IF(AX22=6,AI28,"")</f>
        <v>#VALUE!</v>
      </c>
      <c r="AZ28" s="543" t="s">
        <v>349</v>
      </c>
      <c r="BA28" s="544"/>
      <c r="BB28" s="544"/>
      <c r="BC28" s="544" t="s">
        <v>348</v>
      </c>
      <c r="BD28" s="544"/>
      <c r="BE28" s="544"/>
      <c r="BF28" s="544"/>
      <c r="BG28" s="544"/>
      <c r="BH28" s="545"/>
      <c r="BI28" s="56" t="str">
        <f>IF(BI22=6,AZ28&amp; " " &amp; "milyon","")</f>
        <v/>
      </c>
      <c r="BJ28" s="57" t="str">
        <f>IF(BJ22=6,AZ28  &amp; " " &amp; "yüz","")</f>
        <v/>
      </c>
      <c r="BK28" s="57" t="str">
        <f>IF(BK22=6,BC28,"")</f>
        <v/>
      </c>
      <c r="BL28" s="57" t="str">
        <f>IF(BL22=6,AZ28,"")</f>
        <v/>
      </c>
      <c r="BM28" s="57" t="str">
        <f>IF(BM22=6,AZ28  &amp; " " &amp; "yüz","")</f>
        <v/>
      </c>
      <c r="BN28" s="57" t="str">
        <f>IF(BN22=6,BC28,"")</f>
        <v>altmış</v>
      </c>
      <c r="BO28" s="58" t="str">
        <f>IF(BO22=6,AZ28,"")</f>
        <v/>
      </c>
      <c r="BP28" s="15"/>
      <c r="BQ28" s="227"/>
      <c r="BR28" s="227"/>
      <c r="BS28" s="227"/>
      <c r="BT28" s="227"/>
      <c r="BU28" s="227"/>
      <c r="BV28" s="227"/>
      <c r="BW28" s="227"/>
      <c r="BX28" s="227"/>
      <c r="BY28" s="227"/>
      <c r="BZ28" s="16"/>
      <c r="CA28" s="16"/>
      <c r="CB28" s="16"/>
      <c r="CC28" s="16"/>
      <c r="CD28" s="16"/>
      <c r="CE28" s="16"/>
      <c r="CF28" s="16"/>
      <c r="CG28" s="15"/>
      <c r="CH28" s="227"/>
      <c r="CI28" s="227"/>
      <c r="CJ28" s="227"/>
      <c r="CK28" s="227"/>
      <c r="CL28" s="227"/>
      <c r="CM28" s="227"/>
      <c r="CN28" s="227"/>
      <c r="CO28" s="227"/>
      <c r="CP28" s="227"/>
      <c r="CQ28" s="16"/>
      <c r="CR28" s="16"/>
      <c r="CS28" s="16"/>
      <c r="CT28" s="16"/>
      <c r="CU28" s="16"/>
      <c r="CV28" s="16"/>
      <c r="CW28" s="16"/>
      <c r="CX28" s="15"/>
      <c r="CY28" s="227"/>
      <c r="CZ28" s="227"/>
      <c r="DA28" s="227"/>
      <c r="DB28" s="227"/>
      <c r="DC28" s="227"/>
      <c r="DD28" s="227"/>
      <c r="DE28" s="227"/>
      <c r="DF28" s="227"/>
      <c r="DG28" s="227"/>
      <c r="DH28" s="16"/>
      <c r="DI28" s="16"/>
      <c r="DJ28" s="16"/>
      <c r="DK28" s="16"/>
      <c r="DL28" s="16"/>
      <c r="DM28" s="16"/>
      <c r="DN28" s="16"/>
      <c r="DO28" s="15"/>
      <c r="DP28" s="227"/>
      <c r="DQ28" s="227"/>
      <c r="DR28" s="227"/>
      <c r="DS28" s="227"/>
      <c r="DT28" s="227"/>
      <c r="DU28" s="227"/>
      <c r="DV28" s="227"/>
      <c r="DW28" s="227"/>
      <c r="DX28" s="227"/>
      <c r="DY28" s="16"/>
      <c r="DZ28" s="16"/>
      <c r="EA28" s="16"/>
      <c r="EB28" s="16"/>
      <c r="EC28" s="16"/>
      <c r="ED28" s="16"/>
      <c r="EE28" s="16"/>
      <c r="EF28" s="15"/>
      <c r="EG28" s="227"/>
      <c r="EH28" s="227"/>
      <c r="EI28" s="227"/>
      <c r="EJ28" s="227"/>
      <c r="EK28" s="227"/>
      <c r="EL28" s="227"/>
      <c r="EM28" s="227"/>
      <c r="EN28" s="227"/>
      <c r="EO28" s="227"/>
      <c r="EP28" s="16"/>
      <c r="EQ28" s="16"/>
      <c r="ER28" s="16"/>
      <c r="ES28" s="16"/>
      <c r="ET28" s="16"/>
      <c r="EU28" s="16"/>
      <c r="EV28" s="16"/>
      <c r="EW28" s="15"/>
      <c r="EX28" s="227"/>
      <c r="EY28" s="227"/>
      <c r="EZ28" s="227"/>
      <c r="FA28" s="227"/>
      <c r="FB28" s="227"/>
      <c r="FC28" s="227"/>
      <c r="FD28" s="227"/>
      <c r="FE28" s="227"/>
      <c r="FF28" s="227"/>
      <c r="FG28" s="16"/>
      <c r="FH28" s="16"/>
      <c r="FI28" s="16"/>
      <c r="FJ28" s="16"/>
      <c r="FK28" s="16"/>
      <c r="FL28" s="16"/>
      <c r="FM28" s="16"/>
      <c r="FN28" s="15"/>
    </row>
    <row r="29" spans="1:170" x14ac:dyDescent="0.2">
      <c r="A29" s="543" t="s">
        <v>347</v>
      </c>
      <c r="B29" s="544"/>
      <c r="C29" s="544"/>
      <c r="D29" s="544" t="s">
        <v>346</v>
      </c>
      <c r="E29" s="544"/>
      <c r="F29" s="544"/>
      <c r="G29" s="544"/>
      <c r="H29" s="544"/>
      <c r="I29" s="545"/>
      <c r="J29" s="56" t="str">
        <f>IF(J22=7,A29&amp; " " &amp; "milyon","")</f>
        <v/>
      </c>
      <c r="K29" s="57" t="str">
        <f>IF(K22=7,A29 &amp; " " &amp; "yüz","")</f>
        <v/>
      </c>
      <c r="L29" s="57" t="str">
        <f>IF(L22=7,D29,"")</f>
        <v/>
      </c>
      <c r="M29" s="57" t="str">
        <f>IF(M22=7,A29,"")</f>
        <v/>
      </c>
      <c r="N29" s="57" t="str">
        <f>IF(N22=7,A29 &amp; " " &amp; "yüz","")</f>
        <v/>
      </c>
      <c r="O29" s="57" t="str">
        <f>IF(O22=7,D29,"")</f>
        <v/>
      </c>
      <c r="P29" s="58" t="str">
        <f>IF(P22=7,A29,"")</f>
        <v/>
      </c>
      <c r="R29" s="543" t="s">
        <v>347</v>
      </c>
      <c r="S29" s="544"/>
      <c r="T29" s="544"/>
      <c r="U29" s="544" t="s">
        <v>346</v>
      </c>
      <c r="V29" s="544"/>
      <c r="W29" s="544"/>
      <c r="X29" s="544"/>
      <c r="Y29" s="544"/>
      <c r="Z29" s="545"/>
      <c r="AA29" s="56" t="str">
        <f>IF(AA22=7,R29&amp; " " &amp; "milyon","")</f>
        <v/>
      </c>
      <c r="AB29" s="57" t="str">
        <f>IF(AB22=7,R29 &amp; " " &amp; "yüz","")</f>
        <v/>
      </c>
      <c r="AC29" s="57" t="str">
        <f>IF(AC22=7,U29,"")</f>
        <v/>
      </c>
      <c r="AD29" s="57" t="str">
        <f>IF(AD22=7,R29,"")</f>
        <v/>
      </c>
      <c r="AE29" s="57" t="str">
        <f>IF(AE22=7,R29 &amp; " " &amp; "yüz","")</f>
        <v/>
      </c>
      <c r="AF29" s="57" t="str">
        <f>IF(AF22=7,U29,"")</f>
        <v/>
      </c>
      <c r="AG29" s="58" t="str">
        <f>IF(AG22=7,R29,"")</f>
        <v/>
      </c>
      <c r="AI29" s="603" t="s">
        <v>347</v>
      </c>
      <c r="AJ29" s="979"/>
      <c r="AK29" s="604"/>
      <c r="AL29" s="978" t="s">
        <v>346</v>
      </c>
      <c r="AM29" s="979"/>
      <c r="AN29" s="604"/>
      <c r="AO29" s="978"/>
      <c r="AP29" s="979"/>
      <c r="AQ29" s="980"/>
      <c r="AR29" s="56" t="e">
        <f>IF(AR22=7,AI29&amp; " " &amp; "milyon","")</f>
        <v>#VALUE!</v>
      </c>
      <c r="AS29" s="57" t="e">
        <f>IF(AS22=7,AI29 &amp; " " &amp; "yüz","")</f>
        <v>#VALUE!</v>
      </c>
      <c r="AT29" s="57" t="e">
        <f>IF(AT22=7,AL29,"")</f>
        <v>#VALUE!</v>
      </c>
      <c r="AU29" s="57" t="e">
        <f>IF(AU22=7,AI29,"")</f>
        <v>#VALUE!</v>
      </c>
      <c r="AV29" s="57" t="e">
        <f>IF(AV22=7,AI29 &amp; " " &amp; "yüz","")</f>
        <v>#VALUE!</v>
      </c>
      <c r="AW29" s="57" t="e">
        <f>IF(AW22=7,AL29,"")</f>
        <v>#VALUE!</v>
      </c>
      <c r="AX29" s="58" t="e">
        <f>IF(AX22=7,AI29,"")</f>
        <v>#VALUE!</v>
      </c>
      <c r="AZ29" s="543" t="s">
        <v>347</v>
      </c>
      <c r="BA29" s="544"/>
      <c r="BB29" s="544"/>
      <c r="BC29" s="544" t="s">
        <v>346</v>
      </c>
      <c r="BD29" s="544"/>
      <c r="BE29" s="544"/>
      <c r="BF29" s="544"/>
      <c r="BG29" s="544"/>
      <c r="BH29" s="545"/>
      <c r="BI29" s="56" t="str">
        <f>IF(BI22=7,AZ29&amp; " " &amp; "milyon","")</f>
        <v/>
      </c>
      <c r="BJ29" s="57" t="str">
        <f>IF(BJ22=7,AZ29 &amp; " " &amp; "yüz","")</f>
        <v/>
      </c>
      <c r="BK29" s="57" t="str">
        <f>IF(BK22=7,BC29,"")</f>
        <v/>
      </c>
      <c r="BL29" s="57" t="str">
        <f>IF(BL22=7,AZ29,"")</f>
        <v/>
      </c>
      <c r="BM29" s="57" t="str">
        <f>IF(BM22=7,AZ29 &amp; " " &amp; "yüz","")</f>
        <v/>
      </c>
      <c r="BN29" s="57" t="str">
        <f>IF(BN22=7,BC29,"")</f>
        <v/>
      </c>
      <c r="BO29" s="58" t="str">
        <f>IF(BO22=7,AZ29,"")</f>
        <v/>
      </c>
      <c r="BP29" s="15"/>
      <c r="BQ29" s="227"/>
      <c r="BR29" s="227"/>
      <c r="BS29" s="227"/>
      <c r="BT29" s="227"/>
      <c r="BU29" s="227"/>
      <c r="BV29" s="227"/>
      <c r="BW29" s="227"/>
      <c r="BX29" s="227"/>
      <c r="BY29" s="227"/>
      <c r="BZ29" s="16"/>
      <c r="CA29" s="16"/>
      <c r="CB29" s="16"/>
      <c r="CC29" s="16"/>
      <c r="CD29" s="16"/>
      <c r="CE29" s="16"/>
      <c r="CF29" s="16"/>
      <c r="CG29" s="15"/>
      <c r="CH29" s="227"/>
      <c r="CI29" s="227"/>
      <c r="CJ29" s="227"/>
      <c r="CK29" s="227"/>
      <c r="CL29" s="227"/>
      <c r="CM29" s="227"/>
      <c r="CN29" s="227"/>
      <c r="CO29" s="227"/>
      <c r="CP29" s="227"/>
      <c r="CQ29" s="16"/>
      <c r="CR29" s="16"/>
      <c r="CS29" s="16"/>
      <c r="CT29" s="16"/>
      <c r="CU29" s="16"/>
      <c r="CV29" s="16"/>
      <c r="CW29" s="16"/>
      <c r="CX29" s="15"/>
      <c r="CY29" s="227"/>
      <c r="CZ29" s="227"/>
      <c r="DA29" s="227"/>
      <c r="DB29" s="227"/>
      <c r="DC29" s="227"/>
      <c r="DD29" s="227"/>
      <c r="DE29" s="227"/>
      <c r="DF29" s="227"/>
      <c r="DG29" s="227"/>
      <c r="DH29" s="16"/>
      <c r="DI29" s="16"/>
      <c r="DJ29" s="16"/>
      <c r="DK29" s="16"/>
      <c r="DL29" s="16"/>
      <c r="DM29" s="16"/>
      <c r="DN29" s="16"/>
      <c r="DO29" s="15"/>
      <c r="DP29" s="227"/>
      <c r="DQ29" s="227"/>
      <c r="DR29" s="227"/>
      <c r="DS29" s="227"/>
      <c r="DT29" s="227"/>
      <c r="DU29" s="227"/>
      <c r="DV29" s="227"/>
      <c r="DW29" s="227"/>
      <c r="DX29" s="227"/>
      <c r="DY29" s="16"/>
      <c r="DZ29" s="16"/>
      <c r="EA29" s="16"/>
      <c r="EB29" s="16"/>
      <c r="EC29" s="16"/>
      <c r="ED29" s="16"/>
      <c r="EE29" s="16"/>
      <c r="EF29" s="15"/>
      <c r="EG29" s="227"/>
      <c r="EH29" s="227"/>
      <c r="EI29" s="227"/>
      <c r="EJ29" s="227"/>
      <c r="EK29" s="227"/>
      <c r="EL29" s="227"/>
      <c r="EM29" s="227"/>
      <c r="EN29" s="227"/>
      <c r="EO29" s="227"/>
      <c r="EP29" s="16"/>
      <c r="EQ29" s="16"/>
      <c r="ER29" s="16"/>
      <c r="ES29" s="16"/>
      <c r="ET29" s="16"/>
      <c r="EU29" s="16"/>
      <c r="EV29" s="16"/>
      <c r="EW29" s="15"/>
      <c r="EX29" s="227"/>
      <c r="EY29" s="227"/>
      <c r="EZ29" s="227"/>
      <c r="FA29" s="227"/>
      <c r="FB29" s="227"/>
      <c r="FC29" s="227"/>
      <c r="FD29" s="227"/>
      <c r="FE29" s="227"/>
      <c r="FF29" s="227"/>
      <c r="FG29" s="16"/>
      <c r="FH29" s="16"/>
      <c r="FI29" s="16"/>
      <c r="FJ29" s="16"/>
      <c r="FK29" s="16"/>
      <c r="FL29" s="16"/>
      <c r="FM29" s="16"/>
      <c r="FN29" s="15"/>
    </row>
    <row r="30" spans="1:170" x14ac:dyDescent="0.2">
      <c r="A30" s="543" t="s">
        <v>345</v>
      </c>
      <c r="B30" s="544"/>
      <c r="C30" s="544"/>
      <c r="D30" s="544" t="s">
        <v>344</v>
      </c>
      <c r="E30" s="544"/>
      <c r="F30" s="544"/>
      <c r="G30" s="544"/>
      <c r="H30" s="544"/>
      <c r="I30" s="545"/>
      <c r="J30" s="56" t="str">
        <f>IF(J22=8,A30&amp; " " &amp; "milyon","")</f>
        <v/>
      </c>
      <c r="K30" s="57" t="str">
        <f>IF(K22=8,A30 &amp; " " &amp; "yüz","")</f>
        <v/>
      </c>
      <c r="L30" s="57" t="str">
        <f>IF(L22=8,D30,"")</f>
        <v/>
      </c>
      <c r="M30" s="57" t="str">
        <f>IF(M22=8,A30,"")</f>
        <v/>
      </c>
      <c r="N30" s="57" t="str">
        <f>IF(N22=8,A30 &amp; " " &amp; "yüz","")</f>
        <v/>
      </c>
      <c r="O30" s="57" t="str">
        <f>IF(O22=8,D30,"")</f>
        <v/>
      </c>
      <c r="P30" s="58" t="str">
        <f>IF(P22=8,A30,"")</f>
        <v/>
      </c>
      <c r="R30" s="543" t="s">
        <v>345</v>
      </c>
      <c r="S30" s="544"/>
      <c r="T30" s="544"/>
      <c r="U30" s="544" t="s">
        <v>344</v>
      </c>
      <c r="V30" s="544"/>
      <c r="W30" s="544"/>
      <c r="X30" s="544"/>
      <c r="Y30" s="544"/>
      <c r="Z30" s="545"/>
      <c r="AA30" s="56" t="str">
        <f>IF(AA22=8,R30&amp; " " &amp; "milyon","")</f>
        <v/>
      </c>
      <c r="AB30" s="57" t="str">
        <f>IF(AB22=8,R30 &amp; " " &amp; "yüz","")</f>
        <v/>
      </c>
      <c r="AC30" s="57" t="str">
        <f>IF(AC22=8,U30,"")</f>
        <v/>
      </c>
      <c r="AD30" s="57" t="str">
        <f>IF(AD22=8,R30,"")</f>
        <v/>
      </c>
      <c r="AE30" s="57" t="str">
        <f>IF(AE22=8,R30 &amp; " " &amp; "yüz","")</f>
        <v/>
      </c>
      <c r="AF30" s="57" t="str">
        <f>IF(AF22=8,U30,"")</f>
        <v/>
      </c>
      <c r="AG30" s="58" t="str">
        <f>IF(AG22=8,R30,"")</f>
        <v/>
      </c>
      <c r="AI30" s="603" t="s">
        <v>345</v>
      </c>
      <c r="AJ30" s="979"/>
      <c r="AK30" s="604"/>
      <c r="AL30" s="978" t="s">
        <v>344</v>
      </c>
      <c r="AM30" s="979"/>
      <c r="AN30" s="604"/>
      <c r="AO30" s="978"/>
      <c r="AP30" s="979"/>
      <c r="AQ30" s="980"/>
      <c r="AR30" s="56" t="e">
        <f>IF(AR22=8,AI30&amp; " " &amp; "milyon","")</f>
        <v>#VALUE!</v>
      </c>
      <c r="AS30" s="57" t="e">
        <f>IF(AS22=8,AI30 &amp; " " &amp; "yüz","")</f>
        <v>#VALUE!</v>
      </c>
      <c r="AT30" s="57" t="e">
        <f>IF(AT22=8,AL30,"")</f>
        <v>#VALUE!</v>
      </c>
      <c r="AU30" s="57" t="e">
        <f>IF(AU22=8,AI30,"")</f>
        <v>#VALUE!</v>
      </c>
      <c r="AV30" s="57" t="e">
        <f>IF(AV22=8,AI30 &amp; " " &amp; "yüz","")</f>
        <v>#VALUE!</v>
      </c>
      <c r="AW30" s="57" t="e">
        <f>IF(AW22=8,AL30,"")</f>
        <v>#VALUE!</v>
      </c>
      <c r="AX30" s="58" t="e">
        <f>IF(AX22=8,AI30,"")</f>
        <v>#VALUE!</v>
      </c>
      <c r="AZ30" s="543" t="s">
        <v>345</v>
      </c>
      <c r="BA30" s="544"/>
      <c r="BB30" s="544"/>
      <c r="BC30" s="544" t="s">
        <v>344</v>
      </c>
      <c r="BD30" s="544"/>
      <c r="BE30" s="544"/>
      <c r="BF30" s="544"/>
      <c r="BG30" s="544"/>
      <c r="BH30" s="545"/>
      <c r="BI30" s="56" t="str">
        <f>IF(BI22=8,AZ30&amp; " " &amp; "milyon","")</f>
        <v/>
      </c>
      <c r="BJ30" s="57" t="str">
        <f>IF(BJ22=8,AZ30 &amp; " " &amp; "yüz","")</f>
        <v/>
      </c>
      <c r="BK30" s="57" t="str">
        <f>IF(BK22=8,BC30,"")</f>
        <v/>
      </c>
      <c r="BL30" s="57" t="str">
        <f>IF(BL22=8,AZ30,"")</f>
        <v/>
      </c>
      <c r="BM30" s="57" t="str">
        <f>IF(BM22=8,AZ30 &amp; " " &amp; "yüz","")</f>
        <v/>
      </c>
      <c r="BN30" s="57" t="str">
        <f>IF(BN22=8,BC30,"")</f>
        <v/>
      </c>
      <c r="BO30" s="58" t="str">
        <f>IF(BO22=8,AZ30,"")</f>
        <v/>
      </c>
      <c r="BP30" s="15"/>
      <c r="BQ30" s="227"/>
      <c r="BR30" s="227"/>
      <c r="BS30" s="227"/>
      <c r="BT30" s="227"/>
      <c r="BU30" s="227"/>
      <c r="BV30" s="227"/>
      <c r="BW30" s="227"/>
      <c r="BX30" s="227"/>
      <c r="BY30" s="227"/>
      <c r="BZ30" s="16"/>
      <c r="CA30" s="16"/>
      <c r="CB30" s="16"/>
      <c r="CC30" s="16"/>
      <c r="CD30" s="16"/>
      <c r="CE30" s="16"/>
      <c r="CF30" s="16"/>
      <c r="CG30" s="15"/>
      <c r="CH30" s="227"/>
      <c r="CI30" s="227"/>
      <c r="CJ30" s="227"/>
      <c r="CK30" s="227"/>
      <c r="CL30" s="227"/>
      <c r="CM30" s="227"/>
      <c r="CN30" s="227"/>
      <c r="CO30" s="227"/>
      <c r="CP30" s="227"/>
      <c r="CQ30" s="16"/>
      <c r="CR30" s="16"/>
      <c r="CS30" s="16"/>
      <c r="CT30" s="16"/>
      <c r="CU30" s="16"/>
      <c r="CV30" s="16"/>
      <c r="CW30" s="16"/>
      <c r="CX30" s="15"/>
      <c r="CY30" s="227"/>
      <c r="CZ30" s="227"/>
      <c r="DA30" s="227"/>
      <c r="DB30" s="227"/>
      <c r="DC30" s="227"/>
      <c r="DD30" s="227"/>
      <c r="DE30" s="227"/>
      <c r="DF30" s="227"/>
      <c r="DG30" s="227"/>
      <c r="DH30" s="16"/>
      <c r="DI30" s="16"/>
      <c r="DJ30" s="16"/>
      <c r="DK30" s="16"/>
      <c r="DL30" s="16"/>
      <c r="DM30" s="16"/>
      <c r="DN30" s="16"/>
      <c r="DO30" s="15"/>
      <c r="DP30" s="227"/>
      <c r="DQ30" s="227"/>
      <c r="DR30" s="227"/>
      <c r="DS30" s="227"/>
      <c r="DT30" s="227"/>
      <c r="DU30" s="227"/>
      <c r="DV30" s="227"/>
      <c r="DW30" s="227"/>
      <c r="DX30" s="227"/>
      <c r="DY30" s="16"/>
      <c r="DZ30" s="16"/>
      <c r="EA30" s="16"/>
      <c r="EB30" s="16"/>
      <c r="EC30" s="16"/>
      <c r="ED30" s="16"/>
      <c r="EE30" s="16"/>
      <c r="EF30" s="15"/>
      <c r="EG30" s="227"/>
      <c r="EH30" s="227"/>
      <c r="EI30" s="227"/>
      <c r="EJ30" s="227"/>
      <c r="EK30" s="227"/>
      <c r="EL30" s="227"/>
      <c r="EM30" s="227"/>
      <c r="EN30" s="227"/>
      <c r="EO30" s="227"/>
      <c r="EP30" s="16"/>
      <c r="EQ30" s="16"/>
      <c r="ER30" s="16"/>
      <c r="ES30" s="16"/>
      <c r="ET30" s="16"/>
      <c r="EU30" s="16"/>
      <c r="EV30" s="16"/>
      <c r="EW30" s="15"/>
      <c r="EX30" s="227"/>
      <c r="EY30" s="227"/>
      <c r="EZ30" s="227"/>
      <c r="FA30" s="227"/>
      <c r="FB30" s="227"/>
      <c r="FC30" s="227"/>
      <c r="FD30" s="227"/>
      <c r="FE30" s="227"/>
      <c r="FF30" s="227"/>
      <c r="FG30" s="16"/>
      <c r="FH30" s="16"/>
      <c r="FI30" s="16"/>
      <c r="FJ30" s="16"/>
      <c r="FK30" s="16"/>
      <c r="FL30" s="16"/>
      <c r="FM30" s="16"/>
      <c r="FN30" s="15"/>
    </row>
    <row r="31" spans="1:170" x14ac:dyDescent="0.2">
      <c r="A31" s="546" t="s">
        <v>343</v>
      </c>
      <c r="B31" s="547"/>
      <c r="C31" s="547"/>
      <c r="D31" s="547" t="s">
        <v>342</v>
      </c>
      <c r="E31" s="547"/>
      <c r="F31" s="547"/>
      <c r="G31" s="547"/>
      <c r="H31" s="547"/>
      <c r="I31" s="548"/>
      <c r="J31" s="59" t="str">
        <f>IF(J22=9,A31&amp; " " &amp; "milyon","")</f>
        <v/>
      </c>
      <c r="K31" s="60" t="str">
        <f>IF(K22=9,A31 &amp; " " &amp; "yüz","")</f>
        <v/>
      </c>
      <c r="L31" s="60" t="str">
        <f>IF(L22=9,D31,"")</f>
        <v/>
      </c>
      <c r="M31" s="60" t="str">
        <f>IF(M22=9,A31,"")</f>
        <v/>
      </c>
      <c r="N31" s="60" t="str">
        <f>IF(N22=9,A31 &amp; " " &amp; "yüz","")</f>
        <v/>
      </c>
      <c r="O31" s="60" t="str">
        <f>IF(O22=9,D31,"")</f>
        <v/>
      </c>
      <c r="P31" s="61" t="str">
        <f>IF(P22=9,A31,"")</f>
        <v/>
      </c>
      <c r="R31" s="546" t="s">
        <v>343</v>
      </c>
      <c r="S31" s="547"/>
      <c r="T31" s="547"/>
      <c r="U31" s="547" t="s">
        <v>342</v>
      </c>
      <c r="V31" s="547"/>
      <c r="W31" s="547"/>
      <c r="X31" s="547"/>
      <c r="Y31" s="547"/>
      <c r="Z31" s="548"/>
      <c r="AA31" s="59" t="str">
        <f>IF(AA22=9,R31&amp; " " &amp; "milyon","")</f>
        <v/>
      </c>
      <c r="AB31" s="60" t="str">
        <f>IF(AB22=9,R31 &amp; " " &amp; "yüz","")</f>
        <v/>
      </c>
      <c r="AC31" s="60" t="str">
        <f>IF(AC22=9,U31,"")</f>
        <v/>
      </c>
      <c r="AD31" s="60" t="str">
        <f>IF(AD22=9,R31,"")</f>
        <v/>
      </c>
      <c r="AE31" s="60" t="str">
        <f>IF(AE22=9,R31 &amp; " " &amp; "yüz","")</f>
        <v/>
      </c>
      <c r="AF31" s="60" t="str">
        <f>IF(AF22=9,U31,"")</f>
        <v/>
      </c>
      <c r="AG31" s="61" t="str">
        <f>IF(AG22=9,R31,"")</f>
        <v/>
      </c>
      <c r="AI31" s="977" t="s">
        <v>343</v>
      </c>
      <c r="AJ31" s="974"/>
      <c r="AK31" s="976"/>
      <c r="AL31" s="973" t="s">
        <v>342</v>
      </c>
      <c r="AM31" s="974"/>
      <c r="AN31" s="976"/>
      <c r="AO31" s="973"/>
      <c r="AP31" s="974"/>
      <c r="AQ31" s="975"/>
      <c r="AR31" s="59" t="e">
        <f>IF(AR22=9,AI31&amp; " " &amp; "milyon","")</f>
        <v>#VALUE!</v>
      </c>
      <c r="AS31" s="60" t="e">
        <f>IF(AS22=9,AI31 &amp; " " &amp; "yüz","")</f>
        <v>#VALUE!</v>
      </c>
      <c r="AT31" s="60" t="e">
        <f>IF(AT22=9,AL31,"")</f>
        <v>#VALUE!</v>
      </c>
      <c r="AU31" s="60" t="e">
        <f>IF(AU22=9,AI31,"")</f>
        <v>#VALUE!</v>
      </c>
      <c r="AV31" s="60" t="e">
        <f>IF(AV22=9,AI31 &amp; " " &amp; "yüz","")</f>
        <v>#VALUE!</v>
      </c>
      <c r="AW31" s="60" t="e">
        <f>IF(AW22=9,AL31,"")</f>
        <v>#VALUE!</v>
      </c>
      <c r="AX31" s="61" t="e">
        <f>IF(AX22=9,AI31,"")</f>
        <v>#VALUE!</v>
      </c>
      <c r="AZ31" s="546" t="s">
        <v>343</v>
      </c>
      <c r="BA31" s="547"/>
      <c r="BB31" s="547"/>
      <c r="BC31" s="547" t="s">
        <v>342</v>
      </c>
      <c r="BD31" s="547"/>
      <c r="BE31" s="547"/>
      <c r="BF31" s="547"/>
      <c r="BG31" s="547"/>
      <c r="BH31" s="548"/>
      <c r="BI31" s="59" t="str">
        <f>IF(BI22=9,AZ31&amp; " " &amp; "milyon","")</f>
        <v/>
      </c>
      <c r="BJ31" s="60" t="str">
        <f>IF(BJ22=9,AZ31 &amp; " " &amp; "yüz","")</f>
        <v/>
      </c>
      <c r="BK31" s="60" t="str">
        <f>IF(BK22=9,BC31,"")</f>
        <v/>
      </c>
      <c r="BL31" s="60" t="str">
        <f>IF(BL22=9,AZ31,"")</f>
        <v/>
      </c>
      <c r="BM31" s="60" t="str">
        <f>IF(BM22=9,AZ31 &amp; " " &amp; "yüz","")</f>
        <v>doqquz yüz</v>
      </c>
      <c r="BN31" s="60" t="str">
        <f>IF(BN22=9,BC31,"")</f>
        <v/>
      </c>
      <c r="BO31" s="61" t="str">
        <f>IF(BO22=9,AZ31,"")</f>
        <v/>
      </c>
      <c r="BP31" s="15"/>
      <c r="BQ31" s="227"/>
      <c r="BR31" s="227"/>
      <c r="BS31" s="227"/>
      <c r="BT31" s="227"/>
      <c r="BU31" s="227"/>
      <c r="BV31" s="227"/>
      <c r="BW31" s="227"/>
      <c r="BX31" s="227"/>
      <c r="BY31" s="227"/>
      <c r="BZ31" s="16"/>
      <c r="CA31" s="16"/>
      <c r="CB31" s="16"/>
      <c r="CC31" s="16"/>
      <c r="CD31" s="16"/>
      <c r="CE31" s="16"/>
      <c r="CF31" s="16"/>
      <c r="CG31" s="15"/>
      <c r="CH31" s="227"/>
      <c r="CI31" s="227"/>
      <c r="CJ31" s="227"/>
      <c r="CK31" s="227"/>
      <c r="CL31" s="227"/>
      <c r="CM31" s="227"/>
      <c r="CN31" s="227"/>
      <c r="CO31" s="227"/>
      <c r="CP31" s="227"/>
      <c r="CQ31" s="16"/>
      <c r="CR31" s="16"/>
      <c r="CS31" s="16"/>
      <c r="CT31" s="16"/>
      <c r="CU31" s="16"/>
      <c r="CV31" s="16"/>
      <c r="CW31" s="16"/>
      <c r="CX31" s="15"/>
      <c r="CY31" s="227"/>
      <c r="CZ31" s="227"/>
      <c r="DA31" s="227"/>
      <c r="DB31" s="227"/>
      <c r="DC31" s="227"/>
      <c r="DD31" s="227"/>
      <c r="DE31" s="227"/>
      <c r="DF31" s="227"/>
      <c r="DG31" s="227"/>
      <c r="DH31" s="16"/>
      <c r="DI31" s="16"/>
      <c r="DJ31" s="16"/>
      <c r="DK31" s="16"/>
      <c r="DL31" s="16"/>
      <c r="DM31" s="16"/>
      <c r="DN31" s="16"/>
      <c r="DO31" s="15"/>
      <c r="DP31" s="227"/>
      <c r="DQ31" s="227"/>
      <c r="DR31" s="227"/>
      <c r="DS31" s="227"/>
      <c r="DT31" s="227"/>
      <c r="DU31" s="227"/>
      <c r="DV31" s="227"/>
      <c r="DW31" s="227"/>
      <c r="DX31" s="227"/>
      <c r="DY31" s="16"/>
      <c r="DZ31" s="16"/>
      <c r="EA31" s="16"/>
      <c r="EB31" s="16"/>
      <c r="EC31" s="16"/>
      <c r="ED31" s="16"/>
      <c r="EE31" s="16"/>
      <c r="EF31" s="15"/>
      <c r="EG31" s="227"/>
      <c r="EH31" s="227"/>
      <c r="EI31" s="227"/>
      <c r="EJ31" s="227"/>
      <c r="EK31" s="227"/>
      <c r="EL31" s="227"/>
      <c r="EM31" s="227"/>
      <c r="EN31" s="227"/>
      <c r="EO31" s="227"/>
      <c r="EP31" s="16"/>
      <c r="EQ31" s="16"/>
      <c r="ER31" s="16"/>
      <c r="ES31" s="16"/>
      <c r="ET31" s="16"/>
      <c r="EU31" s="16"/>
      <c r="EV31" s="16"/>
      <c r="EW31" s="15"/>
      <c r="EX31" s="227"/>
      <c r="EY31" s="227"/>
      <c r="EZ31" s="227"/>
      <c r="FA31" s="227"/>
      <c r="FB31" s="227"/>
      <c r="FC31" s="227"/>
      <c r="FD31" s="227"/>
      <c r="FE31" s="227"/>
      <c r="FF31" s="227"/>
      <c r="FG31" s="16"/>
      <c r="FH31" s="16"/>
      <c r="FI31" s="16"/>
      <c r="FJ31" s="16"/>
      <c r="FK31" s="16"/>
      <c r="FL31" s="16"/>
      <c r="FM31" s="16"/>
      <c r="FN31" s="15"/>
    </row>
    <row r="32" spans="1:170" x14ac:dyDescent="0.2">
      <c r="A32" s="549">
        <f>INT(D17)</f>
        <v>1000</v>
      </c>
      <c r="B32" s="550"/>
      <c r="C32" s="550"/>
      <c r="D32" s="550"/>
      <c r="E32" s="550"/>
      <c r="F32" s="550"/>
      <c r="G32" s="550"/>
      <c r="H32" s="550"/>
      <c r="I32" s="551"/>
      <c r="J32" s="53" t="str">
        <f t="shared" ref="J32:P32" si="0">J23 &amp;J24  &amp; J25 &amp; J26 &amp; J27 &amp; J28  &amp; J29  &amp; J30 &amp; J31</f>
        <v/>
      </c>
      <c r="K32" s="54" t="str">
        <f t="shared" si="0"/>
        <v/>
      </c>
      <c r="L32" s="54" t="str">
        <f t="shared" si="0"/>
        <v/>
      </c>
      <c r="M32" s="54" t="str">
        <f t="shared" si="0"/>
        <v>bir</v>
      </c>
      <c r="N32" s="54" t="str">
        <f t="shared" si="0"/>
        <v/>
      </c>
      <c r="O32" s="54" t="str">
        <f t="shared" si="0"/>
        <v/>
      </c>
      <c r="P32" s="55" t="str">
        <f t="shared" si="0"/>
        <v/>
      </c>
      <c r="R32" s="549">
        <f>INT(U17)</f>
        <v>5030</v>
      </c>
      <c r="S32" s="550"/>
      <c r="T32" s="550"/>
      <c r="U32" s="550"/>
      <c r="V32" s="550"/>
      <c r="W32" s="550"/>
      <c r="X32" s="550"/>
      <c r="Y32" s="550"/>
      <c r="Z32" s="551"/>
      <c r="AA32" s="53" t="str">
        <f t="shared" ref="AA32:AG32" si="1">AA23 &amp;AA24  &amp; AA25 &amp; AA26 &amp; AA27 &amp; AA28  &amp; AA29  &amp; AA30 &amp; AA31</f>
        <v/>
      </c>
      <c r="AB32" s="54" t="str">
        <f t="shared" si="1"/>
        <v/>
      </c>
      <c r="AC32" s="54" t="str">
        <f t="shared" si="1"/>
        <v/>
      </c>
      <c r="AD32" s="54" t="str">
        <f t="shared" si="1"/>
        <v>beş</v>
      </c>
      <c r="AE32" s="54" t="str">
        <f t="shared" si="1"/>
        <v/>
      </c>
      <c r="AF32" s="54" t="str">
        <f t="shared" si="1"/>
        <v>otuz</v>
      </c>
      <c r="AG32" s="55" t="str">
        <f t="shared" si="1"/>
        <v/>
      </c>
      <c r="AI32" s="589" t="e">
        <f>INT(AL17)</f>
        <v>#VALUE!</v>
      </c>
      <c r="AJ32" s="590"/>
      <c r="AK32" s="590"/>
      <c r="AL32" s="590"/>
      <c r="AM32" s="591"/>
      <c r="AN32" s="972"/>
      <c r="AO32" s="590"/>
      <c r="AP32" s="590"/>
      <c r="AQ32" s="605"/>
      <c r="AR32" s="53" t="e">
        <f t="shared" ref="AR32:AX32" si="2">AR23 &amp;AR24  &amp; AR25 &amp; AR26 &amp; AR27 &amp; AR28  &amp; AR29  &amp; AR30 &amp; AR31</f>
        <v>#VALUE!</v>
      </c>
      <c r="AS32" s="54" t="e">
        <f t="shared" si="2"/>
        <v>#VALUE!</v>
      </c>
      <c r="AT32" s="54" t="e">
        <f t="shared" si="2"/>
        <v>#VALUE!</v>
      </c>
      <c r="AU32" s="54" t="e">
        <f t="shared" si="2"/>
        <v>#VALUE!</v>
      </c>
      <c r="AV32" s="54" t="e">
        <f t="shared" si="2"/>
        <v>#VALUE!</v>
      </c>
      <c r="AW32" s="54" t="e">
        <f t="shared" si="2"/>
        <v>#VALUE!</v>
      </c>
      <c r="AX32" s="55" t="e">
        <f t="shared" si="2"/>
        <v>#VALUE!</v>
      </c>
      <c r="AZ32" s="549">
        <f>INT(BC17)</f>
        <v>963</v>
      </c>
      <c r="BA32" s="550"/>
      <c r="BB32" s="550"/>
      <c r="BC32" s="550"/>
      <c r="BD32" s="550"/>
      <c r="BE32" s="550"/>
      <c r="BF32" s="550"/>
      <c r="BG32" s="550"/>
      <c r="BH32" s="551"/>
      <c r="BI32" s="53" t="str">
        <f t="shared" ref="BI32:BO32" si="3">BI23 &amp;BI24  &amp; BI25 &amp; BI26 &amp; BI27 &amp; BI28  &amp; BI29  &amp; BI30 &amp; BI31</f>
        <v/>
      </c>
      <c r="BJ32" s="54" t="str">
        <f t="shared" si="3"/>
        <v/>
      </c>
      <c r="BK32" s="54" t="str">
        <f t="shared" si="3"/>
        <v/>
      </c>
      <c r="BL32" s="54" t="str">
        <f t="shared" si="3"/>
        <v/>
      </c>
      <c r="BM32" s="54" t="str">
        <f t="shared" si="3"/>
        <v>doqquz yüz</v>
      </c>
      <c r="BN32" s="54" t="str">
        <f t="shared" si="3"/>
        <v>altmış</v>
      </c>
      <c r="BO32" s="55" t="str">
        <f t="shared" si="3"/>
        <v>üç</v>
      </c>
      <c r="BP32" s="15"/>
      <c r="BQ32" s="227"/>
      <c r="BR32" s="227"/>
      <c r="BS32" s="227"/>
      <c r="BT32" s="227"/>
      <c r="BU32" s="227"/>
      <c r="BV32" s="227"/>
      <c r="BW32" s="227"/>
      <c r="BX32" s="227"/>
      <c r="BY32" s="227"/>
      <c r="BZ32" s="16"/>
      <c r="CA32" s="16"/>
      <c r="CB32" s="16"/>
      <c r="CC32" s="16"/>
      <c r="CD32" s="16"/>
      <c r="CE32" s="16"/>
      <c r="CF32" s="16"/>
      <c r="CG32" s="15"/>
      <c r="CH32" s="227"/>
      <c r="CI32" s="227"/>
      <c r="CJ32" s="227"/>
      <c r="CK32" s="227"/>
      <c r="CL32" s="227"/>
      <c r="CM32" s="227"/>
      <c r="CN32" s="227"/>
      <c r="CO32" s="227"/>
      <c r="CP32" s="227"/>
      <c r="CQ32" s="16"/>
      <c r="CR32" s="16"/>
      <c r="CS32" s="16"/>
      <c r="CT32" s="16"/>
      <c r="CU32" s="16"/>
      <c r="CV32" s="16"/>
      <c r="CW32" s="16"/>
      <c r="CX32" s="15"/>
      <c r="CY32" s="227"/>
      <c r="CZ32" s="227"/>
      <c r="DA32" s="227"/>
      <c r="DB32" s="227"/>
      <c r="DC32" s="227"/>
      <c r="DD32" s="227"/>
      <c r="DE32" s="227"/>
      <c r="DF32" s="227"/>
      <c r="DG32" s="227"/>
      <c r="DH32" s="16"/>
      <c r="DI32" s="16"/>
      <c r="DJ32" s="16"/>
      <c r="DK32" s="16"/>
      <c r="DL32" s="16"/>
      <c r="DM32" s="16"/>
      <c r="DN32" s="16"/>
      <c r="DO32" s="15"/>
      <c r="DP32" s="227"/>
      <c r="DQ32" s="227"/>
      <c r="DR32" s="227"/>
      <c r="DS32" s="227"/>
      <c r="DT32" s="227"/>
      <c r="DU32" s="227"/>
      <c r="DV32" s="227"/>
      <c r="DW32" s="227"/>
      <c r="DX32" s="227"/>
      <c r="DY32" s="16"/>
      <c r="DZ32" s="16"/>
      <c r="EA32" s="16"/>
      <c r="EB32" s="16"/>
      <c r="EC32" s="16"/>
      <c r="ED32" s="16"/>
      <c r="EE32" s="16"/>
      <c r="EF32" s="15"/>
      <c r="EG32" s="227"/>
      <c r="EH32" s="227"/>
      <c r="EI32" s="227"/>
      <c r="EJ32" s="227"/>
      <c r="EK32" s="227"/>
      <c r="EL32" s="227"/>
      <c r="EM32" s="227"/>
      <c r="EN32" s="227"/>
      <c r="EO32" s="227"/>
      <c r="EP32" s="16"/>
      <c r="EQ32" s="16"/>
      <c r="ER32" s="16"/>
      <c r="ES32" s="16"/>
      <c r="ET32" s="16"/>
      <c r="EU32" s="16"/>
      <c r="EV32" s="16"/>
      <c r="EW32" s="15"/>
      <c r="EX32" s="227"/>
      <c r="EY32" s="227"/>
      <c r="EZ32" s="227"/>
      <c r="FA32" s="227"/>
      <c r="FB32" s="227"/>
      <c r="FC32" s="227"/>
      <c r="FD32" s="227"/>
      <c r="FE32" s="227"/>
      <c r="FF32" s="227"/>
      <c r="FG32" s="16"/>
      <c r="FH32" s="16"/>
      <c r="FI32" s="16"/>
      <c r="FJ32" s="16"/>
      <c r="FK32" s="16"/>
      <c r="FL32" s="16"/>
      <c r="FM32" s="16"/>
      <c r="FN32" s="15"/>
    </row>
    <row r="33" spans="1:170" x14ac:dyDescent="0.2">
      <c r="A33" s="537">
        <f>ROUND((D17-A32)*100,0)</f>
        <v>0</v>
      </c>
      <c r="B33" s="538"/>
      <c r="C33" s="538"/>
      <c r="D33" s="538" t="str">
        <f>IF(A33&lt;10,"0" &amp; A33,A33)</f>
        <v>00</v>
      </c>
      <c r="E33" s="538"/>
      <c r="F33" s="538" t="str">
        <f>IF(A17="AZN","qəpik",IF(A17="USD","sent",IF(A17="EUR","sent","?")))</f>
        <v>qəpik</v>
      </c>
      <c r="G33" s="538"/>
      <c r="H33" s="538"/>
      <c r="I33" s="539"/>
      <c r="J33" s="56" t="str">
        <f>IF(J32="","",J32&amp; " ")</f>
        <v/>
      </c>
      <c r="K33" s="57" t="str">
        <f>IF(K32="","",K32&amp; " ") &amp; IF(K32="","",IF(L34="",IF(M34="","min ",""),""))</f>
        <v/>
      </c>
      <c r="L33" s="57" t="str">
        <f>IF(L32="","",L32&amp; " ") &amp; IF(L32="","",IF(M34="","min ",""))</f>
        <v/>
      </c>
      <c r="M33" s="57" t="str">
        <f>IF(M32="","",M32&amp; " ") &amp;IF(M32="","","min ")</f>
        <v xml:space="preserve">bir min </v>
      </c>
      <c r="N33" s="57" t="str">
        <f>IF(N32="","",N32&amp; " ")</f>
        <v/>
      </c>
      <c r="O33" s="57" t="str">
        <f>IF(O32="","",O32&amp; " ")</f>
        <v/>
      </c>
      <c r="P33" s="58" t="str">
        <f>IF(P32="","",P32&amp; " ")</f>
        <v/>
      </c>
      <c r="R33" s="537">
        <f>ROUND((U17-R32)*100,0)</f>
        <v>0</v>
      </c>
      <c r="S33" s="538"/>
      <c r="T33" s="538"/>
      <c r="U33" s="538" t="str">
        <f>IF(R33&lt;10,"0" &amp; R33,R33)</f>
        <v>00</v>
      </c>
      <c r="V33" s="538"/>
      <c r="W33" s="538" t="str">
        <f>IF(R17="AZN","qəpik",IF(R17="USD","sent",IF(R17="EUR","sent","?")))</f>
        <v>qəpik</v>
      </c>
      <c r="X33" s="538"/>
      <c r="Y33" s="538"/>
      <c r="Z33" s="539"/>
      <c r="AA33" s="56" t="str">
        <f>IF(AA32="","",AA32&amp; " ")</f>
        <v/>
      </c>
      <c r="AB33" s="57" t="str">
        <f>IF(AB32="","",AB32&amp; " ") &amp; IF(AB32="","",IF(AC34="",IF(AD34="","min ",""),""))</f>
        <v/>
      </c>
      <c r="AC33" s="57" t="str">
        <f>IF(AC32="","",AC32&amp; " ") &amp; IF(AC32="","",IF(AD34="","min ",""))</f>
        <v/>
      </c>
      <c r="AD33" s="57" t="str">
        <f>IF(AD32="","",AD32&amp; " ") &amp;IF(AD32="","","min ")</f>
        <v xml:space="preserve">beş min </v>
      </c>
      <c r="AE33" s="57" t="str">
        <f>IF(AE32="","",AE32&amp; " ")</f>
        <v/>
      </c>
      <c r="AF33" s="57" t="str">
        <f>IF(AF32="","",AF32&amp; " ")</f>
        <v xml:space="preserve">otuz </v>
      </c>
      <c r="AG33" s="58" t="str">
        <f>IF(AG32="","",AG32&amp; " ")</f>
        <v/>
      </c>
      <c r="AI33" s="971" t="e">
        <f>ROUND((AL17-AI32)*100,0)</f>
        <v>#VALUE!</v>
      </c>
      <c r="AJ33" s="607"/>
      <c r="AK33" s="970"/>
      <c r="AL33" s="969" t="e">
        <f>IF(AI33&lt;10,"0" &amp; AI33,AI33)</f>
        <v>#VALUE!</v>
      </c>
      <c r="AM33" s="970"/>
      <c r="AN33" s="969" t="str">
        <f>IF(AI17="AZN","qəpik",IF(AI17="USD","sent",IF(AI17="EUR","sent","?")))</f>
        <v>qəpik</v>
      </c>
      <c r="AO33" s="607"/>
      <c r="AP33" s="607"/>
      <c r="AQ33" s="608"/>
      <c r="AR33" s="56" t="e">
        <f>IF(AR32="","",AR32&amp; " ")</f>
        <v>#VALUE!</v>
      </c>
      <c r="AS33" s="57" t="e">
        <f>IF(AS32="","",AS32&amp; " ") &amp; IF(AS32="","",IF(AT34="",IF(AU34="","min ",""),""))</f>
        <v>#VALUE!</v>
      </c>
      <c r="AT33" s="57" t="e">
        <f>IF(AT32="","",AT32&amp; " ") &amp; IF(AT32="","",IF(AU34="","min ",""))</f>
        <v>#VALUE!</v>
      </c>
      <c r="AU33" s="57" t="e">
        <f>IF(AU32="","",AU32&amp; " ") &amp;IF(AU32="","","min ")</f>
        <v>#VALUE!</v>
      </c>
      <c r="AV33" s="57" t="e">
        <f>IF(AV32="","",AV32&amp; " ")</f>
        <v>#VALUE!</v>
      </c>
      <c r="AW33" s="57" t="e">
        <f>IF(AW32="","",AW32&amp; " ")</f>
        <v>#VALUE!</v>
      </c>
      <c r="AX33" s="58" t="e">
        <f>IF(AX32="","",AX32&amp; " ")</f>
        <v>#VALUE!</v>
      </c>
      <c r="AZ33" s="537">
        <f>ROUND((BC17-AZ32)*100,0)</f>
        <v>3</v>
      </c>
      <c r="BA33" s="538"/>
      <c r="BB33" s="538"/>
      <c r="BC33" s="538" t="str">
        <f>IF(AZ33&lt;10,"0" &amp; AZ33,AZ33)</f>
        <v>03</v>
      </c>
      <c r="BD33" s="538"/>
      <c r="BE33" s="538" t="str">
        <f>IF(AZ17="AZN","qəpik",IF(AZ17="USD","sent",IF(AZ17="EUR","sent","?")))</f>
        <v>sent</v>
      </c>
      <c r="BF33" s="538"/>
      <c r="BG33" s="538"/>
      <c r="BH33" s="539"/>
      <c r="BI33" s="56" t="str">
        <f>IF(BI32="","",BI32&amp; " ")</f>
        <v/>
      </c>
      <c r="BJ33" s="57" t="str">
        <f>IF(BJ32="","",BJ32&amp; " ") &amp; IF(BJ32="","",IF(BK34="",IF(BL34="","min ",""),""))</f>
        <v/>
      </c>
      <c r="BK33" s="57" t="str">
        <f>IF(BK32="","",BK32&amp; " ") &amp; IF(BK32="","",IF(BL34="","min ",""))</f>
        <v/>
      </c>
      <c r="BL33" s="57" t="str">
        <f>IF(BL32="","",BL32&amp; " ") &amp;IF(BL32="","","min ")</f>
        <v/>
      </c>
      <c r="BM33" s="57" t="str">
        <f>IF(BM32="","",BM32&amp; " ")</f>
        <v xml:space="preserve">doqquz yüz </v>
      </c>
      <c r="BN33" s="57" t="str">
        <f>IF(BN32="","",BN32&amp; " ")</f>
        <v xml:space="preserve">altmış </v>
      </c>
      <c r="BO33" s="58" t="str">
        <f>IF(BO32="","",BO32&amp; " ")</f>
        <v xml:space="preserve">üç </v>
      </c>
      <c r="BP33" s="15"/>
      <c r="BQ33" s="227"/>
      <c r="BR33" s="227"/>
      <c r="BS33" s="227"/>
      <c r="BT33" s="227"/>
      <c r="BU33" s="227"/>
      <c r="BV33" s="227"/>
      <c r="BW33" s="227"/>
      <c r="BX33" s="227"/>
      <c r="BY33" s="227"/>
      <c r="BZ33" s="16"/>
      <c r="CA33" s="16"/>
      <c r="CB33" s="16"/>
      <c r="CC33" s="16"/>
      <c r="CD33" s="16"/>
      <c r="CE33" s="16"/>
      <c r="CF33" s="16"/>
      <c r="CG33" s="15"/>
      <c r="CH33" s="227"/>
      <c r="CI33" s="227"/>
      <c r="CJ33" s="227"/>
      <c r="CK33" s="227"/>
      <c r="CL33" s="227"/>
      <c r="CM33" s="227"/>
      <c r="CN33" s="227"/>
      <c r="CO33" s="227"/>
      <c r="CP33" s="227"/>
      <c r="CQ33" s="16"/>
      <c r="CR33" s="16"/>
      <c r="CS33" s="16"/>
      <c r="CT33" s="16"/>
      <c r="CU33" s="16"/>
      <c r="CV33" s="16"/>
      <c r="CW33" s="16"/>
      <c r="CX33" s="15"/>
      <c r="CY33" s="227"/>
      <c r="CZ33" s="227"/>
      <c r="DA33" s="227"/>
      <c r="DB33" s="227"/>
      <c r="DC33" s="227"/>
      <c r="DD33" s="227"/>
      <c r="DE33" s="227"/>
      <c r="DF33" s="227"/>
      <c r="DG33" s="227"/>
      <c r="DH33" s="16"/>
      <c r="DI33" s="16"/>
      <c r="DJ33" s="16"/>
      <c r="DK33" s="16"/>
      <c r="DL33" s="16"/>
      <c r="DM33" s="16"/>
      <c r="DN33" s="16"/>
      <c r="DO33" s="15"/>
      <c r="DP33" s="227"/>
      <c r="DQ33" s="227"/>
      <c r="DR33" s="227"/>
      <c r="DS33" s="227"/>
      <c r="DT33" s="227"/>
      <c r="DU33" s="227"/>
      <c r="DV33" s="227"/>
      <c r="DW33" s="227"/>
      <c r="DX33" s="227"/>
      <c r="DY33" s="16"/>
      <c r="DZ33" s="16"/>
      <c r="EA33" s="16"/>
      <c r="EB33" s="16"/>
      <c r="EC33" s="16"/>
      <c r="ED33" s="16"/>
      <c r="EE33" s="16"/>
      <c r="EF33" s="15"/>
      <c r="EG33" s="227"/>
      <c r="EH33" s="227"/>
      <c r="EI33" s="227"/>
      <c r="EJ33" s="227"/>
      <c r="EK33" s="227"/>
      <c r="EL33" s="227"/>
      <c r="EM33" s="227"/>
      <c r="EN33" s="227"/>
      <c r="EO33" s="227"/>
      <c r="EP33" s="16"/>
      <c r="EQ33" s="16"/>
      <c r="ER33" s="16"/>
      <c r="ES33" s="16"/>
      <c r="ET33" s="16"/>
      <c r="EU33" s="16"/>
      <c r="EV33" s="16"/>
      <c r="EW33" s="15"/>
      <c r="EX33" s="227"/>
      <c r="EY33" s="227"/>
      <c r="EZ33" s="227"/>
      <c r="FA33" s="227"/>
      <c r="FB33" s="227"/>
      <c r="FC33" s="227"/>
      <c r="FD33" s="227"/>
      <c r="FE33" s="227"/>
      <c r="FF33" s="227"/>
      <c r="FG33" s="16"/>
      <c r="FH33" s="16"/>
      <c r="FI33" s="16"/>
      <c r="FJ33" s="16"/>
      <c r="FK33" s="16"/>
      <c r="FL33" s="16"/>
      <c r="FM33" s="16"/>
      <c r="FN33" s="15"/>
    </row>
    <row r="34" spans="1:170" x14ac:dyDescent="0.2">
      <c r="A34" s="537"/>
      <c r="B34" s="538"/>
      <c r="C34" s="538"/>
      <c r="D34" s="538"/>
      <c r="E34" s="538"/>
      <c r="F34" s="538"/>
      <c r="G34" s="538"/>
      <c r="H34" s="538"/>
      <c r="I34" s="539"/>
      <c r="J34" s="62"/>
      <c r="K34" s="63" t="str">
        <f>IF(K32="","",IF(L34="",IF(M34="","min",""),""))</f>
        <v/>
      </c>
      <c r="L34" s="63" t="str">
        <f>IF(L32="","",IF(M34="","min",""))</f>
        <v/>
      </c>
      <c r="M34" s="63" t="str">
        <f>IF(M32="","","min")</f>
        <v>min</v>
      </c>
      <c r="N34" s="63"/>
      <c r="O34" s="63"/>
      <c r="P34" s="64"/>
      <c r="R34" s="537"/>
      <c r="S34" s="538"/>
      <c r="T34" s="538"/>
      <c r="U34" s="538"/>
      <c r="V34" s="538"/>
      <c r="W34" s="538"/>
      <c r="X34" s="538"/>
      <c r="Y34" s="538"/>
      <c r="Z34" s="539"/>
      <c r="AA34" s="62"/>
      <c r="AB34" s="63" t="str">
        <f>IF(AB32="","",IF(AC34="",IF(AD34="","min",""),""))</f>
        <v/>
      </c>
      <c r="AC34" s="63" t="str">
        <f>IF(AC32="","",IF(AD34="","min",""))</f>
        <v/>
      </c>
      <c r="AD34" s="63" t="str">
        <f>IF(AD32="","","min")</f>
        <v>min</v>
      </c>
      <c r="AE34" s="63"/>
      <c r="AF34" s="63"/>
      <c r="AG34" s="64"/>
      <c r="AI34" s="963"/>
      <c r="AJ34" s="964"/>
      <c r="AK34" s="964"/>
      <c r="AL34" s="964"/>
      <c r="AM34" s="964"/>
      <c r="AN34" s="964"/>
      <c r="AO34" s="964"/>
      <c r="AP34" s="964"/>
      <c r="AQ34" s="965"/>
      <c r="AR34" s="62"/>
      <c r="AS34" s="63" t="e">
        <f>IF(AS32="","",IF(AT34="",IF(AU34="","min",""),""))</f>
        <v>#VALUE!</v>
      </c>
      <c r="AT34" s="63" t="e">
        <f>IF(AT32="","",IF(AU34="","min",""))</f>
        <v>#VALUE!</v>
      </c>
      <c r="AU34" s="63" t="e">
        <f>IF(AU32="","","min")</f>
        <v>#VALUE!</v>
      </c>
      <c r="AV34" s="63"/>
      <c r="AW34" s="63"/>
      <c r="AX34" s="64"/>
      <c r="AZ34" s="537"/>
      <c r="BA34" s="538"/>
      <c r="BB34" s="538"/>
      <c r="BC34" s="538"/>
      <c r="BD34" s="538"/>
      <c r="BE34" s="538"/>
      <c r="BF34" s="538"/>
      <c r="BG34" s="538"/>
      <c r="BH34" s="539"/>
      <c r="BI34" s="484"/>
      <c r="BJ34" s="485" t="str">
        <f>IF(BJ32="","",IF(BK34="",IF(BL34="","min",""),""))</f>
        <v/>
      </c>
      <c r="BK34" s="485" t="str">
        <f>IF(BK32="","",IF(BL34="","min",""))</f>
        <v/>
      </c>
      <c r="BL34" s="485" t="str">
        <f>IF(BL32="","","min")</f>
        <v/>
      </c>
      <c r="BM34" s="485"/>
      <c r="BN34" s="485"/>
      <c r="BO34" s="486"/>
      <c r="BP34" s="15"/>
      <c r="BQ34" s="227"/>
      <c r="BR34" s="227"/>
      <c r="BS34" s="227"/>
      <c r="BT34" s="227"/>
      <c r="BU34" s="227"/>
      <c r="BV34" s="227"/>
      <c r="BW34" s="227"/>
      <c r="BX34" s="227"/>
      <c r="BY34" s="227"/>
      <c r="BZ34" s="17"/>
      <c r="CA34" s="17"/>
      <c r="CB34" s="17"/>
      <c r="CC34" s="17"/>
      <c r="CD34" s="17"/>
      <c r="CE34" s="17"/>
      <c r="CF34" s="17"/>
      <c r="CG34" s="15"/>
      <c r="CH34" s="227"/>
      <c r="CI34" s="227"/>
      <c r="CJ34" s="227"/>
      <c r="CK34" s="227"/>
      <c r="CL34" s="227"/>
      <c r="CM34" s="227"/>
      <c r="CN34" s="227"/>
      <c r="CO34" s="227"/>
      <c r="CP34" s="227"/>
      <c r="CQ34" s="17"/>
      <c r="CR34" s="17"/>
      <c r="CS34" s="17"/>
      <c r="CT34" s="17"/>
      <c r="CU34" s="17"/>
      <c r="CV34" s="17"/>
      <c r="CW34" s="17"/>
      <c r="CX34" s="15"/>
      <c r="CY34" s="227"/>
      <c r="CZ34" s="227"/>
      <c r="DA34" s="227"/>
      <c r="DB34" s="227"/>
      <c r="DC34" s="227"/>
      <c r="DD34" s="227"/>
      <c r="DE34" s="227"/>
      <c r="DF34" s="227"/>
      <c r="DG34" s="227"/>
      <c r="DH34" s="17"/>
      <c r="DI34" s="17"/>
      <c r="DJ34" s="17"/>
      <c r="DK34" s="17"/>
      <c r="DL34" s="17"/>
      <c r="DM34" s="17"/>
      <c r="DN34" s="17"/>
      <c r="DO34" s="15"/>
      <c r="DP34" s="227"/>
      <c r="DQ34" s="227"/>
      <c r="DR34" s="227"/>
      <c r="DS34" s="227"/>
      <c r="DT34" s="227"/>
      <c r="DU34" s="227"/>
      <c r="DV34" s="227"/>
      <c r="DW34" s="227"/>
      <c r="DX34" s="227"/>
      <c r="DY34" s="17"/>
      <c r="DZ34" s="17"/>
      <c r="EA34" s="17"/>
      <c r="EB34" s="17"/>
      <c r="EC34" s="17"/>
      <c r="ED34" s="17"/>
      <c r="EE34" s="17"/>
      <c r="EF34" s="15"/>
      <c r="EG34" s="227"/>
      <c r="EH34" s="227"/>
      <c r="EI34" s="227"/>
      <c r="EJ34" s="227"/>
      <c r="EK34" s="227"/>
      <c r="EL34" s="227"/>
      <c r="EM34" s="227"/>
      <c r="EN34" s="227"/>
      <c r="EO34" s="227"/>
      <c r="EP34" s="17"/>
      <c r="EQ34" s="17"/>
      <c r="ER34" s="17"/>
      <c r="ES34" s="17"/>
      <c r="ET34" s="17"/>
      <c r="EU34" s="17"/>
      <c r="EV34" s="17"/>
      <c r="EW34" s="15"/>
      <c r="EX34" s="227"/>
      <c r="EY34" s="227"/>
      <c r="EZ34" s="227"/>
      <c r="FA34" s="227"/>
      <c r="FB34" s="227"/>
      <c r="FC34" s="227"/>
      <c r="FD34" s="227"/>
      <c r="FE34" s="227"/>
      <c r="FF34" s="227"/>
      <c r="FG34" s="17"/>
      <c r="FH34" s="17"/>
      <c r="FI34" s="17"/>
      <c r="FJ34" s="17"/>
      <c r="FK34" s="17"/>
      <c r="FL34" s="17"/>
      <c r="FM34" s="17"/>
      <c r="FN34" s="15"/>
    </row>
    <row r="35" spans="1:170" x14ac:dyDescent="0.2">
      <c r="A35" s="540"/>
      <c r="B35" s="541"/>
      <c r="C35" s="541"/>
      <c r="D35" s="541"/>
      <c r="E35" s="541"/>
      <c r="F35" s="541"/>
      <c r="G35" s="541"/>
      <c r="H35" s="541"/>
      <c r="I35" s="542"/>
      <c r="J35" s="59" t="str">
        <f t="shared" ref="J35:P35" si="4">J33</f>
        <v/>
      </c>
      <c r="K35" s="60" t="str">
        <f t="shared" si="4"/>
        <v/>
      </c>
      <c r="L35" s="60" t="str">
        <f t="shared" si="4"/>
        <v/>
      </c>
      <c r="M35" s="60" t="str">
        <f t="shared" si="4"/>
        <v xml:space="preserve">bir min </v>
      </c>
      <c r="N35" s="60" t="str">
        <f t="shared" si="4"/>
        <v/>
      </c>
      <c r="O35" s="60" t="str">
        <f t="shared" si="4"/>
        <v/>
      </c>
      <c r="P35" s="61" t="str">
        <f t="shared" si="4"/>
        <v/>
      </c>
      <c r="R35" s="540"/>
      <c r="S35" s="541"/>
      <c r="T35" s="541"/>
      <c r="U35" s="541"/>
      <c r="V35" s="541"/>
      <c r="W35" s="541"/>
      <c r="X35" s="541"/>
      <c r="Y35" s="541"/>
      <c r="Z35" s="542"/>
      <c r="AA35" s="59" t="str">
        <f t="shared" ref="AA35:AG35" si="5">AA33</f>
        <v/>
      </c>
      <c r="AB35" s="60" t="str">
        <f t="shared" si="5"/>
        <v/>
      </c>
      <c r="AC35" s="60" t="str">
        <f t="shared" si="5"/>
        <v/>
      </c>
      <c r="AD35" s="60" t="str">
        <f t="shared" si="5"/>
        <v xml:space="preserve">beş min </v>
      </c>
      <c r="AE35" s="60" t="str">
        <f t="shared" si="5"/>
        <v/>
      </c>
      <c r="AF35" s="60" t="str">
        <f t="shared" si="5"/>
        <v xml:space="preserve">otuz </v>
      </c>
      <c r="AG35" s="61" t="str">
        <f t="shared" si="5"/>
        <v/>
      </c>
      <c r="AI35" s="966"/>
      <c r="AJ35" s="967"/>
      <c r="AK35" s="967"/>
      <c r="AL35" s="967"/>
      <c r="AM35" s="967"/>
      <c r="AN35" s="967"/>
      <c r="AO35" s="967"/>
      <c r="AP35" s="967"/>
      <c r="AQ35" s="968"/>
      <c r="AR35" s="59" t="e">
        <f t="shared" ref="AR35:AX35" si="6">AR33</f>
        <v>#VALUE!</v>
      </c>
      <c r="AS35" s="60" t="e">
        <f t="shared" si="6"/>
        <v>#VALUE!</v>
      </c>
      <c r="AT35" s="60" t="e">
        <f t="shared" si="6"/>
        <v>#VALUE!</v>
      </c>
      <c r="AU35" s="60" t="e">
        <f t="shared" si="6"/>
        <v>#VALUE!</v>
      </c>
      <c r="AV35" s="60" t="e">
        <f t="shared" si="6"/>
        <v>#VALUE!</v>
      </c>
      <c r="AW35" s="60" t="e">
        <f t="shared" si="6"/>
        <v>#VALUE!</v>
      </c>
      <c r="AX35" s="61" t="e">
        <f t="shared" si="6"/>
        <v>#VALUE!</v>
      </c>
      <c r="AZ35" s="540"/>
      <c r="BA35" s="541"/>
      <c r="BB35" s="541"/>
      <c r="BC35" s="541"/>
      <c r="BD35" s="541"/>
      <c r="BE35" s="541"/>
      <c r="BF35" s="541"/>
      <c r="BG35" s="541"/>
      <c r="BH35" s="542"/>
      <c r="BI35" s="59" t="str">
        <f t="shared" ref="BI35:BO35" si="7">BI33</f>
        <v/>
      </c>
      <c r="BJ35" s="60" t="str">
        <f t="shared" si="7"/>
        <v/>
      </c>
      <c r="BK35" s="60" t="str">
        <f t="shared" si="7"/>
        <v/>
      </c>
      <c r="BL35" s="60" t="str">
        <f t="shared" si="7"/>
        <v/>
      </c>
      <c r="BM35" s="60" t="str">
        <f t="shared" si="7"/>
        <v xml:space="preserve">doqquz yüz </v>
      </c>
      <c r="BN35" s="60" t="str">
        <f t="shared" si="7"/>
        <v xml:space="preserve">altmış </v>
      </c>
      <c r="BO35" s="61" t="str">
        <f t="shared" si="7"/>
        <v xml:space="preserve">üç </v>
      </c>
      <c r="BP35" s="15"/>
      <c r="BQ35" s="227"/>
      <c r="BR35" s="227"/>
      <c r="BS35" s="227"/>
      <c r="BT35" s="227"/>
      <c r="BU35" s="227"/>
      <c r="BV35" s="227"/>
      <c r="BW35" s="227"/>
      <c r="BX35" s="227"/>
      <c r="BY35" s="227"/>
      <c r="BZ35" s="16"/>
      <c r="CA35" s="16"/>
      <c r="CB35" s="16"/>
      <c r="CC35" s="16"/>
      <c r="CD35" s="16"/>
      <c r="CE35" s="16"/>
      <c r="CF35" s="16"/>
      <c r="CG35" s="15"/>
      <c r="CH35" s="227"/>
      <c r="CI35" s="227"/>
      <c r="CJ35" s="227"/>
      <c r="CK35" s="227"/>
      <c r="CL35" s="227"/>
      <c r="CM35" s="227"/>
      <c r="CN35" s="227"/>
      <c r="CO35" s="227"/>
      <c r="CP35" s="227"/>
      <c r="CQ35" s="16"/>
      <c r="CR35" s="16"/>
      <c r="CS35" s="16"/>
      <c r="CT35" s="16"/>
      <c r="CU35" s="16"/>
      <c r="CV35" s="16"/>
      <c r="CW35" s="16"/>
      <c r="CX35" s="15"/>
      <c r="CY35" s="227"/>
      <c r="CZ35" s="227"/>
      <c r="DA35" s="227"/>
      <c r="DB35" s="227"/>
      <c r="DC35" s="227"/>
      <c r="DD35" s="227"/>
      <c r="DE35" s="227"/>
      <c r="DF35" s="227"/>
      <c r="DG35" s="227"/>
      <c r="DH35" s="16"/>
      <c r="DI35" s="16"/>
      <c r="DJ35" s="16"/>
      <c r="DK35" s="16"/>
      <c r="DL35" s="16"/>
      <c r="DM35" s="16"/>
      <c r="DN35" s="16"/>
      <c r="DO35" s="15"/>
      <c r="DP35" s="227"/>
      <c r="DQ35" s="227"/>
      <c r="DR35" s="227"/>
      <c r="DS35" s="227"/>
      <c r="DT35" s="227"/>
      <c r="DU35" s="227"/>
      <c r="DV35" s="227"/>
      <c r="DW35" s="227"/>
      <c r="DX35" s="227"/>
      <c r="DY35" s="16"/>
      <c r="DZ35" s="16"/>
      <c r="EA35" s="16"/>
      <c r="EB35" s="16"/>
      <c r="EC35" s="16"/>
      <c r="ED35" s="16"/>
      <c r="EE35" s="16"/>
      <c r="EF35" s="15"/>
      <c r="EG35" s="227"/>
      <c r="EH35" s="227"/>
      <c r="EI35" s="227"/>
      <c r="EJ35" s="227"/>
      <c r="EK35" s="227"/>
      <c r="EL35" s="227"/>
      <c r="EM35" s="227"/>
      <c r="EN35" s="227"/>
      <c r="EO35" s="227"/>
      <c r="EP35" s="16"/>
      <c r="EQ35" s="16"/>
      <c r="ER35" s="16"/>
      <c r="ES35" s="16"/>
      <c r="ET35" s="16"/>
      <c r="EU35" s="16"/>
      <c r="EV35" s="16"/>
      <c r="EW35" s="15"/>
      <c r="EX35" s="227"/>
      <c r="EY35" s="227"/>
      <c r="EZ35" s="227"/>
      <c r="FA35" s="227"/>
      <c r="FB35" s="227"/>
      <c r="FC35" s="227"/>
      <c r="FD35" s="227"/>
      <c r="FE35" s="227"/>
      <c r="FF35" s="227"/>
      <c r="FG35" s="16"/>
      <c r="FH35" s="16"/>
      <c r="FI35" s="16"/>
      <c r="FJ35" s="16"/>
      <c r="FK35" s="16"/>
      <c r="FL35" s="16"/>
      <c r="FM35" s="16"/>
      <c r="FN35" s="15"/>
    </row>
    <row r="36" spans="1:170" x14ac:dyDescent="0.2">
      <c r="BA36" s="41" t="s">
        <v>368</v>
      </c>
    </row>
    <row r="37" spans="1:170" x14ac:dyDescent="0.2">
      <c r="A37" s="41" t="s">
        <v>364</v>
      </c>
      <c r="F37" s="41" t="s">
        <v>363</v>
      </c>
      <c r="O37" s="41" t="s">
        <v>362</v>
      </c>
      <c r="AJ37" s="41" t="s">
        <v>361</v>
      </c>
      <c r="AR37" s="41" t="s">
        <v>360</v>
      </c>
      <c r="BA37" s="570" t="str">
        <f>PUL_VAHIDI</f>
        <v>AZN</v>
      </c>
      <c r="BB37" s="570"/>
      <c r="BC37" s="570"/>
      <c r="BD37" s="571" t="str">
        <f>TEXT(IFF,"0.00")</f>
        <v>0.60</v>
      </c>
      <c r="BE37" s="571"/>
      <c r="BF37" s="571"/>
      <c r="BG37" s="571"/>
      <c r="BH37" s="571"/>
      <c r="BI37" s="571"/>
      <c r="BJ37" s="552"/>
      <c r="BK37" s="553"/>
      <c r="BL37" s="553"/>
      <c r="BM37" s="553"/>
      <c r="BN37" s="553"/>
      <c r="BO37" s="553"/>
      <c r="BP37" s="554"/>
    </row>
    <row r="38" spans="1:170" x14ac:dyDescent="0.2">
      <c r="A38" s="552">
        <f>NS</f>
        <v>0</v>
      </c>
      <c r="B38" s="553"/>
      <c r="C38" s="553"/>
      <c r="D38" s="554"/>
      <c r="F38" s="552">
        <f>MONTH_KREDIT</f>
        <v>10</v>
      </c>
      <c r="G38" s="553"/>
      <c r="H38" s="553"/>
      <c r="I38" s="553"/>
      <c r="J38" s="553"/>
      <c r="K38" s="554"/>
      <c r="L38" s="65">
        <f>INT(RIGHT(F50,2)/10)</f>
        <v>1</v>
      </c>
      <c r="M38" s="52">
        <f>INT(RIGHT(F50,1))</f>
        <v>0</v>
      </c>
      <c r="N38" s="49"/>
      <c r="O38" s="552" t="str">
        <f>TEXT(IFF,"0.00")</f>
        <v>0.60</v>
      </c>
      <c r="P38" s="553"/>
      <c r="Q38" s="553"/>
      <c r="R38" s="553"/>
      <c r="S38" s="553"/>
      <c r="T38" s="554"/>
      <c r="U38" s="65">
        <f>INT(RIGHT(O50,2)/10)</f>
        <v>0</v>
      </c>
      <c r="V38" s="52">
        <f>INT(RIGHT(O50,1))</f>
        <v>0</v>
      </c>
      <c r="AJ38" s="552" t="str">
        <f>SF</f>
        <v>RS Köhnə LD</v>
      </c>
      <c r="AK38" s="553"/>
      <c r="AL38" s="553"/>
      <c r="AM38" s="553"/>
      <c r="AN38" s="553"/>
      <c r="AO38" s="554"/>
      <c r="AP38" s="65" t="e">
        <f>INT(RIGHT(AJ50,2)/10)</f>
        <v>#VALUE!</v>
      </c>
      <c r="AQ38" s="52" t="e">
        <f>INT(RIGHT(AJ50,1))</f>
        <v>#VALUE!</v>
      </c>
      <c r="AR38" s="552">
        <f>GUZEST_KREDIT</f>
        <v>0</v>
      </c>
      <c r="AS38" s="553"/>
      <c r="AT38" s="553"/>
      <c r="AU38" s="553"/>
      <c r="AV38" s="553"/>
      <c r="AW38" s="554"/>
      <c r="AX38" s="65">
        <f>INT(RIGHT(AR50,2)/10)</f>
        <v>0</v>
      </c>
      <c r="AY38" s="52">
        <f>INT(RIGHT(AR50,1))</f>
        <v>0</v>
      </c>
      <c r="BA38" s="555" t="str">
        <f>IF(BA50=0,"sıfır",BJ53&amp; BK53&amp; BL53&amp;BM53&amp;BN53&amp;BO53 &amp;BP53&amp;" tam yüzdə "&amp;BD51)</f>
        <v>sıfır</v>
      </c>
      <c r="BB38" s="555"/>
      <c r="BC38" s="555"/>
      <c r="BD38" s="555"/>
      <c r="BE38" s="555"/>
      <c r="BF38" s="555"/>
      <c r="BG38" s="555"/>
      <c r="BH38" s="555"/>
      <c r="BI38" s="555"/>
      <c r="BJ38" s="555"/>
      <c r="BK38" s="555"/>
      <c r="BL38" s="555"/>
      <c r="BM38" s="555"/>
      <c r="BN38" s="555"/>
      <c r="BO38" s="555"/>
      <c r="BP38" s="555"/>
    </row>
    <row r="39" spans="1:170" x14ac:dyDescent="0.2">
      <c r="A39" s="593" t="str">
        <f>UPPER(LEFT(A38,1))&amp;RIGHT(A38,LEN(A38)-1)</f>
        <v>0</v>
      </c>
      <c r="B39" s="594"/>
      <c r="C39" s="599">
        <f>INT(RIGHT(B50,1))</f>
        <v>0</v>
      </c>
      <c r="D39" s="600"/>
      <c r="F39" s="592" t="str">
        <f>IF(F50=0,"sıfır",J51 &amp;K51 )</f>
        <v xml:space="preserve">on </v>
      </c>
      <c r="G39" s="592"/>
      <c r="H39" s="592"/>
      <c r="I39" s="592"/>
      <c r="J39" s="592"/>
      <c r="K39" s="592"/>
      <c r="L39" s="592"/>
      <c r="M39" s="592"/>
      <c r="N39" s="14"/>
      <c r="O39" s="592" t="str">
        <f>IF(O50=0,"sıfır",S51 &amp;T51 )</f>
        <v>sıfır</v>
      </c>
      <c r="P39" s="592"/>
      <c r="Q39" s="592"/>
      <c r="R39" s="592"/>
      <c r="S39" s="592"/>
      <c r="T39" s="592"/>
      <c r="U39" s="592"/>
      <c r="V39" s="592"/>
      <c r="AJ39" s="592" t="e">
        <f>IF(AJ50=0,"sıfır",AN51 &amp;AO51 )</f>
        <v>#VALUE!</v>
      </c>
      <c r="AK39" s="592"/>
      <c r="AL39" s="592"/>
      <c r="AM39" s="592"/>
      <c r="AN39" s="592"/>
      <c r="AO39" s="592"/>
      <c r="AP39" s="592"/>
      <c r="AQ39" s="592"/>
      <c r="AR39" s="592" t="str">
        <f>IF(AR50=0,"sıfır",AV51 &amp;AW51 )</f>
        <v>sıfır</v>
      </c>
      <c r="AS39" s="592"/>
      <c r="AT39" s="592"/>
      <c r="AU39" s="592"/>
      <c r="AV39" s="592"/>
      <c r="AW39" s="592"/>
      <c r="AX39" s="592"/>
      <c r="AY39" s="592"/>
      <c r="BA39" s="555" t="str">
        <f>UPPER(LEFT(BA38,1))&amp;RIGHT(BA38,LEN(BA38)-1)</f>
        <v>Sıfır</v>
      </c>
      <c r="BB39" s="555"/>
      <c r="BC39" s="555"/>
      <c r="BD39" s="555"/>
      <c r="BE39" s="555"/>
      <c r="BF39" s="555"/>
      <c r="BG39" s="555"/>
      <c r="BH39" s="555"/>
      <c r="BI39" s="555"/>
      <c r="BJ39" s="555"/>
      <c r="BK39" s="555"/>
      <c r="BL39" s="555"/>
      <c r="BM39" s="555"/>
      <c r="BN39" s="555"/>
      <c r="BO39" s="555"/>
      <c r="BP39" s="555"/>
    </row>
    <row r="40" spans="1:170" x14ac:dyDescent="0.2">
      <c r="A40" s="593" t="str">
        <f>UPPER(LEFT(A39,1))&amp;RIGHT(A39,LEN(A39)-1)</f>
        <v>0</v>
      </c>
      <c r="B40" s="594"/>
      <c r="C40" s="599">
        <f>INT(RIGHT(B50,1))</f>
        <v>0</v>
      </c>
      <c r="D40" s="600"/>
      <c r="F40" s="592" t="str">
        <f>UPPER(LEFT(F39,1))&amp;RIGHT(F39,LEN(F39)-1)</f>
        <v xml:space="preserve">On </v>
      </c>
      <c r="G40" s="592"/>
      <c r="H40" s="592"/>
      <c r="I40" s="592"/>
      <c r="J40" s="592"/>
      <c r="K40" s="592"/>
      <c r="L40" s="592"/>
      <c r="M40" s="592"/>
      <c r="N40" s="14"/>
      <c r="O40" s="592" t="str">
        <f>UPPER(LEFT(O39,1))&amp;RIGHT(O39,LEN(O39)-1)</f>
        <v>Sıfır</v>
      </c>
      <c r="P40" s="592"/>
      <c r="Q40" s="592"/>
      <c r="R40" s="592"/>
      <c r="S40" s="592"/>
      <c r="T40" s="592"/>
      <c r="U40" s="592"/>
      <c r="V40" s="592"/>
      <c r="AJ40" s="592" t="e">
        <f>UPPER(LEFT(AJ39,1))&amp;RIGHT(AJ39,LEN(AJ39)-1)</f>
        <v>#VALUE!</v>
      </c>
      <c r="AK40" s="592"/>
      <c r="AL40" s="592"/>
      <c r="AM40" s="592"/>
      <c r="AN40" s="592"/>
      <c r="AO40" s="592"/>
      <c r="AP40" s="592"/>
      <c r="AQ40" s="592"/>
      <c r="AR40" s="592" t="str">
        <f>UPPER(LEFT(AR39,1))&amp;RIGHT(AR39,LEN(AR39)-1)</f>
        <v>Sıfır</v>
      </c>
      <c r="AS40" s="592"/>
      <c r="AT40" s="592"/>
      <c r="AU40" s="592"/>
      <c r="AV40" s="592"/>
      <c r="AW40" s="592"/>
      <c r="AX40" s="592"/>
      <c r="AY40" s="592"/>
      <c r="BA40" s="556"/>
      <c r="BB40" s="557"/>
      <c r="BC40" s="557"/>
      <c r="BD40" s="557"/>
      <c r="BE40" s="557"/>
      <c r="BF40" s="557"/>
      <c r="BG40" s="557"/>
      <c r="BH40" s="557"/>
      <c r="BI40" s="558"/>
      <c r="BJ40" s="50">
        <f>INT(RIGHT(BA50,7)/1000000)</f>
        <v>0</v>
      </c>
      <c r="BK40" s="51">
        <f>INT(RIGHT(BA50,6)/100000)</f>
        <v>0</v>
      </c>
      <c r="BL40" s="51">
        <f>INT(RIGHT(BA50,5)/10000)</f>
        <v>0</v>
      </c>
      <c r="BM40" s="51">
        <f>INT(RIGHT(BA50,4)/1000)</f>
        <v>0</v>
      </c>
      <c r="BN40" s="51">
        <f>INT(RIGHT(BA50,3)/100)</f>
        <v>0</v>
      </c>
      <c r="BO40" s="51">
        <f>INT(RIGHT(BA50,2)/10)</f>
        <v>0</v>
      </c>
      <c r="BP40" s="52">
        <f>INT(RIGHT(BA50,1))</f>
        <v>0</v>
      </c>
    </row>
    <row r="41" spans="1:170" x14ac:dyDescent="0.2">
      <c r="A41" s="601" t="s">
        <v>359</v>
      </c>
      <c r="B41" s="602"/>
      <c r="C41" s="590" t="str">
        <f>IF(C40=1,A41,"")</f>
        <v/>
      </c>
      <c r="D41" s="605"/>
      <c r="F41" s="559" t="s">
        <v>359</v>
      </c>
      <c r="G41" s="560"/>
      <c r="H41" s="560"/>
      <c r="I41" s="560" t="s">
        <v>358</v>
      </c>
      <c r="J41" s="560"/>
      <c r="K41" s="560"/>
      <c r="L41" s="54" t="str">
        <f>IF(L38=1,I41,"")</f>
        <v>on</v>
      </c>
      <c r="M41" s="55" t="str">
        <f>IF(M38=1,F41,"")</f>
        <v/>
      </c>
      <c r="N41" s="14"/>
      <c r="O41" s="559" t="s">
        <v>359</v>
      </c>
      <c r="P41" s="560"/>
      <c r="Q41" s="560"/>
      <c r="R41" s="560" t="s">
        <v>358</v>
      </c>
      <c r="S41" s="560"/>
      <c r="T41" s="560"/>
      <c r="U41" s="54" t="str">
        <f>IF(U38=1,R41,"")</f>
        <v/>
      </c>
      <c r="V41" s="55" t="str">
        <f>IF(V38=1,O41,"")</f>
        <v/>
      </c>
      <c r="AJ41" s="559" t="s">
        <v>359</v>
      </c>
      <c r="AK41" s="560"/>
      <c r="AL41" s="560"/>
      <c r="AM41" s="560" t="s">
        <v>358</v>
      </c>
      <c r="AN41" s="560"/>
      <c r="AO41" s="560"/>
      <c r="AP41" s="54" t="e">
        <f>IF(AP38=1,AM41,"")</f>
        <v>#VALUE!</v>
      </c>
      <c r="AQ41" s="55" t="e">
        <f>IF(AQ38=1,AJ41,"")</f>
        <v>#VALUE!</v>
      </c>
      <c r="AR41" s="559" t="s">
        <v>359</v>
      </c>
      <c r="AS41" s="560"/>
      <c r="AT41" s="560"/>
      <c r="AU41" s="560" t="s">
        <v>358</v>
      </c>
      <c r="AV41" s="560"/>
      <c r="AW41" s="560"/>
      <c r="AX41" s="54" t="str">
        <f>IF(AX38=1,AU41,"")</f>
        <v/>
      </c>
      <c r="AY41" s="55" t="str">
        <f>IF(AY38=1,AR41,"")</f>
        <v/>
      </c>
      <c r="BA41" s="559" t="s">
        <v>359</v>
      </c>
      <c r="BB41" s="560"/>
      <c r="BC41" s="560"/>
      <c r="BD41" s="560" t="s">
        <v>358</v>
      </c>
      <c r="BE41" s="560"/>
      <c r="BF41" s="560"/>
      <c r="BG41" s="560" t="s">
        <v>367</v>
      </c>
      <c r="BH41" s="560"/>
      <c r="BI41" s="561"/>
      <c r="BJ41" s="53" t="str">
        <f>IF(BJ40=1,BA41&amp; " " &amp; "milyon","")</f>
        <v/>
      </c>
      <c r="BK41" s="54" t="str">
        <f>IF(BK40=1,"yüz","")</f>
        <v/>
      </c>
      <c r="BL41" s="54" t="str">
        <f>IF(BL40=1,BD41,"")</f>
        <v/>
      </c>
      <c r="BM41" s="54" t="str">
        <f>IF(BM40=1,BA41,"")</f>
        <v/>
      </c>
      <c r="BN41" s="54" t="str">
        <f>IF(BN40=1,"yüz","")</f>
        <v/>
      </c>
      <c r="BO41" s="54" t="str">
        <f>IF(BO40=1,BD41,"")</f>
        <v/>
      </c>
      <c r="BP41" s="55" t="str">
        <f>IF(BP40=1,BA41,"")</f>
        <v/>
      </c>
    </row>
    <row r="42" spans="1:170" x14ac:dyDescent="0.2">
      <c r="A42" s="603" t="s">
        <v>357</v>
      </c>
      <c r="B42" s="604"/>
      <c r="C42" s="607" t="str">
        <f>IF(C40=2,A42,"")</f>
        <v/>
      </c>
      <c r="D42" s="608"/>
      <c r="F42" s="543" t="s">
        <v>357</v>
      </c>
      <c r="G42" s="544"/>
      <c r="H42" s="544"/>
      <c r="I42" s="544" t="s">
        <v>356</v>
      </c>
      <c r="J42" s="544"/>
      <c r="K42" s="544"/>
      <c r="L42" s="57" t="str">
        <f>IF(L38=2,I42,"")</f>
        <v/>
      </c>
      <c r="M42" s="58" t="str">
        <f>IF(M38=2,F42,"")</f>
        <v/>
      </c>
      <c r="N42" s="14"/>
      <c r="O42" s="543" t="s">
        <v>357</v>
      </c>
      <c r="P42" s="544"/>
      <c r="Q42" s="544"/>
      <c r="R42" s="544" t="s">
        <v>356</v>
      </c>
      <c r="S42" s="544"/>
      <c r="T42" s="544"/>
      <c r="U42" s="57" t="str">
        <f>IF(U38=2,R42,"")</f>
        <v/>
      </c>
      <c r="V42" s="58" t="str">
        <f>IF(V38=2,O42,"")</f>
        <v/>
      </c>
      <c r="AJ42" s="543" t="s">
        <v>357</v>
      </c>
      <c r="AK42" s="544"/>
      <c r="AL42" s="544"/>
      <c r="AM42" s="544" t="s">
        <v>356</v>
      </c>
      <c r="AN42" s="544"/>
      <c r="AO42" s="544"/>
      <c r="AP42" s="57" t="e">
        <f>IF(AP38=2,AM42,"")</f>
        <v>#VALUE!</v>
      </c>
      <c r="AQ42" s="58" t="e">
        <f>IF(AQ38=2,AJ42,"")</f>
        <v>#VALUE!</v>
      </c>
      <c r="AR42" s="543" t="s">
        <v>357</v>
      </c>
      <c r="AS42" s="544"/>
      <c r="AT42" s="544"/>
      <c r="AU42" s="544" t="s">
        <v>356</v>
      </c>
      <c r="AV42" s="544"/>
      <c r="AW42" s="544"/>
      <c r="AX42" s="57" t="str">
        <f>IF(AX38=2,AU42,"")</f>
        <v/>
      </c>
      <c r="AY42" s="58" t="str">
        <f>IF(AY38=2,AR42,"")</f>
        <v/>
      </c>
      <c r="BA42" s="543" t="s">
        <v>357</v>
      </c>
      <c r="BB42" s="544"/>
      <c r="BC42" s="544"/>
      <c r="BD42" s="544" t="s">
        <v>356</v>
      </c>
      <c r="BE42" s="544"/>
      <c r="BF42" s="544"/>
      <c r="BG42" s="544" t="s">
        <v>366</v>
      </c>
      <c r="BH42" s="544"/>
      <c r="BI42" s="545"/>
      <c r="BJ42" s="56" t="str">
        <f>IF(BJ40=2,BA42&amp; " " &amp; "milyon","")</f>
        <v/>
      </c>
      <c r="BK42" s="57" t="str">
        <f>IF(BK40=2,BA42 &amp; " " &amp; "yüz","")</f>
        <v/>
      </c>
      <c r="BL42" s="57" t="str">
        <f>IF(BL40=2,BD42,"")</f>
        <v/>
      </c>
      <c r="BM42" s="57" t="str">
        <f>IF(BM40=2,BA42,"")</f>
        <v/>
      </c>
      <c r="BN42" s="57" t="str">
        <f>IF(BN40=2,BA42 &amp; " " &amp; "yüz","")</f>
        <v/>
      </c>
      <c r="BO42" s="57" t="str">
        <f>IF(BO40=2,BD42,"")</f>
        <v/>
      </c>
      <c r="BP42" s="58" t="str">
        <f>IF(BP40=2,BA42,"")</f>
        <v/>
      </c>
    </row>
    <row r="43" spans="1:170" x14ac:dyDescent="0.2">
      <c r="A43" s="603" t="s">
        <v>355</v>
      </c>
      <c r="B43" s="604"/>
      <c r="C43" s="607" t="str">
        <f>IF(C40=3,A43,"")</f>
        <v/>
      </c>
      <c r="D43" s="608"/>
      <c r="F43" s="543" t="s">
        <v>355</v>
      </c>
      <c r="G43" s="544"/>
      <c r="H43" s="544"/>
      <c r="I43" s="544" t="s">
        <v>354</v>
      </c>
      <c r="J43" s="544"/>
      <c r="K43" s="544"/>
      <c r="L43" s="57" t="str">
        <f>IF(L38=3,I43,"")</f>
        <v/>
      </c>
      <c r="M43" s="58" t="str">
        <f>IF(M38=3,F43,"")</f>
        <v/>
      </c>
      <c r="O43" s="543" t="s">
        <v>355</v>
      </c>
      <c r="P43" s="544"/>
      <c r="Q43" s="544"/>
      <c r="R43" s="544" t="s">
        <v>354</v>
      </c>
      <c r="S43" s="544"/>
      <c r="T43" s="544"/>
      <c r="U43" s="57" t="str">
        <f>IF(U38=3,R43,"")</f>
        <v/>
      </c>
      <c r="V43" s="58" t="str">
        <f>IF(V38=3,O43,"")</f>
        <v/>
      </c>
      <c r="AJ43" s="543" t="s">
        <v>355</v>
      </c>
      <c r="AK43" s="544"/>
      <c r="AL43" s="544"/>
      <c r="AM43" s="544" t="s">
        <v>354</v>
      </c>
      <c r="AN43" s="544"/>
      <c r="AO43" s="544"/>
      <c r="AP43" s="57" t="e">
        <f>IF(AP38=3,AM43,"")</f>
        <v>#VALUE!</v>
      </c>
      <c r="AQ43" s="58" t="e">
        <f>IF(AQ38=3,AJ43,"")</f>
        <v>#VALUE!</v>
      </c>
      <c r="AR43" s="543" t="s">
        <v>355</v>
      </c>
      <c r="AS43" s="544"/>
      <c r="AT43" s="544"/>
      <c r="AU43" s="544" t="s">
        <v>354</v>
      </c>
      <c r="AV43" s="544"/>
      <c r="AW43" s="544"/>
      <c r="AX43" s="57" t="str">
        <f>IF(AX38=3,AU43,"")</f>
        <v/>
      </c>
      <c r="AY43" s="58" t="str">
        <f>IF(AY38=3,AR43,"")</f>
        <v/>
      </c>
      <c r="BA43" s="543" t="s">
        <v>355</v>
      </c>
      <c r="BB43" s="544"/>
      <c r="BC43" s="544"/>
      <c r="BD43" s="544" t="s">
        <v>354</v>
      </c>
      <c r="BE43" s="544"/>
      <c r="BF43" s="544"/>
      <c r="BG43" s="544" t="s">
        <v>365</v>
      </c>
      <c r="BH43" s="544"/>
      <c r="BI43" s="545"/>
      <c r="BJ43" s="56" t="str">
        <f>IF(BJ40=3,BA43&amp; " " &amp; "milyon","")</f>
        <v/>
      </c>
      <c r="BK43" s="57" t="str">
        <f>IF(BK40=3,BA43  &amp; " " &amp; "yüz","")</f>
        <v/>
      </c>
      <c r="BL43" s="57" t="str">
        <f>IF(BL40=3,BD43,"")</f>
        <v/>
      </c>
      <c r="BM43" s="57" t="str">
        <f>IF(BM40=3,BA43,"")</f>
        <v/>
      </c>
      <c r="BN43" s="57" t="str">
        <f>IF(BN40=3,BA43  &amp; " " &amp; "yüz","")</f>
        <v/>
      </c>
      <c r="BO43" s="57" t="str">
        <f>IF(BO40=3,BD43,"")</f>
        <v/>
      </c>
      <c r="BP43" s="58" t="str">
        <f>IF(BP40=3,BA43,"")</f>
        <v/>
      </c>
    </row>
    <row r="44" spans="1:170" x14ac:dyDescent="0.2">
      <c r="A44" s="603" t="s">
        <v>353</v>
      </c>
      <c r="B44" s="604"/>
      <c r="C44" s="607" t="str">
        <f>IF(C40=4,A44,"")</f>
        <v/>
      </c>
      <c r="D44" s="608"/>
      <c r="F44" s="543" t="s">
        <v>353</v>
      </c>
      <c r="G44" s="544"/>
      <c r="H44" s="544"/>
      <c r="I44" s="544" t="s">
        <v>352</v>
      </c>
      <c r="J44" s="544"/>
      <c r="K44" s="544"/>
      <c r="L44" s="57" t="str">
        <f>IF(L38=4,I44,"")</f>
        <v/>
      </c>
      <c r="M44" s="58" t="str">
        <f>IF(M38=4,F44,"")</f>
        <v/>
      </c>
      <c r="O44" s="543" t="s">
        <v>353</v>
      </c>
      <c r="P44" s="544"/>
      <c r="Q44" s="544"/>
      <c r="R44" s="544" t="s">
        <v>352</v>
      </c>
      <c r="S44" s="544"/>
      <c r="T44" s="544"/>
      <c r="U44" s="57" t="str">
        <f>IF(U38=4,R44,"")</f>
        <v/>
      </c>
      <c r="V44" s="58" t="str">
        <f>IF(V38=4,O44,"")</f>
        <v/>
      </c>
      <c r="AJ44" s="543" t="s">
        <v>353</v>
      </c>
      <c r="AK44" s="544"/>
      <c r="AL44" s="544"/>
      <c r="AM44" s="544" t="s">
        <v>352</v>
      </c>
      <c r="AN44" s="544"/>
      <c r="AO44" s="544"/>
      <c r="AP44" s="57" t="e">
        <f>IF(AP38=4,AM44,"")</f>
        <v>#VALUE!</v>
      </c>
      <c r="AQ44" s="58" t="e">
        <f>IF(AQ38=4,AJ44,"")</f>
        <v>#VALUE!</v>
      </c>
      <c r="AR44" s="543" t="s">
        <v>353</v>
      </c>
      <c r="AS44" s="544"/>
      <c r="AT44" s="544"/>
      <c r="AU44" s="544" t="s">
        <v>352</v>
      </c>
      <c r="AV44" s="544"/>
      <c r="AW44" s="544"/>
      <c r="AX44" s="57" t="str">
        <f>IF(AX38=4,AU44,"")</f>
        <v/>
      </c>
      <c r="AY44" s="58" t="str">
        <f>IF(AY38=4,AR44,"")</f>
        <v/>
      </c>
      <c r="BA44" s="543" t="s">
        <v>353</v>
      </c>
      <c r="BB44" s="544"/>
      <c r="BC44" s="544"/>
      <c r="BD44" s="544" t="s">
        <v>352</v>
      </c>
      <c r="BE44" s="544"/>
      <c r="BF44" s="544"/>
      <c r="BG44" s="544"/>
      <c r="BH44" s="544"/>
      <c r="BI44" s="545"/>
      <c r="BJ44" s="56" t="str">
        <f>IF(BJ40=4,BA44&amp; " " &amp; "milyon","")</f>
        <v/>
      </c>
      <c r="BK44" s="57" t="str">
        <f>IF(BK40=4,BA44 &amp; " " &amp; "yüz","")</f>
        <v/>
      </c>
      <c r="BL44" s="57" t="str">
        <f>IF(BL40=4,BD44,"")</f>
        <v/>
      </c>
      <c r="BM44" s="57" t="str">
        <f>IF(BM40=4,BA44,"")</f>
        <v/>
      </c>
      <c r="BN44" s="57" t="str">
        <f>IF(BN40=4,BA44 &amp; " " &amp; "yüz","")</f>
        <v/>
      </c>
      <c r="BO44" s="57" t="str">
        <f>IF(BO40=4,BD44,"")</f>
        <v/>
      </c>
      <c r="BP44" s="58" t="str">
        <f>IF(BP40=4,BA44,"")</f>
        <v/>
      </c>
    </row>
    <row r="45" spans="1:170" x14ac:dyDescent="0.2">
      <c r="A45" s="603" t="s">
        <v>351</v>
      </c>
      <c r="B45" s="604"/>
      <c r="C45" s="538" t="str">
        <f>IF(C40=5,A45,"")</f>
        <v/>
      </c>
      <c r="D45" s="539"/>
      <c r="F45" s="543" t="s">
        <v>351</v>
      </c>
      <c r="G45" s="544"/>
      <c r="H45" s="544"/>
      <c r="I45" s="544" t="s">
        <v>350</v>
      </c>
      <c r="J45" s="544"/>
      <c r="K45" s="544"/>
      <c r="L45" s="57" t="str">
        <f>IF(L38=5,I45,"")</f>
        <v/>
      </c>
      <c r="M45" s="58" t="str">
        <f>IF(M38=5,F45,"")</f>
        <v/>
      </c>
      <c r="O45" s="543" t="s">
        <v>351</v>
      </c>
      <c r="P45" s="544"/>
      <c r="Q45" s="544"/>
      <c r="R45" s="544" t="s">
        <v>350</v>
      </c>
      <c r="S45" s="544"/>
      <c r="T45" s="544"/>
      <c r="U45" s="57" t="str">
        <f>IF(U38=5,R45,"")</f>
        <v/>
      </c>
      <c r="V45" s="58" t="str">
        <f>IF(V38=5,O45,"")</f>
        <v/>
      </c>
      <c r="AJ45" s="543" t="s">
        <v>351</v>
      </c>
      <c r="AK45" s="544"/>
      <c r="AL45" s="544"/>
      <c r="AM45" s="544" t="s">
        <v>350</v>
      </c>
      <c r="AN45" s="544"/>
      <c r="AO45" s="544"/>
      <c r="AP45" s="57" t="e">
        <f>IF(AP38=5,AM45,"")</f>
        <v>#VALUE!</v>
      </c>
      <c r="AQ45" s="58" t="e">
        <f>IF(AQ38=5,AJ45,"")</f>
        <v>#VALUE!</v>
      </c>
      <c r="AR45" s="543" t="s">
        <v>351</v>
      </c>
      <c r="AS45" s="544"/>
      <c r="AT45" s="544"/>
      <c r="AU45" s="544" t="s">
        <v>350</v>
      </c>
      <c r="AV45" s="544"/>
      <c r="AW45" s="544"/>
      <c r="AX45" s="57" t="str">
        <f>IF(AX38=5,AU45,"")</f>
        <v/>
      </c>
      <c r="AY45" s="58" t="str">
        <f>IF(AY38=5,AR45,"")</f>
        <v/>
      </c>
      <c r="BA45" s="543" t="s">
        <v>351</v>
      </c>
      <c r="BB45" s="544"/>
      <c r="BC45" s="544"/>
      <c r="BD45" s="544" t="s">
        <v>350</v>
      </c>
      <c r="BE45" s="544"/>
      <c r="BF45" s="544"/>
      <c r="BG45" s="544"/>
      <c r="BH45" s="544"/>
      <c r="BI45" s="545"/>
      <c r="BJ45" s="56" t="str">
        <f>IF(BJ40=5,BA45&amp; " " &amp; "milyon","")</f>
        <v/>
      </c>
      <c r="BK45" s="57" t="str">
        <f>IF(BK40=5,BA45 &amp; " " &amp; "yüz","")</f>
        <v/>
      </c>
      <c r="BL45" s="57" t="str">
        <f>IF(BL40=5,BD45,"")</f>
        <v/>
      </c>
      <c r="BM45" s="57" t="str">
        <f>IF(BM40=5,BA45,"")</f>
        <v/>
      </c>
      <c r="BN45" s="57" t="str">
        <f>IF(BN40=5,BA45 &amp; " " &amp; "yüz","")</f>
        <v/>
      </c>
      <c r="BO45" s="57" t="str">
        <f>IF(BO40=5,BD45,"")</f>
        <v/>
      </c>
      <c r="BP45" s="58" t="str">
        <f>IF(BP40=5,BA45,"")</f>
        <v/>
      </c>
    </row>
    <row r="46" spans="1:170" x14ac:dyDescent="0.2">
      <c r="A46" s="603" t="s">
        <v>349</v>
      </c>
      <c r="B46" s="604"/>
      <c r="C46" s="538" t="str">
        <f>IF(C40=6,A46,"")</f>
        <v/>
      </c>
      <c r="D46" s="539"/>
      <c r="F46" s="543" t="s">
        <v>349</v>
      </c>
      <c r="G46" s="544"/>
      <c r="H46" s="544"/>
      <c r="I46" s="544" t="s">
        <v>348</v>
      </c>
      <c r="J46" s="544"/>
      <c r="K46" s="544"/>
      <c r="L46" s="57" t="str">
        <f>IF(L38=6,I46,"")</f>
        <v/>
      </c>
      <c r="M46" s="58" t="str">
        <f>IF(M38=6,F46,"")</f>
        <v/>
      </c>
      <c r="O46" s="543" t="s">
        <v>349</v>
      </c>
      <c r="P46" s="544"/>
      <c r="Q46" s="544"/>
      <c r="R46" s="544" t="s">
        <v>348</v>
      </c>
      <c r="S46" s="544"/>
      <c r="T46" s="544"/>
      <c r="U46" s="57" t="str">
        <f>IF(U38=6,R46,"")</f>
        <v/>
      </c>
      <c r="V46" s="58" t="str">
        <f>IF(V38=6,O46,"")</f>
        <v/>
      </c>
      <c r="AJ46" s="543" t="s">
        <v>349</v>
      </c>
      <c r="AK46" s="544"/>
      <c r="AL46" s="544"/>
      <c r="AM46" s="544" t="s">
        <v>348</v>
      </c>
      <c r="AN46" s="544"/>
      <c r="AO46" s="544"/>
      <c r="AP46" s="57" t="e">
        <f>IF(AP38=6,AM46,"")</f>
        <v>#VALUE!</v>
      </c>
      <c r="AQ46" s="58" t="e">
        <f>IF(AQ38=6,AJ46,"")</f>
        <v>#VALUE!</v>
      </c>
      <c r="AR46" s="543" t="s">
        <v>349</v>
      </c>
      <c r="AS46" s="544"/>
      <c r="AT46" s="544"/>
      <c r="AU46" s="544" t="s">
        <v>348</v>
      </c>
      <c r="AV46" s="544"/>
      <c r="AW46" s="544"/>
      <c r="AX46" s="57" t="str">
        <f>IF(AX38=6,AU46,"")</f>
        <v/>
      </c>
      <c r="AY46" s="58" t="str">
        <f>IF(AY38=6,AR46,"")</f>
        <v/>
      </c>
      <c r="BA46" s="543" t="s">
        <v>349</v>
      </c>
      <c r="BB46" s="544"/>
      <c r="BC46" s="544"/>
      <c r="BD46" s="544" t="s">
        <v>348</v>
      </c>
      <c r="BE46" s="544"/>
      <c r="BF46" s="544"/>
      <c r="BG46" s="544"/>
      <c r="BH46" s="544"/>
      <c r="BI46" s="545"/>
      <c r="BJ46" s="56" t="str">
        <f>IF(BJ40=6,BA46&amp; " " &amp; "milyon","")</f>
        <v/>
      </c>
      <c r="BK46" s="57" t="str">
        <f>IF(BK40=6,BA46  &amp; " " &amp; "yüz","")</f>
        <v/>
      </c>
      <c r="BL46" s="57" t="str">
        <f>IF(BL40=6,BD46,"")</f>
        <v/>
      </c>
      <c r="BM46" s="57" t="str">
        <f>IF(BM40=6,BA46,"")</f>
        <v/>
      </c>
      <c r="BN46" s="57" t="str">
        <f>IF(BN40=6,BA46  &amp; " " &amp; "yüz","")</f>
        <v/>
      </c>
      <c r="BO46" s="57" t="str">
        <f>IF(BO40=6,BD46,"")</f>
        <v/>
      </c>
      <c r="BP46" s="58" t="str">
        <f>IF(BP40=6,BA46,"")</f>
        <v/>
      </c>
    </row>
    <row r="47" spans="1:170" x14ac:dyDescent="0.2">
      <c r="A47" s="603" t="s">
        <v>347</v>
      </c>
      <c r="B47" s="604"/>
      <c r="C47" s="595" t="str">
        <f>IF(C40=7,A47,"")</f>
        <v/>
      </c>
      <c r="D47" s="596"/>
      <c r="F47" s="543" t="s">
        <v>347</v>
      </c>
      <c r="G47" s="544"/>
      <c r="H47" s="544"/>
      <c r="I47" s="544" t="s">
        <v>346</v>
      </c>
      <c r="J47" s="544"/>
      <c r="K47" s="544"/>
      <c r="L47" s="57" t="str">
        <f>IF(L38=7,I47,"")</f>
        <v/>
      </c>
      <c r="M47" s="58" t="str">
        <f>IF(M38=7,F47,"")</f>
        <v/>
      </c>
      <c r="O47" s="543" t="s">
        <v>347</v>
      </c>
      <c r="P47" s="544"/>
      <c r="Q47" s="544"/>
      <c r="R47" s="544" t="s">
        <v>346</v>
      </c>
      <c r="S47" s="544"/>
      <c r="T47" s="544"/>
      <c r="U47" s="57" t="str">
        <f>IF(U38=7,R47,"")</f>
        <v/>
      </c>
      <c r="V47" s="58" t="str">
        <f>IF(V38=7,O47,"")</f>
        <v/>
      </c>
      <c r="AJ47" s="543" t="s">
        <v>347</v>
      </c>
      <c r="AK47" s="544"/>
      <c r="AL47" s="544"/>
      <c r="AM47" s="544" t="s">
        <v>346</v>
      </c>
      <c r="AN47" s="544"/>
      <c r="AO47" s="544"/>
      <c r="AP47" s="57" t="e">
        <f>IF(AP38=7,AM47,"")</f>
        <v>#VALUE!</v>
      </c>
      <c r="AQ47" s="58" t="e">
        <f>IF(AQ38=7,AJ47,"")</f>
        <v>#VALUE!</v>
      </c>
      <c r="AR47" s="543" t="s">
        <v>347</v>
      </c>
      <c r="AS47" s="544"/>
      <c r="AT47" s="544"/>
      <c r="AU47" s="544" t="s">
        <v>346</v>
      </c>
      <c r="AV47" s="544"/>
      <c r="AW47" s="544"/>
      <c r="AX47" s="57" t="str">
        <f>IF(AX38=7,AU47,"")</f>
        <v/>
      </c>
      <c r="AY47" s="58" t="str">
        <f>IF(AY38=7,AR47,"")</f>
        <v/>
      </c>
      <c r="BA47" s="543" t="s">
        <v>347</v>
      </c>
      <c r="BB47" s="544"/>
      <c r="BC47" s="544"/>
      <c r="BD47" s="544" t="s">
        <v>346</v>
      </c>
      <c r="BE47" s="544"/>
      <c r="BF47" s="544"/>
      <c r="BG47" s="544"/>
      <c r="BH47" s="544"/>
      <c r="BI47" s="545"/>
      <c r="BJ47" s="56" t="str">
        <f>IF(BJ40=7,BA47&amp; " " &amp; "milyon","")</f>
        <v/>
      </c>
      <c r="BK47" s="57" t="str">
        <f>IF(BK40=7,BA47 &amp; " " &amp; "yüz","")</f>
        <v/>
      </c>
      <c r="BL47" s="57" t="str">
        <f>IF(BL40=7,BD47,"")</f>
        <v/>
      </c>
      <c r="BM47" s="57" t="str">
        <f>IF(BM40=7,BA47,"")</f>
        <v/>
      </c>
      <c r="BN47" s="57" t="str">
        <f>IF(BN40=7,BA47 &amp; " " &amp; "yüz","")</f>
        <v/>
      </c>
      <c r="BO47" s="57" t="str">
        <f>IF(BO40=7,BD47,"")</f>
        <v/>
      </c>
      <c r="BP47" s="58" t="str">
        <f>IF(BP40=7,BA47,"")</f>
        <v/>
      </c>
    </row>
    <row r="48" spans="1:170" x14ac:dyDescent="0.2">
      <c r="A48" s="603" t="s">
        <v>345</v>
      </c>
      <c r="B48" s="604"/>
      <c r="C48" s="607" t="str">
        <f>IF(C40=8,A48,"")</f>
        <v/>
      </c>
      <c r="D48" s="608"/>
      <c r="F48" s="543" t="s">
        <v>345</v>
      </c>
      <c r="G48" s="544"/>
      <c r="H48" s="544"/>
      <c r="I48" s="544" t="s">
        <v>344</v>
      </c>
      <c r="J48" s="544"/>
      <c r="K48" s="544"/>
      <c r="L48" s="57" t="str">
        <f>IF(L38=8,I48,"")</f>
        <v/>
      </c>
      <c r="M48" s="58" t="str">
        <f>IF(M38=8,F48,"")</f>
        <v/>
      </c>
      <c r="O48" s="543" t="s">
        <v>345</v>
      </c>
      <c r="P48" s="544"/>
      <c r="Q48" s="544"/>
      <c r="R48" s="544" t="s">
        <v>344</v>
      </c>
      <c r="S48" s="544"/>
      <c r="T48" s="544"/>
      <c r="U48" s="57" t="str">
        <f>IF(U38=8,R48,"")</f>
        <v/>
      </c>
      <c r="V48" s="58" t="str">
        <f>IF(V38=8,O48,"")</f>
        <v/>
      </c>
      <c r="AJ48" s="543" t="s">
        <v>345</v>
      </c>
      <c r="AK48" s="544"/>
      <c r="AL48" s="544"/>
      <c r="AM48" s="544" t="s">
        <v>344</v>
      </c>
      <c r="AN48" s="544"/>
      <c r="AO48" s="544"/>
      <c r="AP48" s="57" t="e">
        <f>IF(AP38=8,AM48,"")</f>
        <v>#VALUE!</v>
      </c>
      <c r="AQ48" s="58" t="e">
        <f>IF(AQ38=8,AJ48,"")</f>
        <v>#VALUE!</v>
      </c>
      <c r="AR48" s="543" t="s">
        <v>345</v>
      </c>
      <c r="AS48" s="544"/>
      <c r="AT48" s="544"/>
      <c r="AU48" s="544" t="s">
        <v>344</v>
      </c>
      <c r="AV48" s="544"/>
      <c r="AW48" s="544"/>
      <c r="AX48" s="57" t="str">
        <f>IF(AX38=8,AU48,"")</f>
        <v/>
      </c>
      <c r="AY48" s="58" t="str">
        <f>IF(AY38=8,AR48,"")</f>
        <v/>
      </c>
      <c r="BA48" s="543" t="s">
        <v>345</v>
      </c>
      <c r="BB48" s="544"/>
      <c r="BC48" s="544"/>
      <c r="BD48" s="544" t="s">
        <v>344</v>
      </c>
      <c r="BE48" s="544"/>
      <c r="BF48" s="544"/>
      <c r="BG48" s="544"/>
      <c r="BH48" s="544"/>
      <c r="BI48" s="545"/>
      <c r="BJ48" s="56" t="str">
        <f>IF(BJ40=8,BA48&amp; " " &amp; "milyon","")</f>
        <v/>
      </c>
      <c r="BK48" s="57" t="str">
        <f>IF(BK40=8,BA48 &amp; " " &amp; "yüz","")</f>
        <v/>
      </c>
      <c r="BL48" s="57" t="str">
        <f>IF(BL40=8,BD48,"")</f>
        <v/>
      </c>
      <c r="BM48" s="57" t="str">
        <f>IF(BM40=8,BA48,"")</f>
        <v/>
      </c>
      <c r="BN48" s="57" t="str">
        <f>IF(BN40=8,BA48 &amp; " " &amp; "yüz","")</f>
        <v/>
      </c>
      <c r="BO48" s="57" t="str">
        <f>IF(BO40=8,BD48,"")</f>
        <v/>
      </c>
      <c r="BP48" s="58" t="str">
        <f>IF(BP40=8,BA48,"")</f>
        <v/>
      </c>
    </row>
    <row r="49" spans="1:68" x14ac:dyDescent="0.2">
      <c r="A49" s="66" t="s">
        <v>343</v>
      </c>
      <c r="B49" s="67"/>
      <c r="C49" s="610" t="str">
        <f>IF(C40=9,A49,"")</f>
        <v/>
      </c>
      <c r="D49" s="611"/>
      <c r="F49" s="546" t="s">
        <v>343</v>
      </c>
      <c r="G49" s="547"/>
      <c r="H49" s="547"/>
      <c r="I49" s="547" t="s">
        <v>342</v>
      </c>
      <c r="J49" s="547"/>
      <c r="K49" s="547"/>
      <c r="L49" s="60" t="str">
        <f>IF(L38=9,I49,"")</f>
        <v/>
      </c>
      <c r="M49" s="61" t="str">
        <f>IF(M38=9,F49,"")</f>
        <v/>
      </c>
      <c r="O49" s="546" t="s">
        <v>343</v>
      </c>
      <c r="P49" s="547"/>
      <c r="Q49" s="547"/>
      <c r="R49" s="547" t="s">
        <v>342</v>
      </c>
      <c r="S49" s="547"/>
      <c r="T49" s="547"/>
      <c r="U49" s="60" t="str">
        <f>IF(U38=9,R49,"")</f>
        <v/>
      </c>
      <c r="V49" s="61" t="str">
        <f>IF(V38=9,O49,"")</f>
        <v/>
      </c>
      <c r="AJ49" s="546" t="s">
        <v>343</v>
      </c>
      <c r="AK49" s="547"/>
      <c r="AL49" s="547"/>
      <c r="AM49" s="547" t="s">
        <v>342</v>
      </c>
      <c r="AN49" s="547"/>
      <c r="AO49" s="547"/>
      <c r="AP49" s="60" t="e">
        <f>IF(AP38=9,AM49,"")</f>
        <v>#VALUE!</v>
      </c>
      <c r="AQ49" s="61" t="e">
        <f>IF(AQ38=9,AJ49,"")</f>
        <v>#VALUE!</v>
      </c>
      <c r="AR49" s="546" t="s">
        <v>343</v>
      </c>
      <c r="AS49" s="547"/>
      <c r="AT49" s="547"/>
      <c r="AU49" s="547" t="s">
        <v>342</v>
      </c>
      <c r="AV49" s="547"/>
      <c r="AW49" s="547"/>
      <c r="AX49" s="60" t="str">
        <f>IF(AX38=9,AU49,"")</f>
        <v/>
      </c>
      <c r="AY49" s="61" t="str">
        <f>IF(AY38=9,AR49,"")</f>
        <v/>
      </c>
      <c r="BA49" s="546" t="s">
        <v>343</v>
      </c>
      <c r="BB49" s="547"/>
      <c r="BC49" s="547"/>
      <c r="BD49" s="547" t="s">
        <v>342</v>
      </c>
      <c r="BE49" s="547"/>
      <c r="BF49" s="547"/>
      <c r="BG49" s="547"/>
      <c r="BH49" s="547"/>
      <c r="BI49" s="548"/>
      <c r="BJ49" s="59" t="str">
        <f>IF(BJ40=9,BA49&amp; " " &amp; "milyon","")</f>
        <v/>
      </c>
      <c r="BK49" s="60" t="str">
        <f>IF(BK40=9,BA49 &amp; " " &amp; "yüz","")</f>
        <v/>
      </c>
      <c r="BL49" s="60" t="str">
        <f>IF(BL40=9,BD49,"")</f>
        <v/>
      </c>
      <c r="BM49" s="60" t="str">
        <f>IF(BM40=9,BA49,"")</f>
        <v/>
      </c>
      <c r="BN49" s="60" t="str">
        <f>IF(BN40=9,BA49 &amp; " " &amp; "yüz","")</f>
        <v/>
      </c>
      <c r="BO49" s="60" t="str">
        <f>IF(BO40=9,BD49,"")</f>
        <v/>
      </c>
      <c r="BP49" s="61" t="str">
        <f>IF(BP40=9,BA49,"")</f>
        <v/>
      </c>
    </row>
    <row r="50" spans="1:68" x14ac:dyDescent="0.2">
      <c r="B50" s="68">
        <f>INT(A38)</f>
        <v>0</v>
      </c>
      <c r="C50" s="609" t="str">
        <f>C41 &amp;C42  &amp; C43 &amp; C44 &amp; C45 &amp; C46  &amp; C47  &amp; C48 &amp; C49</f>
        <v/>
      </c>
      <c r="D50" s="609"/>
      <c r="F50" s="589">
        <f>INT(F38)</f>
        <v>10</v>
      </c>
      <c r="G50" s="590"/>
      <c r="H50" s="590"/>
      <c r="I50" s="590"/>
      <c r="J50" s="590"/>
      <c r="K50" s="591"/>
      <c r="L50" s="54" t="str">
        <f>L41 &amp;L42  &amp; L43 &amp; L44 &amp; L45 &amp; L46  &amp; L47  &amp; L48 &amp; L49</f>
        <v>on</v>
      </c>
      <c r="M50" s="55" t="str">
        <f>M41 &amp;M42  &amp; M43 &amp; M44 &amp; M45 &amp; M46  &amp; M47  &amp; M48 &amp; M49</f>
        <v/>
      </c>
      <c r="O50" s="589">
        <f>INT(O38)</f>
        <v>0</v>
      </c>
      <c r="P50" s="590"/>
      <c r="Q50" s="590"/>
      <c r="R50" s="590"/>
      <c r="S50" s="590"/>
      <c r="T50" s="591"/>
      <c r="U50" s="54" t="str">
        <f>U41 &amp;U42  &amp; U43 &amp; U44 &amp; U45 &amp; U46  &amp; U47  &amp; U48 &amp; U49</f>
        <v/>
      </c>
      <c r="V50" s="55" t="str">
        <f>V41 &amp;V42  &amp; V43 &amp; V44 &amp; V45 &amp; V46  &amp; V47  &amp; V48 &amp; V49</f>
        <v/>
      </c>
      <c r="AJ50" s="589" t="e">
        <f>INT(AJ38)</f>
        <v>#VALUE!</v>
      </c>
      <c r="AK50" s="590"/>
      <c r="AL50" s="590"/>
      <c r="AM50" s="590"/>
      <c r="AN50" s="590"/>
      <c r="AO50" s="591"/>
      <c r="AP50" s="54" t="e">
        <f>AP41 &amp;AP42  &amp; AP43 &amp; AP44 &amp; AP45 &amp; AP46  &amp; AP47  &amp; AP48 &amp; AP49</f>
        <v>#VALUE!</v>
      </c>
      <c r="AQ50" s="55" t="e">
        <f>AQ41 &amp;AQ42  &amp; AQ43 &amp; AQ44 &amp; AQ45 &amp; AQ46  &amp; AQ47  &amp; AQ48 &amp; AQ49</f>
        <v>#VALUE!</v>
      </c>
      <c r="AR50" s="589">
        <f>INT(AR38)</f>
        <v>0</v>
      </c>
      <c r="AS50" s="590"/>
      <c r="AT50" s="590"/>
      <c r="AU50" s="590"/>
      <c r="AV50" s="590"/>
      <c r="AW50" s="591"/>
      <c r="AX50" s="54" t="str">
        <f>AX41 &amp;AX42  &amp; AX43 &amp; AX44 &amp; AX45 &amp; AX46  &amp; AX47  &amp; AX48 &amp; AX49</f>
        <v/>
      </c>
      <c r="AY50" s="55" t="str">
        <f>AY41 &amp;AY42  &amp; AY43 &amp; AY44 &amp; AY45 &amp; AY46  &amp; AY47  &amp; AY48 &amp; AY49</f>
        <v/>
      </c>
      <c r="BA50" s="549">
        <f>INT(BD37)</f>
        <v>0</v>
      </c>
      <c r="BB50" s="550"/>
      <c r="BC50" s="550"/>
      <c r="BD50" s="550"/>
      <c r="BE50" s="550"/>
      <c r="BF50" s="550"/>
      <c r="BG50" s="550"/>
      <c r="BH50" s="550"/>
      <c r="BI50" s="551"/>
      <c r="BJ50" s="53" t="str">
        <f t="shared" ref="BJ50:BP50" si="8">BJ41 &amp;BJ42  &amp; BJ43 &amp; BJ44 &amp; BJ45 &amp; BJ46  &amp; BJ47  &amp; BJ48 &amp; BJ49</f>
        <v/>
      </c>
      <c r="BK50" s="54" t="str">
        <f t="shared" si="8"/>
        <v/>
      </c>
      <c r="BL50" s="54" t="str">
        <f t="shared" si="8"/>
        <v/>
      </c>
      <c r="BM50" s="54" t="str">
        <f t="shared" si="8"/>
        <v/>
      </c>
      <c r="BN50" s="54" t="str">
        <f t="shared" si="8"/>
        <v/>
      </c>
      <c r="BO50" s="54" t="str">
        <f t="shared" si="8"/>
        <v/>
      </c>
      <c r="BP50" s="55" t="str">
        <f t="shared" si="8"/>
        <v/>
      </c>
    </row>
    <row r="51" spans="1:68" x14ac:dyDescent="0.2">
      <c r="J51" s="60" t="str">
        <f>L51</f>
        <v xml:space="preserve">on </v>
      </c>
      <c r="K51" s="61" t="str">
        <f>M51</f>
        <v/>
      </c>
      <c r="L51" s="57" t="str">
        <f>IF(L50="","",L50&amp; " ")</f>
        <v xml:space="preserve">on </v>
      </c>
      <c r="M51" s="58" t="str">
        <f>IF(M50="","",M50&amp; " ")</f>
        <v/>
      </c>
      <c r="S51" s="60" t="str">
        <f>U51</f>
        <v/>
      </c>
      <c r="T51" s="61" t="str">
        <f>V51</f>
        <v/>
      </c>
      <c r="U51" s="57" t="str">
        <f>IF(U50="","",U50&amp; " ")</f>
        <v/>
      </c>
      <c r="V51" s="58" t="str">
        <f>IF(V50="","",V50&amp; " ")</f>
        <v/>
      </c>
      <c r="AN51" s="60" t="e">
        <f>AP51</f>
        <v>#VALUE!</v>
      </c>
      <c r="AO51" s="61" t="e">
        <f>AQ51</f>
        <v>#VALUE!</v>
      </c>
      <c r="AP51" s="57" t="e">
        <f>IF(AP50="","",AP50&amp; " ")</f>
        <v>#VALUE!</v>
      </c>
      <c r="AQ51" s="58" t="e">
        <f>IF(AQ50="","",AQ50&amp; " ")</f>
        <v>#VALUE!</v>
      </c>
      <c r="AV51" s="60" t="str">
        <f>AX51</f>
        <v/>
      </c>
      <c r="AW51" s="61" t="str">
        <f>AY51</f>
        <v/>
      </c>
      <c r="AX51" s="57" t="str">
        <f>IF(AX50="","",AX50&amp; " ")</f>
        <v/>
      </c>
      <c r="AY51" s="58" t="str">
        <f>IF(AY50="","",AY50&amp; " ")</f>
        <v/>
      </c>
      <c r="BA51" s="537">
        <f>ROUND((BD37-BA50)*100,0)</f>
        <v>60</v>
      </c>
      <c r="BB51" s="538"/>
      <c r="BC51" s="538"/>
      <c r="BD51" s="538">
        <f>IF(BA51&lt;10,"0" &amp; BA51,BA51)</f>
        <v>60</v>
      </c>
      <c r="BE51" s="538"/>
      <c r="BF51" s="538" t="str">
        <f>IF(BA37="AZN","qəpik",IF(BA37="USD","sent",IF(BA37="EUR","sent","?")))</f>
        <v>qəpik</v>
      </c>
      <c r="BG51" s="538"/>
      <c r="BH51" s="538"/>
      <c r="BI51" s="539"/>
      <c r="BJ51" s="56" t="str">
        <f>IF(BJ50="","",BJ50&amp; " ")</f>
        <v/>
      </c>
      <c r="BK51" s="57" t="str">
        <f>IF(BK50="","",BK50&amp; " ") &amp; IF(BK50="","",IF(BL52="",IF(BM52="","min ",""),""))</f>
        <v/>
      </c>
      <c r="BL51" s="57" t="str">
        <f>IF(BL50="","",BL50&amp; " ") &amp; IF(BL50="","",IF(BM52="","min ",""))</f>
        <v/>
      </c>
      <c r="BM51" s="57" t="str">
        <f>IF(BM50="","",BM50&amp; " ") &amp;IF(BM50="","","min ")</f>
        <v/>
      </c>
      <c r="BN51" s="57" t="str">
        <f>IF(BN50="","",BN50&amp; " ")</f>
        <v/>
      </c>
      <c r="BO51" s="57" t="str">
        <f>IF(BO50="","",BO50&amp; " ")</f>
        <v/>
      </c>
      <c r="BP51" s="58" t="str">
        <f>IF(BP50="","",BP50&amp; " ")</f>
        <v/>
      </c>
    </row>
    <row r="52" spans="1:68" x14ac:dyDescent="0.2">
      <c r="BA52" s="537"/>
      <c r="BB52" s="538"/>
      <c r="BC52" s="538"/>
      <c r="BD52" s="538"/>
      <c r="BE52" s="538"/>
      <c r="BF52" s="538"/>
      <c r="BG52" s="538"/>
      <c r="BH52" s="538"/>
      <c r="BI52" s="539"/>
      <c r="BJ52" s="445"/>
      <c r="BK52" s="446" t="str">
        <f>IF(BK50="","",IF(BL52="",IF(BM52="","min",""),""))</f>
        <v/>
      </c>
      <c r="BL52" s="446" t="str">
        <f>IF(BL50="","",IF(BM52="","min",""))</f>
        <v/>
      </c>
      <c r="BM52" s="446" t="str">
        <f>IF(BM50="","","min")</f>
        <v/>
      </c>
      <c r="BN52" s="446"/>
      <c r="BO52" s="446"/>
      <c r="BP52" s="447"/>
    </row>
    <row r="53" spans="1:68" x14ac:dyDescent="0.2">
      <c r="A53" s="606" t="s">
        <v>341</v>
      </c>
      <c r="B53" s="606"/>
      <c r="C53" s="606"/>
      <c r="D53" s="606" t="s">
        <v>340</v>
      </c>
      <c r="E53" s="606"/>
      <c r="F53" s="606"/>
      <c r="G53" s="606"/>
      <c r="H53" s="606"/>
      <c r="I53" s="606"/>
      <c r="J53" s="606"/>
      <c r="M53" s="606" t="s">
        <v>501</v>
      </c>
      <c r="N53" s="606"/>
      <c r="O53" s="606"/>
      <c r="P53" s="606"/>
      <c r="Q53" s="606"/>
      <c r="R53" s="606"/>
      <c r="U53" s="597" t="s">
        <v>500</v>
      </c>
      <c r="V53" s="598"/>
      <c r="W53" s="598"/>
      <c r="X53" s="598"/>
      <c r="Y53" s="598"/>
      <c r="Z53" s="598"/>
      <c r="AA53" s="598"/>
      <c r="AB53" s="598"/>
      <c r="AC53" s="598"/>
      <c r="AD53" s="598"/>
      <c r="AE53" s="598"/>
      <c r="AF53" s="598"/>
      <c r="AG53" s="598"/>
      <c r="AH53" s="598"/>
      <c r="AI53" s="598"/>
      <c r="AJ53" s="598"/>
      <c r="AK53" s="598"/>
      <c r="AL53" s="598"/>
      <c r="AM53" s="598"/>
      <c r="AN53" s="598"/>
      <c r="AO53" s="598"/>
      <c r="AP53" s="598"/>
      <c r="AQ53" s="598"/>
      <c r="AR53" s="598"/>
      <c r="AS53" s="598"/>
      <c r="AT53" s="598"/>
      <c r="AU53" s="598"/>
      <c r="AV53" s="598"/>
      <c r="AW53" s="598"/>
      <c r="AX53" s="598"/>
      <c r="BA53" s="540"/>
      <c r="BB53" s="541"/>
      <c r="BC53" s="541"/>
      <c r="BD53" s="541"/>
      <c r="BE53" s="541"/>
      <c r="BF53" s="541"/>
      <c r="BG53" s="541"/>
      <c r="BH53" s="541"/>
      <c r="BI53" s="542"/>
      <c r="BJ53" s="59" t="str">
        <f t="shared" ref="BJ53:BP53" si="9">BJ51</f>
        <v/>
      </c>
      <c r="BK53" s="60" t="str">
        <f t="shared" si="9"/>
        <v/>
      </c>
      <c r="BL53" s="60" t="str">
        <f t="shared" si="9"/>
        <v/>
      </c>
      <c r="BM53" s="60" t="str">
        <f t="shared" si="9"/>
        <v/>
      </c>
      <c r="BN53" s="60" t="str">
        <f t="shared" si="9"/>
        <v/>
      </c>
      <c r="BO53" s="60" t="str">
        <f t="shared" si="9"/>
        <v/>
      </c>
      <c r="BP53" s="61" t="str">
        <f t="shared" si="9"/>
        <v/>
      </c>
    </row>
    <row r="54" spans="1:68" ht="15.75" x14ac:dyDescent="0.25">
      <c r="A54" s="612" t="s">
        <v>339</v>
      </c>
      <c r="B54" s="612"/>
      <c r="C54" s="612"/>
      <c r="D54" s="69" t="s">
        <v>338</v>
      </c>
      <c r="E54" s="69" t="s">
        <v>337</v>
      </c>
      <c r="F54" s="70"/>
      <c r="H54" s="71"/>
      <c r="I54" s="71"/>
      <c r="J54" s="70"/>
      <c r="Q54" s="42"/>
      <c r="R54" s="42"/>
      <c r="S54" s="42"/>
      <c r="T54" s="42"/>
      <c r="U54" s="231">
        <f>AX59</f>
        <v>1</v>
      </c>
      <c r="W54" s="614" t="s">
        <v>2</v>
      </c>
      <c r="X54" s="614"/>
      <c r="Y54" s="614"/>
      <c r="Z54" s="614"/>
      <c r="AA54" s="614"/>
      <c r="AB54" s="614"/>
      <c r="AC54" s="614"/>
      <c r="AD54" s="614"/>
      <c r="AE54" s="614"/>
      <c r="AF54" s="614"/>
      <c r="AG54" s="614"/>
      <c r="AH54" s="614"/>
      <c r="AJ54" s="41" t="s">
        <v>502</v>
      </c>
      <c r="AP54" s="41" t="s">
        <v>504</v>
      </c>
    </row>
    <row r="55" spans="1:68" ht="15.75" x14ac:dyDescent="0.25">
      <c r="A55" s="612" t="s">
        <v>0</v>
      </c>
      <c r="B55" s="612"/>
      <c r="C55" s="612"/>
      <c r="D55" s="69" t="s">
        <v>21</v>
      </c>
      <c r="E55" s="69" t="s">
        <v>337</v>
      </c>
      <c r="F55" s="70"/>
      <c r="H55" s="71"/>
      <c r="I55" s="71"/>
      <c r="J55" s="70"/>
      <c r="Q55" s="42"/>
      <c r="R55" s="42"/>
      <c r="S55" s="42"/>
      <c r="T55" s="42"/>
      <c r="V55" s="261">
        <v>1</v>
      </c>
      <c r="W55" s="613" t="s">
        <v>877</v>
      </c>
      <c r="X55" s="613"/>
      <c r="Y55" s="613"/>
      <c r="Z55" s="613"/>
      <c r="AA55" s="613"/>
      <c r="AB55" s="613"/>
      <c r="AC55" s="613"/>
      <c r="AD55" s="613"/>
      <c r="AE55" s="613"/>
      <c r="AF55" s="613"/>
      <c r="AG55" s="613"/>
      <c r="AH55" s="613"/>
      <c r="AI55" s="613"/>
      <c r="AJ55" s="615" t="s">
        <v>503</v>
      </c>
      <c r="AK55" s="615"/>
      <c r="AL55" s="615"/>
      <c r="AM55" s="615"/>
      <c r="AN55" s="615"/>
      <c r="AO55" s="615"/>
      <c r="AP55" s="615"/>
      <c r="AQ55" s="41">
        <v>492</v>
      </c>
    </row>
    <row r="56" spans="1:68" ht="15.75" x14ac:dyDescent="0.25">
      <c r="D56" s="69" t="s">
        <v>336</v>
      </c>
      <c r="E56" s="69" t="s">
        <v>411</v>
      </c>
      <c r="F56" s="72"/>
      <c r="H56" s="71"/>
      <c r="I56" s="71"/>
      <c r="J56" s="70"/>
      <c r="Q56" s="42"/>
      <c r="R56" s="42"/>
      <c r="S56" s="42"/>
      <c r="T56" s="42"/>
      <c r="V56" s="261">
        <v>2</v>
      </c>
      <c r="W56" s="613" t="s">
        <v>878</v>
      </c>
      <c r="X56" s="613"/>
      <c r="Y56" s="613"/>
      <c r="Z56" s="613"/>
      <c r="AA56" s="613"/>
      <c r="AB56" s="613"/>
      <c r="AC56" s="613"/>
      <c r="AD56" s="613"/>
      <c r="AE56" s="613"/>
      <c r="AF56" s="613"/>
      <c r="AG56" s="613"/>
      <c r="AH56" s="613"/>
      <c r="AI56" s="613"/>
      <c r="AJ56" s="615" t="s">
        <v>505</v>
      </c>
      <c r="AK56" s="615"/>
      <c r="AL56" s="615"/>
      <c r="AM56" s="615"/>
      <c r="AN56" s="615"/>
      <c r="AO56" s="615"/>
      <c r="AP56" s="615"/>
    </row>
    <row r="57" spans="1:68" ht="15.75" x14ac:dyDescent="0.25">
      <c r="D57" s="69" t="s">
        <v>335</v>
      </c>
      <c r="E57" s="69" t="s">
        <v>411</v>
      </c>
      <c r="F57" s="72"/>
      <c r="H57" s="71"/>
      <c r="I57" s="71"/>
      <c r="J57" s="70"/>
      <c r="V57" s="260"/>
      <c r="W57" s="615" t="str">
        <f>IF(U54=1,W55,IF(U54=2,W56))</f>
        <v>«Atəşgah Həyat» Sığorta Şirkəti ASC</v>
      </c>
      <c r="X57" s="615"/>
      <c r="Y57" s="615"/>
      <c r="Z57" s="615"/>
      <c r="AA57" s="615"/>
      <c r="AB57" s="615"/>
      <c r="AC57" s="615"/>
      <c r="AD57" s="615"/>
      <c r="AE57" s="615"/>
      <c r="AF57" s="615"/>
      <c r="AG57" s="615"/>
      <c r="AH57" s="615"/>
      <c r="AI57" s="615"/>
      <c r="AJ57" s="613" t="str">
        <f>IF(U54=1,AJ55,IF(U54=2,AJ56))</f>
        <v>16 oktyabr 2012-ci</v>
      </c>
      <c r="AK57" s="613"/>
      <c r="AL57" s="613"/>
      <c r="AM57" s="613"/>
      <c r="AN57" s="613"/>
      <c r="AO57" s="613"/>
      <c r="AP57" s="613"/>
      <c r="AQ57" s="41">
        <f>IF(U54=1,AQ55,IF(U54=2,AQ56))</f>
        <v>492</v>
      </c>
      <c r="BA57" s="260"/>
      <c r="BB57" s="260"/>
      <c r="BC57" s="260"/>
    </row>
    <row r="59" spans="1:68" x14ac:dyDescent="0.2">
      <c r="A59" s="41" t="s">
        <v>334</v>
      </c>
      <c r="T59" s="41" t="s">
        <v>492</v>
      </c>
      <c r="AO59" s="231">
        <v>57</v>
      </c>
      <c r="AP59" s="616" t="str">
        <f>FH!$D$6</f>
        <v xml:space="preserve">Ağcabədi </v>
      </c>
      <c r="AQ59" s="616"/>
      <c r="AR59" s="616"/>
      <c r="AS59" s="616"/>
      <c r="AT59" s="616"/>
      <c r="AU59" s="616"/>
      <c r="AV59" s="616"/>
      <c r="AW59" s="491" t="str">
        <f>VLOOKUP($AP$59,$AP$61:$AX$101,8,FALSE)</f>
        <v>Filialı</v>
      </c>
      <c r="AX59" s="260">
        <f>VLOOKUP($AP$59,$AP$61:$AX$101,9,FALSE)</f>
        <v>1</v>
      </c>
      <c r="AY59" s="260"/>
      <c r="AZ59" s="260"/>
    </row>
    <row r="60" spans="1:68" x14ac:dyDescent="0.2">
      <c r="A60" s="578">
        <f>SHV_D_KREDITOR</f>
        <v>41786</v>
      </c>
      <c r="B60" s="579"/>
      <c r="C60" s="579"/>
      <c r="D60" s="579"/>
      <c r="E60" s="579"/>
      <c r="F60" s="580"/>
      <c r="G60" s="581" t="str">
        <f>A61&amp;" "&amp;C61&amp;" "&amp;G61&amp; " il"</f>
        <v>«27» May 2014-cü il</v>
      </c>
      <c r="H60" s="582"/>
      <c r="I60" s="582"/>
      <c r="J60" s="582"/>
      <c r="K60" s="582"/>
      <c r="L60" s="582"/>
      <c r="M60" s="582"/>
      <c r="N60" s="582"/>
      <c r="O60" s="582"/>
      <c r="P60" s="582"/>
      <c r="Q60" s="582"/>
      <c r="R60" s="582"/>
      <c r="S60" s="583"/>
      <c r="T60" s="578">
        <f>T.Data!G30</f>
        <v>38625</v>
      </c>
      <c r="U60" s="579"/>
      <c r="V60" s="579"/>
      <c r="W60" s="579"/>
      <c r="X60" s="579"/>
      <c r="Y60" s="580"/>
      <c r="Z60" s="581" t="str">
        <f>T61&amp;" "&amp;V61&amp;" "&amp;Z61&amp; " il"</f>
        <v>«30» Sentyabr 2005-ci il</v>
      </c>
      <c r="AA60" s="582"/>
      <c r="AB60" s="582"/>
      <c r="AC60" s="582"/>
      <c r="AD60" s="582"/>
      <c r="AE60" s="582"/>
      <c r="AF60" s="582"/>
      <c r="AG60" s="582"/>
      <c r="AH60" s="582"/>
      <c r="AI60" s="582"/>
      <c r="AJ60" s="582"/>
      <c r="AK60" s="582"/>
      <c r="AL60" s="583"/>
      <c r="AP60" s="597" t="s">
        <v>522</v>
      </c>
      <c r="AQ60" s="598"/>
      <c r="AR60" s="598"/>
      <c r="AS60" s="598"/>
      <c r="AT60" s="598"/>
      <c r="AU60" s="598"/>
      <c r="AV60" s="598"/>
      <c r="AW60" s="260"/>
    </row>
    <row r="61" spans="1:68" ht="15" customHeight="1" x14ac:dyDescent="0.25">
      <c r="A61" s="584" t="str">
        <f>IF(DAY(A60)&lt;10,"«0" &amp; DAY(A60) &amp; "»","«" &amp; DAY(A60) &amp; "»")</f>
        <v>«27»</v>
      </c>
      <c r="B61" s="585"/>
      <c r="C61" s="584" t="str">
        <f>INDEX(C62:C73,MATCH(MONTH(A60),A62:A73,0))</f>
        <v>May</v>
      </c>
      <c r="D61" s="576"/>
      <c r="E61" s="576"/>
      <c r="F61" s="585"/>
      <c r="G61" s="584" t="str">
        <f>YEAR(A60)&amp;"-"&amp;H64&amp;H65&amp;H66&amp;H67&amp;H68&amp;H69&amp;H70&amp;H71&amp;H72&amp;H73</f>
        <v>2014-cü</v>
      </c>
      <c r="H61" s="576"/>
      <c r="I61" s="576"/>
      <c r="J61" s="576"/>
      <c r="K61" s="576"/>
      <c r="L61" s="576"/>
      <c r="M61" s="576"/>
      <c r="N61" s="576"/>
      <c r="O61" s="576"/>
      <c r="P61" s="576"/>
      <c r="Q61" s="576"/>
      <c r="R61" s="576"/>
      <c r="S61" s="585"/>
      <c r="T61" s="584" t="str">
        <f>IF(DAY(T60)&lt;10,"«0" &amp; DAY(T60) &amp; "»","«" &amp; DAY(T60) &amp; "»")</f>
        <v>«30»</v>
      </c>
      <c r="U61" s="585"/>
      <c r="V61" s="584" t="str">
        <f>INDEX(V62:V73,MATCH(MONTH(T60),T62:T73,0))</f>
        <v>Sentyabr</v>
      </c>
      <c r="W61" s="576"/>
      <c r="X61" s="576"/>
      <c r="Y61" s="585"/>
      <c r="Z61" s="584" t="str">
        <f>YEAR(T60)&amp;"-"&amp;AA64&amp;AA65&amp;AA66&amp;AA67&amp;AA68&amp;AA69&amp;AA70&amp;AA71&amp;AA72&amp;AA73</f>
        <v>2005-ci</v>
      </c>
      <c r="AA61" s="576"/>
      <c r="AB61" s="576"/>
      <c r="AC61" s="576"/>
      <c r="AD61" s="576"/>
      <c r="AE61" s="576"/>
      <c r="AF61" s="576"/>
      <c r="AG61" s="576"/>
      <c r="AH61" s="576"/>
      <c r="AI61" s="576"/>
      <c r="AJ61" s="576"/>
      <c r="AK61" s="576"/>
      <c r="AL61" s="585"/>
      <c r="AO61" s="41">
        <v>1</v>
      </c>
      <c r="AP61" s="534" t="s">
        <v>933</v>
      </c>
      <c r="AQ61" s="534"/>
      <c r="AR61" s="534"/>
      <c r="AS61" s="534"/>
      <c r="AT61" s="534"/>
      <c r="AU61" s="534"/>
      <c r="AV61" s="534"/>
      <c r="AW61" s="523" t="s">
        <v>938</v>
      </c>
      <c r="AX61" s="504">
        <v>1</v>
      </c>
      <c r="AY61" s="375"/>
      <c r="BC61" s="536"/>
      <c r="BD61" s="536"/>
      <c r="BE61" s="536"/>
      <c r="BF61" s="536"/>
      <c r="BG61" s="536"/>
      <c r="BH61" s="536"/>
      <c r="BI61" s="536"/>
      <c r="BJ61" s="490"/>
      <c r="BK61" s="490"/>
      <c r="BL61" s="490"/>
    </row>
    <row r="62" spans="1:68" ht="15" customHeight="1" x14ac:dyDescent="0.25">
      <c r="A62" s="562">
        <v>1</v>
      </c>
      <c r="B62" s="563"/>
      <c r="C62" s="562" t="s">
        <v>333</v>
      </c>
      <c r="D62" s="564"/>
      <c r="E62" s="564"/>
      <c r="F62" s="563"/>
      <c r="G62" s="586" t="str">
        <f>RIGHT(YEAR(A60),1)</f>
        <v>4</v>
      </c>
      <c r="H62" s="587"/>
      <c r="I62" s="587"/>
      <c r="J62" s="587"/>
      <c r="K62" s="587"/>
      <c r="L62" s="588"/>
      <c r="M62" s="586" t="str">
        <f>TEXT(G62,"0")</f>
        <v>4</v>
      </c>
      <c r="N62" s="587"/>
      <c r="O62" s="587"/>
      <c r="P62" s="587"/>
      <c r="Q62" s="587"/>
      <c r="R62" s="587"/>
      <c r="S62" s="588"/>
      <c r="T62" s="562">
        <v>1</v>
      </c>
      <c r="U62" s="563"/>
      <c r="V62" s="562" t="s">
        <v>333</v>
      </c>
      <c r="W62" s="564"/>
      <c r="X62" s="564"/>
      <c r="Y62" s="563"/>
      <c r="Z62" s="586" t="str">
        <f>RIGHT(YEAR(T60),1)</f>
        <v>5</v>
      </c>
      <c r="AA62" s="587"/>
      <c r="AB62" s="587"/>
      <c r="AC62" s="587"/>
      <c r="AD62" s="587"/>
      <c r="AE62" s="588"/>
      <c r="AF62" s="586" t="str">
        <f>TEXT(Z62,"0")</f>
        <v>5</v>
      </c>
      <c r="AG62" s="587"/>
      <c r="AH62" s="587"/>
      <c r="AI62" s="587"/>
      <c r="AJ62" s="587"/>
      <c r="AK62" s="587"/>
      <c r="AL62" s="588"/>
      <c r="AO62" s="41">
        <v>2</v>
      </c>
      <c r="AP62" s="534" t="s">
        <v>552</v>
      </c>
      <c r="AQ62" s="534"/>
      <c r="AR62" s="534"/>
      <c r="AS62" s="534"/>
      <c r="AT62" s="534"/>
      <c r="AU62" s="534"/>
      <c r="AV62" s="534"/>
      <c r="AW62" s="523" t="s">
        <v>938</v>
      </c>
      <c r="AX62" s="504">
        <v>1</v>
      </c>
      <c r="AY62" s="375"/>
      <c r="BC62" s="536"/>
      <c r="BD62" s="536"/>
      <c r="BE62" s="536"/>
      <c r="BF62" s="536"/>
      <c r="BG62" s="536"/>
      <c r="BH62" s="536"/>
      <c r="BI62" s="536"/>
      <c r="BJ62" s="490"/>
      <c r="BK62" s="490"/>
      <c r="BL62" s="490"/>
    </row>
    <row r="63" spans="1:68" ht="15" customHeight="1" x14ac:dyDescent="0.25">
      <c r="A63" s="562">
        <v>2</v>
      </c>
      <c r="B63" s="563"/>
      <c r="C63" s="562" t="s">
        <v>332</v>
      </c>
      <c r="D63" s="564"/>
      <c r="E63" s="564"/>
      <c r="F63" s="563"/>
      <c r="G63" s="572" t="str">
        <f>IF(DAY(A60)&lt;10,"0" &amp; DAY(A60) &amp; ".", DAY(A60) &amp; ".") &amp; IF( MONTH(A60)&lt;10,"0" &amp;  MONTH(A60) &amp; ".",  MONTH(A60) &amp; ".") &amp; G61 &amp; " il"</f>
        <v>27.05.2014-cü il</v>
      </c>
      <c r="H63" s="573"/>
      <c r="I63" s="573"/>
      <c r="J63" s="573"/>
      <c r="K63" s="573"/>
      <c r="L63" s="573"/>
      <c r="M63" s="573"/>
      <c r="N63" s="573"/>
      <c r="O63" s="573"/>
      <c r="P63" s="573"/>
      <c r="Q63" s="573"/>
      <c r="R63" s="573"/>
      <c r="S63" s="574"/>
      <c r="T63" s="562">
        <v>2</v>
      </c>
      <c r="U63" s="563"/>
      <c r="V63" s="562" t="s">
        <v>332</v>
      </c>
      <c r="W63" s="564"/>
      <c r="X63" s="564"/>
      <c r="Y63" s="563"/>
      <c r="Z63" s="572" t="str">
        <f>IF(DAY(T60)&lt;10,"0" &amp; DAY(T60) &amp; ".", DAY(T60) &amp; ".") &amp; IF( MONTH(T60)&lt;10,"0" &amp;  MONTH(T60) &amp; ".",  MONTH(T60) &amp; ".") &amp; Z61 &amp; " il"</f>
        <v>30.09.2005-ci il</v>
      </c>
      <c r="AA63" s="573"/>
      <c r="AB63" s="573"/>
      <c r="AC63" s="573"/>
      <c r="AD63" s="573"/>
      <c r="AE63" s="573"/>
      <c r="AF63" s="573"/>
      <c r="AG63" s="573"/>
      <c r="AH63" s="573"/>
      <c r="AI63" s="573"/>
      <c r="AJ63" s="573"/>
      <c r="AK63" s="573"/>
      <c r="AL63" s="574"/>
      <c r="AO63" s="41">
        <v>3</v>
      </c>
      <c r="AP63" s="534" t="s">
        <v>559</v>
      </c>
      <c r="AQ63" s="534"/>
      <c r="AR63" s="534"/>
      <c r="AS63" s="534"/>
      <c r="AT63" s="534"/>
      <c r="AU63" s="534"/>
      <c r="AV63" s="534"/>
      <c r="AW63" s="523" t="s">
        <v>938</v>
      </c>
      <c r="AX63" s="504">
        <v>1</v>
      </c>
      <c r="AY63" s="375"/>
      <c r="BC63" s="536"/>
      <c r="BD63" s="536"/>
      <c r="BE63" s="536"/>
      <c r="BF63" s="536"/>
      <c r="BG63" s="536"/>
      <c r="BH63" s="536"/>
      <c r="BI63" s="536"/>
      <c r="BJ63" s="490"/>
      <c r="BK63" s="490"/>
      <c r="BL63" s="490"/>
    </row>
    <row r="64" spans="1:68" ht="15" customHeight="1" x14ac:dyDescent="0.25">
      <c r="A64" s="562">
        <v>3</v>
      </c>
      <c r="B64" s="563"/>
      <c r="C64" s="562" t="s">
        <v>331</v>
      </c>
      <c r="D64" s="564"/>
      <c r="E64" s="564"/>
      <c r="F64" s="563"/>
      <c r="G64" s="43" t="s">
        <v>330</v>
      </c>
      <c r="H64" s="44" t="str">
        <f>IF(G64=M62,I64,"")</f>
        <v/>
      </c>
      <c r="I64" s="44" t="str">
        <f>M64&amp;M65&amp;M66&amp;M67&amp;M68&amp;M69&amp;M70&amp;M71&amp;M72&amp;M73&amp;R64&amp;R65&amp;R66&amp;R67&amp;R68&amp;R69&amp;R70&amp;R71&amp;R72&amp;R73</f>
        <v/>
      </c>
      <c r="J64" s="575">
        <v>1910</v>
      </c>
      <c r="K64" s="576"/>
      <c r="L64" s="577"/>
      <c r="M64" s="44" t="str">
        <f>IF(J64=YEAR(A60),N64,"")</f>
        <v/>
      </c>
      <c r="N64" s="44" t="s">
        <v>310</v>
      </c>
      <c r="O64" s="575">
        <v>2010</v>
      </c>
      <c r="P64" s="576"/>
      <c r="Q64" s="577"/>
      <c r="R64" s="44" t="str">
        <f>IF(O64=YEAR(A60),S64,"")</f>
        <v/>
      </c>
      <c r="S64" s="45" t="s">
        <v>310</v>
      </c>
      <c r="T64" s="562">
        <v>3</v>
      </c>
      <c r="U64" s="563"/>
      <c r="V64" s="562" t="s">
        <v>331</v>
      </c>
      <c r="W64" s="564"/>
      <c r="X64" s="564"/>
      <c r="Y64" s="563"/>
      <c r="Z64" s="43" t="s">
        <v>330</v>
      </c>
      <c r="AA64" s="44" t="str">
        <f>IF(Z64=AF62,AB64,"")</f>
        <v/>
      </c>
      <c r="AB64" s="44" t="str">
        <f>AF64&amp;AF65&amp;AF66&amp;AF67&amp;AF68&amp;AF69&amp;AF70&amp;AF71&amp;AF72&amp;AF73&amp;AK64&amp;AK65&amp;AK66&amp;AK67&amp;AK68&amp;AK69&amp;AK70&amp;AK71&amp;AK72&amp;AK73</f>
        <v/>
      </c>
      <c r="AC64" s="575">
        <v>1910</v>
      </c>
      <c r="AD64" s="576"/>
      <c r="AE64" s="577"/>
      <c r="AF64" s="44" t="str">
        <f>IF(AC64=YEAR(T60),AG64,"")</f>
        <v/>
      </c>
      <c r="AG64" s="44" t="s">
        <v>310</v>
      </c>
      <c r="AH64" s="575">
        <v>2010</v>
      </c>
      <c r="AI64" s="576"/>
      <c r="AJ64" s="577"/>
      <c r="AK64" s="44" t="str">
        <f>IF(AH64=YEAR(T60),AL64,"")</f>
        <v/>
      </c>
      <c r="AL64" s="45" t="s">
        <v>310</v>
      </c>
      <c r="AO64" s="41">
        <v>4</v>
      </c>
      <c r="AP64" s="534" t="s">
        <v>561</v>
      </c>
      <c r="AQ64" s="534"/>
      <c r="AR64" s="534"/>
      <c r="AS64" s="534"/>
      <c r="AT64" s="534"/>
      <c r="AU64" s="534"/>
      <c r="AV64" s="534"/>
      <c r="AW64" s="523" t="s">
        <v>938</v>
      </c>
      <c r="AX64" s="504">
        <v>1</v>
      </c>
      <c r="AY64" s="375"/>
      <c r="BC64" s="536"/>
      <c r="BD64" s="536"/>
      <c r="BE64" s="536"/>
      <c r="BF64" s="536"/>
      <c r="BG64" s="536"/>
      <c r="BH64" s="536"/>
      <c r="BI64" s="536"/>
      <c r="BJ64" s="490"/>
      <c r="BK64" s="490"/>
      <c r="BL64" s="490"/>
    </row>
    <row r="65" spans="1:64" ht="15" customHeight="1" x14ac:dyDescent="0.25">
      <c r="A65" s="562">
        <v>4</v>
      </c>
      <c r="B65" s="563"/>
      <c r="C65" s="562" t="s">
        <v>329</v>
      </c>
      <c r="D65" s="564"/>
      <c r="E65" s="564"/>
      <c r="F65" s="563"/>
      <c r="G65" s="43" t="s">
        <v>328</v>
      </c>
      <c r="H65" s="44" t="str">
        <f>IF(G65=M62,I65,"")</f>
        <v/>
      </c>
      <c r="I65" s="44" t="s">
        <v>309</v>
      </c>
      <c r="J65" s="565">
        <v>1920</v>
      </c>
      <c r="K65" s="564"/>
      <c r="L65" s="566"/>
      <c r="M65" s="44" t="str">
        <f>IF(J65=YEAR(A60),N65,"")</f>
        <v/>
      </c>
      <c r="N65" s="44" t="s">
        <v>309</v>
      </c>
      <c r="O65" s="565">
        <v>2020</v>
      </c>
      <c r="P65" s="564"/>
      <c r="Q65" s="566"/>
      <c r="R65" s="44" t="str">
        <f>IF(O65=YEAR(A60),S65,"")</f>
        <v/>
      </c>
      <c r="S65" s="45" t="s">
        <v>309</v>
      </c>
      <c r="T65" s="562">
        <v>4</v>
      </c>
      <c r="U65" s="563"/>
      <c r="V65" s="562" t="s">
        <v>329</v>
      </c>
      <c r="W65" s="564"/>
      <c r="X65" s="564"/>
      <c r="Y65" s="563"/>
      <c r="Z65" s="43" t="s">
        <v>328</v>
      </c>
      <c r="AA65" s="44" t="str">
        <f>IF(Z65=AF62,AB65,"")</f>
        <v/>
      </c>
      <c r="AB65" s="44" t="s">
        <v>309</v>
      </c>
      <c r="AC65" s="565">
        <v>1920</v>
      </c>
      <c r="AD65" s="564"/>
      <c r="AE65" s="566"/>
      <c r="AF65" s="44" t="str">
        <f>IF(AC65=YEAR(T60),AG65,"")</f>
        <v/>
      </c>
      <c r="AG65" s="44" t="s">
        <v>309</v>
      </c>
      <c r="AH65" s="565">
        <v>2020</v>
      </c>
      <c r="AI65" s="564"/>
      <c r="AJ65" s="566"/>
      <c r="AK65" s="44" t="str">
        <f>IF(AH65=YEAR(T60),AL65,"")</f>
        <v/>
      </c>
      <c r="AL65" s="45" t="s">
        <v>309</v>
      </c>
      <c r="AO65" s="41">
        <v>5</v>
      </c>
      <c r="AP65" s="534" t="s">
        <v>562</v>
      </c>
      <c r="AQ65" s="534"/>
      <c r="AR65" s="534"/>
      <c r="AS65" s="534"/>
      <c r="AT65" s="534"/>
      <c r="AU65" s="534"/>
      <c r="AV65" s="534"/>
      <c r="AW65" s="523" t="s">
        <v>938</v>
      </c>
      <c r="AX65" s="504">
        <v>1</v>
      </c>
      <c r="AY65" s="375"/>
      <c r="BC65" s="536"/>
      <c r="BD65" s="536"/>
      <c r="BE65" s="536"/>
      <c r="BF65" s="536"/>
      <c r="BG65" s="536"/>
      <c r="BH65" s="536"/>
      <c r="BI65" s="536"/>
      <c r="BJ65" s="490"/>
      <c r="BK65" s="490"/>
      <c r="BL65" s="490"/>
    </row>
    <row r="66" spans="1:64" ht="15" customHeight="1" x14ac:dyDescent="0.25">
      <c r="A66" s="562">
        <v>5</v>
      </c>
      <c r="B66" s="563"/>
      <c r="C66" s="562" t="s">
        <v>327</v>
      </c>
      <c r="D66" s="564"/>
      <c r="E66" s="564"/>
      <c r="F66" s="563"/>
      <c r="G66" s="43" t="s">
        <v>326</v>
      </c>
      <c r="H66" s="44" t="str">
        <f>IF(G66=M62,I66,"")</f>
        <v/>
      </c>
      <c r="I66" s="44" t="s">
        <v>309</v>
      </c>
      <c r="J66" s="565">
        <v>1930</v>
      </c>
      <c r="K66" s="564"/>
      <c r="L66" s="566"/>
      <c r="M66" s="44" t="str">
        <f>IF(J66=YEAR(A60),N66,"")</f>
        <v/>
      </c>
      <c r="N66" s="44" t="s">
        <v>310</v>
      </c>
      <c r="O66" s="565">
        <v>2030</v>
      </c>
      <c r="P66" s="564"/>
      <c r="Q66" s="566"/>
      <c r="R66" s="44" t="str">
        <f>IF(O66=YEAR(A60),S66,"")</f>
        <v/>
      </c>
      <c r="S66" s="45" t="s">
        <v>310</v>
      </c>
      <c r="T66" s="562">
        <v>5</v>
      </c>
      <c r="U66" s="563"/>
      <c r="V66" s="562" t="s">
        <v>327</v>
      </c>
      <c r="W66" s="564"/>
      <c r="X66" s="564"/>
      <c r="Y66" s="563"/>
      <c r="Z66" s="43" t="s">
        <v>326</v>
      </c>
      <c r="AA66" s="44" t="str">
        <f>IF(Z66=AF62,AB66,"")</f>
        <v/>
      </c>
      <c r="AB66" s="44" t="s">
        <v>309</v>
      </c>
      <c r="AC66" s="565">
        <v>1930</v>
      </c>
      <c r="AD66" s="564"/>
      <c r="AE66" s="566"/>
      <c r="AF66" s="44" t="str">
        <f>IF(AC66=YEAR(T60),AG66,"")</f>
        <v/>
      </c>
      <c r="AG66" s="44" t="s">
        <v>310</v>
      </c>
      <c r="AH66" s="565">
        <v>2030</v>
      </c>
      <c r="AI66" s="564"/>
      <c r="AJ66" s="566"/>
      <c r="AK66" s="44" t="str">
        <f>IF(AH66=YEAR(T60),AL66,"")</f>
        <v/>
      </c>
      <c r="AL66" s="45" t="s">
        <v>310</v>
      </c>
      <c r="AO66" s="41">
        <v>6</v>
      </c>
      <c r="AP66" s="534" t="s">
        <v>565</v>
      </c>
      <c r="AQ66" s="534"/>
      <c r="AR66" s="534"/>
      <c r="AS66" s="534"/>
      <c r="AT66" s="534"/>
      <c r="AU66" s="534"/>
      <c r="AV66" s="534"/>
      <c r="AW66" s="523" t="s">
        <v>938</v>
      </c>
      <c r="AX66" s="504">
        <v>1</v>
      </c>
      <c r="AY66" s="375"/>
      <c r="BC66" s="536"/>
      <c r="BD66" s="536"/>
      <c r="BE66" s="536"/>
      <c r="BF66" s="536"/>
      <c r="BG66" s="536"/>
      <c r="BH66" s="536"/>
      <c r="BI66" s="536"/>
      <c r="BJ66" s="490"/>
      <c r="BK66" s="490"/>
      <c r="BL66" s="490"/>
    </row>
    <row r="67" spans="1:64" ht="15" customHeight="1" x14ac:dyDescent="0.25">
      <c r="A67" s="562">
        <v>6</v>
      </c>
      <c r="B67" s="563"/>
      <c r="C67" s="562" t="s">
        <v>325</v>
      </c>
      <c r="D67" s="564"/>
      <c r="E67" s="564"/>
      <c r="F67" s="563"/>
      <c r="G67" s="43" t="s">
        <v>324</v>
      </c>
      <c r="H67" s="44" t="str">
        <f>IF(G67=M62,I67,"")</f>
        <v/>
      </c>
      <c r="I67" s="44" t="s">
        <v>308</v>
      </c>
      <c r="J67" s="565">
        <v>1940</v>
      </c>
      <c r="K67" s="564"/>
      <c r="L67" s="566"/>
      <c r="M67" s="44" t="str">
        <f>IF(J67=YEAR(A60),N67,"")</f>
        <v/>
      </c>
      <c r="N67" s="44" t="s">
        <v>313</v>
      </c>
      <c r="O67" s="565">
        <v>2040</v>
      </c>
      <c r="P67" s="564"/>
      <c r="Q67" s="566"/>
      <c r="R67" s="44" t="str">
        <f>IF(O67=YEAR(A60),S67,"")</f>
        <v/>
      </c>
      <c r="S67" s="45" t="s">
        <v>313</v>
      </c>
      <c r="T67" s="562">
        <v>6</v>
      </c>
      <c r="U67" s="563"/>
      <c r="V67" s="562" t="s">
        <v>325</v>
      </c>
      <c r="W67" s="564"/>
      <c r="X67" s="564"/>
      <c r="Y67" s="563"/>
      <c r="Z67" s="43" t="s">
        <v>324</v>
      </c>
      <c r="AA67" s="44" t="str">
        <f>IF(Z67=AF62,AB67,"")</f>
        <v/>
      </c>
      <c r="AB67" s="44" t="s">
        <v>308</v>
      </c>
      <c r="AC67" s="565">
        <v>1940</v>
      </c>
      <c r="AD67" s="564"/>
      <c r="AE67" s="566"/>
      <c r="AF67" s="44" t="str">
        <f>IF(AC67=YEAR(T60),AG67,"")</f>
        <v/>
      </c>
      <c r="AG67" s="44" t="s">
        <v>313</v>
      </c>
      <c r="AH67" s="565">
        <v>2040</v>
      </c>
      <c r="AI67" s="564"/>
      <c r="AJ67" s="566"/>
      <c r="AK67" s="44" t="str">
        <f>IF(AH67=YEAR(T60),AL67,"")</f>
        <v/>
      </c>
      <c r="AL67" s="45" t="s">
        <v>313</v>
      </c>
      <c r="AO67" s="41">
        <v>7</v>
      </c>
      <c r="AP67" s="534" t="s">
        <v>934</v>
      </c>
      <c r="AQ67" s="534"/>
      <c r="AR67" s="534"/>
      <c r="AS67" s="534"/>
      <c r="AT67" s="534"/>
      <c r="AU67" s="534"/>
      <c r="AV67" s="534"/>
      <c r="AW67" s="523" t="s">
        <v>938</v>
      </c>
      <c r="AX67" s="504">
        <v>1</v>
      </c>
      <c r="AY67" s="375"/>
      <c r="BC67" s="536"/>
      <c r="BD67" s="536"/>
      <c r="BE67" s="536"/>
      <c r="BF67" s="536"/>
      <c r="BG67" s="536"/>
      <c r="BH67" s="536"/>
      <c r="BI67" s="536"/>
      <c r="BJ67" s="490"/>
      <c r="BK67" s="490"/>
      <c r="BL67" s="490"/>
    </row>
    <row r="68" spans="1:64" ht="15" customHeight="1" x14ac:dyDescent="0.25">
      <c r="A68" s="562">
        <v>7</v>
      </c>
      <c r="B68" s="563"/>
      <c r="C68" s="562" t="s">
        <v>323</v>
      </c>
      <c r="D68" s="564"/>
      <c r="E68" s="564"/>
      <c r="F68" s="563"/>
      <c r="G68" s="43" t="s">
        <v>322</v>
      </c>
      <c r="H68" s="44" t="str">
        <f>IF(G68=M62,I68,"")</f>
        <v>cü</v>
      </c>
      <c r="I68" s="44" t="s">
        <v>308</v>
      </c>
      <c r="J68" s="565">
        <v>1950</v>
      </c>
      <c r="K68" s="564"/>
      <c r="L68" s="566"/>
      <c r="M68" s="44" t="str">
        <f>IF(J68=YEAR(A60),N68,"")</f>
        <v/>
      </c>
      <c r="N68" s="44" t="s">
        <v>309</v>
      </c>
      <c r="O68" s="565">
        <v>2050</v>
      </c>
      <c r="P68" s="564"/>
      <c r="Q68" s="566"/>
      <c r="R68" s="44" t="str">
        <f>IF(O68=YEAR(A60),S68,"")</f>
        <v/>
      </c>
      <c r="S68" s="45" t="s">
        <v>309</v>
      </c>
      <c r="T68" s="562">
        <v>7</v>
      </c>
      <c r="U68" s="563"/>
      <c r="V68" s="562" t="s">
        <v>323</v>
      </c>
      <c r="W68" s="564"/>
      <c r="X68" s="564"/>
      <c r="Y68" s="563"/>
      <c r="Z68" s="43" t="s">
        <v>322</v>
      </c>
      <c r="AA68" s="44" t="str">
        <f>IF(Z68=AF62,AB68,"")</f>
        <v/>
      </c>
      <c r="AB68" s="44" t="s">
        <v>308</v>
      </c>
      <c r="AC68" s="565">
        <v>1950</v>
      </c>
      <c r="AD68" s="564"/>
      <c r="AE68" s="566"/>
      <c r="AF68" s="44" t="str">
        <f>IF(AC68=YEAR(T60),AG68,"")</f>
        <v/>
      </c>
      <c r="AG68" s="44" t="s">
        <v>309</v>
      </c>
      <c r="AH68" s="565">
        <v>2050</v>
      </c>
      <c r="AI68" s="564"/>
      <c r="AJ68" s="566"/>
      <c r="AK68" s="44" t="str">
        <f>IF(AH68=YEAR(T60),AL68,"")</f>
        <v/>
      </c>
      <c r="AL68" s="45" t="s">
        <v>309</v>
      </c>
      <c r="AO68" s="41">
        <v>8</v>
      </c>
      <c r="AP68" s="534" t="s">
        <v>574</v>
      </c>
      <c r="AQ68" s="534"/>
      <c r="AR68" s="534"/>
      <c r="AS68" s="534"/>
      <c r="AT68" s="534"/>
      <c r="AU68" s="534"/>
      <c r="AV68" s="534"/>
      <c r="AW68" s="523" t="s">
        <v>938</v>
      </c>
      <c r="AX68" s="504">
        <v>1</v>
      </c>
      <c r="AY68" s="375"/>
      <c r="BC68" s="536"/>
      <c r="BD68" s="536"/>
      <c r="BE68" s="536"/>
      <c r="BF68" s="536"/>
      <c r="BG68" s="536"/>
      <c r="BH68" s="536"/>
      <c r="BI68" s="536"/>
      <c r="BJ68" s="490"/>
      <c r="BK68" s="490"/>
      <c r="BL68" s="490"/>
    </row>
    <row r="69" spans="1:64" ht="15" customHeight="1" x14ac:dyDescent="0.25">
      <c r="A69" s="562">
        <v>8</v>
      </c>
      <c r="B69" s="563"/>
      <c r="C69" s="562" t="s">
        <v>321</v>
      </c>
      <c r="D69" s="564"/>
      <c r="E69" s="564"/>
      <c r="F69" s="563"/>
      <c r="G69" s="43" t="s">
        <v>320</v>
      </c>
      <c r="H69" s="44" t="str">
        <f>IF(G69=M62,I69,"")</f>
        <v/>
      </c>
      <c r="I69" s="44" t="s">
        <v>309</v>
      </c>
      <c r="J69" s="565">
        <v>1960</v>
      </c>
      <c r="K69" s="564"/>
      <c r="L69" s="566"/>
      <c r="M69" s="44" t="str">
        <f>IF(J69=YEAR(A60),N69,"")</f>
        <v/>
      </c>
      <c r="N69" s="44" t="s">
        <v>313</v>
      </c>
      <c r="O69" s="565">
        <v>2060</v>
      </c>
      <c r="P69" s="564"/>
      <c r="Q69" s="566"/>
      <c r="R69" s="44" t="str">
        <f>IF(O69=YEAR(A60),S69,"")</f>
        <v/>
      </c>
      <c r="S69" s="45" t="s">
        <v>313</v>
      </c>
      <c r="T69" s="562">
        <v>8</v>
      </c>
      <c r="U69" s="563"/>
      <c r="V69" s="562" t="s">
        <v>321</v>
      </c>
      <c r="W69" s="564"/>
      <c r="X69" s="564"/>
      <c r="Y69" s="563"/>
      <c r="Z69" s="43" t="s">
        <v>320</v>
      </c>
      <c r="AA69" s="44" t="str">
        <f>IF(Z69=AF62,AB69,"")</f>
        <v>ci</v>
      </c>
      <c r="AB69" s="44" t="s">
        <v>309</v>
      </c>
      <c r="AC69" s="565">
        <v>1960</v>
      </c>
      <c r="AD69" s="564"/>
      <c r="AE69" s="566"/>
      <c r="AF69" s="44" t="str">
        <f>IF(AC69=YEAR(T60),AG69,"")</f>
        <v/>
      </c>
      <c r="AG69" s="44" t="s">
        <v>313</v>
      </c>
      <c r="AH69" s="565">
        <v>2060</v>
      </c>
      <c r="AI69" s="564"/>
      <c r="AJ69" s="566"/>
      <c r="AK69" s="44" t="str">
        <f>IF(AH69=YEAR(T60),AL69,"")</f>
        <v/>
      </c>
      <c r="AL69" s="45" t="s">
        <v>313</v>
      </c>
      <c r="AO69" s="41">
        <v>9</v>
      </c>
      <c r="AP69" s="534" t="s">
        <v>576</v>
      </c>
      <c r="AQ69" s="534"/>
      <c r="AR69" s="534"/>
      <c r="AS69" s="534"/>
      <c r="AT69" s="534"/>
      <c r="AU69" s="534"/>
      <c r="AV69" s="534"/>
      <c r="AW69" s="523" t="s">
        <v>938</v>
      </c>
      <c r="AX69" s="504">
        <v>1</v>
      </c>
      <c r="AY69" s="375"/>
      <c r="BC69" s="536"/>
      <c r="BD69" s="536"/>
      <c r="BE69" s="536"/>
      <c r="BF69" s="536"/>
      <c r="BG69" s="536"/>
      <c r="BH69" s="536"/>
      <c r="BI69" s="536"/>
      <c r="BJ69" s="490"/>
      <c r="BK69" s="490"/>
      <c r="BL69" s="490"/>
    </row>
    <row r="70" spans="1:64" ht="15" customHeight="1" x14ac:dyDescent="0.25">
      <c r="A70" s="562">
        <v>9</v>
      </c>
      <c r="B70" s="563"/>
      <c r="C70" s="562" t="s">
        <v>319</v>
      </c>
      <c r="D70" s="564"/>
      <c r="E70" s="564"/>
      <c r="F70" s="563"/>
      <c r="G70" s="43" t="s">
        <v>318</v>
      </c>
      <c r="H70" s="44" t="str">
        <f>IF(G70=M62,I70,"")</f>
        <v/>
      </c>
      <c r="I70" s="44" t="s">
        <v>313</v>
      </c>
      <c r="J70" s="565">
        <v>1970</v>
      </c>
      <c r="K70" s="564"/>
      <c r="L70" s="566"/>
      <c r="M70" s="44" t="str">
        <f>IF(J70=YEAR(A60),N70,"")</f>
        <v/>
      </c>
      <c r="N70" s="44" t="s">
        <v>309</v>
      </c>
      <c r="O70" s="565">
        <v>2070</v>
      </c>
      <c r="P70" s="564"/>
      <c r="Q70" s="566"/>
      <c r="R70" s="44" t="str">
        <f>IF(O70=YEAR(A60),S70,"")</f>
        <v/>
      </c>
      <c r="S70" s="45" t="s">
        <v>309</v>
      </c>
      <c r="T70" s="562">
        <v>9</v>
      </c>
      <c r="U70" s="563"/>
      <c r="V70" s="562" t="s">
        <v>319</v>
      </c>
      <c r="W70" s="564"/>
      <c r="X70" s="564"/>
      <c r="Y70" s="563"/>
      <c r="Z70" s="43" t="s">
        <v>318</v>
      </c>
      <c r="AA70" s="44" t="str">
        <f>IF(Z70=AF62,AB70,"")</f>
        <v/>
      </c>
      <c r="AB70" s="44" t="s">
        <v>313</v>
      </c>
      <c r="AC70" s="565">
        <v>1970</v>
      </c>
      <c r="AD70" s="564"/>
      <c r="AE70" s="566"/>
      <c r="AF70" s="44" t="str">
        <f>IF(AC70=YEAR(T60),AG70,"")</f>
        <v/>
      </c>
      <c r="AG70" s="44" t="s">
        <v>309</v>
      </c>
      <c r="AH70" s="565">
        <v>2070</v>
      </c>
      <c r="AI70" s="564"/>
      <c r="AJ70" s="566"/>
      <c r="AK70" s="44" t="str">
        <f>IF(AH70=YEAR(T60),AL70,"")</f>
        <v/>
      </c>
      <c r="AL70" s="45" t="s">
        <v>309</v>
      </c>
      <c r="AO70" s="41">
        <v>10</v>
      </c>
      <c r="AP70" s="534" t="s">
        <v>578</v>
      </c>
      <c r="AQ70" s="534"/>
      <c r="AR70" s="534"/>
      <c r="AS70" s="534"/>
      <c r="AT70" s="534"/>
      <c r="AU70" s="534"/>
      <c r="AV70" s="534"/>
      <c r="AW70" s="523" t="s">
        <v>938</v>
      </c>
      <c r="AX70" s="504">
        <v>1</v>
      </c>
      <c r="AY70" s="375"/>
      <c r="BC70" s="536"/>
      <c r="BD70" s="536"/>
      <c r="BE70" s="536"/>
      <c r="BF70" s="536"/>
      <c r="BG70" s="536"/>
      <c r="BH70" s="536"/>
      <c r="BI70" s="536"/>
      <c r="BJ70" s="490"/>
      <c r="BK70" s="490"/>
      <c r="BL70" s="490"/>
    </row>
    <row r="71" spans="1:64" ht="15" customHeight="1" x14ac:dyDescent="0.25">
      <c r="A71" s="562">
        <v>10</v>
      </c>
      <c r="B71" s="563"/>
      <c r="C71" s="562" t="s">
        <v>317</v>
      </c>
      <c r="D71" s="564"/>
      <c r="E71" s="564"/>
      <c r="F71" s="563"/>
      <c r="G71" s="43" t="s">
        <v>316</v>
      </c>
      <c r="H71" s="44" t="str">
        <f>IF(G71=M62,I71,"")</f>
        <v/>
      </c>
      <c r="I71" s="44" t="s">
        <v>309</v>
      </c>
      <c r="J71" s="565">
        <v>1980</v>
      </c>
      <c r="K71" s="564"/>
      <c r="L71" s="566"/>
      <c r="M71" s="44" t="str">
        <f>IF(J71=YEAR(A60),N71,"")</f>
        <v/>
      </c>
      <c r="N71" s="44" t="s">
        <v>309</v>
      </c>
      <c r="O71" s="565">
        <v>2080</v>
      </c>
      <c r="P71" s="564"/>
      <c r="Q71" s="566"/>
      <c r="R71" s="44" t="str">
        <f>IF(O71=YEAR(A60),S71,"")</f>
        <v/>
      </c>
      <c r="S71" s="45" t="s">
        <v>309</v>
      </c>
      <c r="T71" s="562">
        <v>10</v>
      </c>
      <c r="U71" s="563"/>
      <c r="V71" s="562" t="s">
        <v>317</v>
      </c>
      <c r="W71" s="564"/>
      <c r="X71" s="564"/>
      <c r="Y71" s="563"/>
      <c r="Z71" s="43" t="s">
        <v>316</v>
      </c>
      <c r="AA71" s="44" t="str">
        <f>IF(Z71=AF62,AB71,"")</f>
        <v/>
      </c>
      <c r="AB71" s="44" t="s">
        <v>309</v>
      </c>
      <c r="AC71" s="565">
        <v>1980</v>
      </c>
      <c r="AD71" s="564"/>
      <c r="AE71" s="566"/>
      <c r="AF71" s="44" t="str">
        <f>IF(AC71=YEAR(T60),AG71,"")</f>
        <v/>
      </c>
      <c r="AG71" s="44" t="s">
        <v>309</v>
      </c>
      <c r="AH71" s="565">
        <v>2080</v>
      </c>
      <c r="AI71" s="564"/>
      <c r="AJ71" s="566"/>
      <c r="AK71" s="44" t="str">
        <f>IF(AH71=YEAR(T60),AL71,"")</f>
        <v/>
      </c>
      <c r="AL71" s="45" t="s">
        <v>309</v>
      </c>
      <c r="AO71" s="41">
        <v>11</v>
      </c>
      <c r="AP71" s="534" t="s">
        <v>575</v>
      </c>
      <c r="AQ71" s="534"/>
      <c r="AR71" s="534"/>
      <c r="AS71" s="534"/>
      <c r="AT71" s="534"/>
      <c r="AU71" s="534"/>
      <c r="AV71" s="534"/>
      <c r="AW71" s="523" t="s">
        <v>938</v>
      </c>
      <c r="AX71" s="504">
        <v>1</v>
      </c>
      <c r="AY71" s="375"/>
      <c r="BC71" s="536"/>
      <c r="BD71" s="536"/>
      <c r="BE71" s="536"/>
      <c r="BF71" s="536"/>
      <c r="BG71" s="536"/>
      <c r="BH71" s="536"/>
      <c r="BI71" s="536"/>
      <c r="BJ71" s="490"/>
      <c r="BK71" s="490"/>
      <c r="BL71" s="490"/>
    </row>
    <row r="72" spans="1:64" ht="15" customHeight="1" x14ac:dyDescent="0.25">
      <c r="A72" s="562">
        <v>11</v>
      </c>
      <c r="B72" s="563"/>
      <c r="C72" s="562" t="s">
        <v>315</v>
      </c>
      <c r="D72" s="564"/>
      <c r="E72" s="564"/>
      <c r="F72" s="563"/>
      <c r="G72" s="43" t="s">
        <v>314</v>
      </c>
      <c r="H72" s="44" t="str">
        <f>IF(G72=M62,I72,"")</f>
        <v/>
      </c>
      <c r="I72" s="44" t="s">
        <v>309</v>
      </c>
      <c r="J72" s="565">
        <v>1990</v>
      </c>
      <c r="K72" s="564"/>
      <c r="L72" s="566"/>
      <c r="M72" s="44" t="str">
        <f>IF(J72=YEAR(A60),N72,"")</f>
        <v/>
      </c>
      <c r="N72" s="44" t="s">
        <v>313</v>
      </c>
      <c r="O72" s="565">
        <v>2090</v>
      </c>
      <c r="P72" s="564"/>
      <c r="Q72" s="566"/>
      <c r="R72" s="44" t="str">
        <f>IF(O72=YEAR(A60),S72,"")</f>
        <v/>
      </c>
      <c r="S72" s="45" t="s">
        <v>313</v>
      </c>
      <c r="T72" s="562">
        <v>11</v>
      </c>
      <c r="U72" s="563"/>
      <c r="V72" s="562" t="s">
        <v>315</v>
      </c>
      <c r="W72" s="564"/>
      <c r="X72" s="564"/>
      <c r="Y72" s="563"/>
      <c r="Z72" s="43" t="s">
        <v>314</v>
      </c>
      <c r="AA72" s="44" t="str">
        <f>IF(Z72=AF62,AB72,"")</f>
        <v/>
      </c>
      <c r="AB72" s="44" t="s">
        <v>309</v>
      </c>
      <c r="AC72" s="565">
        <v>1990</v>
      </c>
      <c r="AD72" s="564"/>
      <c r="AE72" s="566"/>
      <c r="AF72" s="44" t="str">
        <f>IF(AC72=YEAR(T60),AG72,"")</f>
        <v/>
      </c>
      <c r="AG72" s="44" t="s">
        <v>309</v>
      </c>
      <c r="AH72" s="565">
        <v>2090</v>
      </c>
      <c r="AI72" s="564"/>
      <c r="AJ72" s="566"/>
      <c r="AK72" s="44" t="str">
        <f>IF(AH72=YEAR(T60),AL72,"")</f>
        <v/>
      </c>
      <c r="AL72" s="45" t="s">
        <v>313</v>
      </c>
      <c r="AO72" s="41">
        <v>12</v>
      </c>
      <c r="AP72" s="534" t="s">
        <v>577</v>
      </c>
      <c r="AQ72" s="534"/>
      <c r="AR72" s="534"/>
      <c r="AS72" s="534"/>
      <c r="AT72" s="534"/>
      <c r="AU72" s="534"/>
      <c r="AV72" s="534"/>
      <c r="AW72" s="523" t="s">
        <v>938</v>
      </c>
      <c r="AX72" s="504">
        <v>1</v>
      </c>
      <c r="AY72" s="375"/>
      <c r="BC72" s="536"/>
      <c r="BD72" s="536"/>
      <c r="BE72" s="536"/>
      <c r="BF72" s="536"/>
      <c r="BG72" s="536"/>
      <c r="BH72" s="536"/>
      <c r="BI72" s="536"/>
      <c r="BJ72" s="490"/>
      <c r="BK72" s="490"/>
      <c r="BL72" s="490"/>
    </row>
    <row r="73" spans="1:64" ht="15" customHeight="1" x14ac:dyDescent="0.25">
      <c r="A73" s="567">
        <v>12</v>
      </c>
      <c r="B73" s="568"/>
      <c r="C73" s="567" t="s">
        <v>312</v>
      </c>
      <c r="D73" s="569"/>
      <c r="E73" s="569"/>
      <c r="F73" s="568"/>
      <c r="G73" s="46" t="s">
        <v>311</v>
      </c>
      <c r="H73" s="47" t="str">
        <f>IF(G73=M62,I73,"")</f>
        <v/>
      </c>
      <c r="I73" s="47" t="s">
        <v>310</v>
      </c>
      <c r="J73" s="569">
        <v>2000</v>
      </c>
      <c r="K73" s="569"/>
      <c r="L73" s="569"/>
      <c r="M73" s="47" t="str">
        <f>IF(J73=YEAR(A60),N73,"")</f>
        <v/>
      </c>
      <c r="N73" s="47" t="s">
        <v>309</v>
      </c>
      <c r="O73" s="569">
        <v>2100</v>
      </c>
      <c r="P73" s="569"/>
      <c r="Q73" s="569"/>
      <c r="R73" s="47" t="str">
        <f>IF(O73=YEAR(A60),S73,"")</f>
        <v/>
      </c>
      <c r="S73" s="48" t="s">
        <v>308</v>
      </c>
      <c r="T73" s="567">
        <v>12</v>
      </c>
      <c r="U73" s="568"/>
      <c r="V73" s="567" t="s">
        <v>312</v>
      </c>
      <c r="W73" s="569"/>
      <c r="X73" s="569"/>
      <c r="Y73" s="568"/>
      <c r="Z73" s="46" t="s">
        <v>311</v>
      </c>
      <c r="AA73" s="47" t="str">
        <f>IF(Z73=AF62,AB73,"")</f>
        <v/>
      </c>
      <c r="AB73" s="47" t="s">
        <v>310</v>
      </c>
      <c r="AC73" s="569">
        <v>2000</v>
      </c>
      <c r="AD73" s="569"/>
      <c r="AE73" s="569"/>
      <c r="AF73" s="47" t="str">
        <f>IF(AC73=YEAR(T60),AG73,"")</f>
        <v/>
      </c>
      <c r="AG73" s="44" t="s">
        <v>309</v>
      </c>
      <c r="AH73" s="569">
        <v>2100</v>
      </c>
      <c r="AI73" s="569"/>
      <c r="AJ73" s="569"/>
      <c r="AK73" s="47" t="str">
        <f>IF(AH73=YEAR(T60),AL73,"")</f>
        <v/>
      </c>
      <c r="AL73" s="48" t="s">
        <v>308</v>
      </c>
      <c r="AO73" s="41">
        <v>13</v>
      </c>
      <c r="AP73" s="534" t="s">
        <v>580</v>
      </c>
      <c r="AQ73" s="534"/>
      <c r="AR73" s="534"/>
      <c r="AS73" s="534"/>
      <c r="AT73" s="534"/>
      <c r="AU73" s="534"/>
      <c r="AV73" s="534"/>
      <c r="AW73" s="523" t="s">
        <v>938</v>
      </c>
      <c r="AX73" s="504">
        <v>1</v>
      </c>
      <c r="AY73" s="375"/>
      <c r="BC73" s="536"/>
      <c r="BD73" s="536"/>
      <c r="BE73" s="536"/>
      <c r="BF73" s="536"/>
      <c r="BG73" s="536"/>
      <c r="BH73" s="536"/>
      <c r="BI73" s="536"/>
      <c r="BJ73" s="490"/>
      <c r="BK73" s="490"/>
      <c r="BL73" s="490"/>
    </row>
    <row r="74" spans="1:64" ht="15" customHeight="1" x14ac:dyDescent="0.25">
      <c r="T74" s="41" t="s">
        <v>493</v>
      </c>
      <c r="AO74" s="41">
        <v>14</v>
      </c>
      <c r="AP74" s="534" t="s">
        <v>935</v>
      </c>
      <c r="AQ74" s="534"/>
      <c r="AR74" s="534"/>
      <c r="AS74" s="534"/>
      <c r="AT74" s="534"/>
      <c r="AU74" s="534"/>
      <c r="AV74" s="534"/>
      <c r="AW74" s="523" t="s">
        <v>938</v>
      </c>
      <c r="AX74" s="504">
        <v>1</v>
      </c>
      <c r="AY74" s="375"/>
      <c r="BC74" s="535"/>
      <c r="BD74" s="535"/>
      <c r="BE74" s="535"/>
      <c r="BF74" s="535"/>
      <c r="BG74" s="535"/>
      <c r="BH74" s="535"/>
      <c r="BI74" s="535"/>
      <c r="BJ74" s="489"/>
      <c r="BK74" s="490"/>
      <c r="BL74" s="489"/>
    </row>
    <row r="75" spans="1:64" ht="15" customHeight="1" x14ac:dyDescent="0.25">
      <c r="T75" s="578">
        <f>T.Data!G39</f>
        <v>40770</v>
      </c>
      <c r="U75" s="579"/>
      <c r="V75" s="579"/>
      <c r="W75" s="579"/>
      <c r="X75" s="579"/>
      <c r="Y75" s="580"/>
      <c r="Z75" s="581" t="str">
        <f>T76&amp;" "&amp;V76&amp;" "&amp;Z76&amp; " il"</f>
        <v>«15» Avqust 2011-ci il</v>
      </c>
      <c r="AA75" s="582"/>
      <c r="AB75" s="582"/>
      <c r="AC75" s="582"/>
      <c r="AD75" s="582"/>
      <c r="AE75" s="582"/>
      <c r="AF75" s="582"/>
      <c r="AG75" s="582"/>
      <c r="AH75" s="582"/>
      <c r="AI75" s="582"/>
      <c r="AJ75" s="582"/>
      <c r="AK75" s="582"/>
      <c r="AL75" s="583"/>
      <c r="AP75" s="534"/>
      <c r="AQ75" s="534"/>
      <c r="AR75" s="534"/>
      <c r="AS75" s="534"/>
      <c r="AT75" s="534"/>
      <c r="AU75" s="534"/>
      <c r="AV75" s="534"/>
      <c r="AW75" s="500"/>
      <c r="AX75" s="500"/>
      <c r="AY75" s="375"/>
      <c r="BC75" s="535"/>
      <c r="BD75" s="535"/>
      <c r="BE75" s="535"/>
      <c r="BF75" s="535"/>
      <c r="BG75" s="535"/>
      <c r="BH75" s="535"/>
      <c r="BI75" s="535"/>
      <c r="BJ75" s="489"/>
      <c r="BK75" s="490"/>
      <c r="BL75" s="489"/>
    </row>
    <row r="76" spans="1:64" ht="15" x14ac:dyDescent="0.25">
      <c r="A76" s="41" t="s">
        <v>418</v>
      </c>
      <c r="T76" s="584" t="str">
        <f>IF(DAY(T75)&lt;10,"«0" &amp; DAY(T75) &amp; "»","«" &amp; DAY(T75) &amp; "»")</f>
        <v>«15»</v>
      </c>
      <c r="U76" s="585"/>
      <c r="V76" s="584" t="str">
        <f>INDEX(V77:V88,MATCH(MONTH(T75),T77:T88,0))</f>
        <v>Avqust</v>
      </c>
      <c r="W76" s="576"/>
      <c r="X76" s="576"/>
      <c r="Y76" s="585"/>
      <c r="Z76" s="584" t="str">
        <f>YEAR(T75)&amp;"-"&amp;AA79&amp;AA80&amp;AA81&amp;AA82&amp;AA83&amp;AA84&amp;AA85&amp;AA86&amp;AA87&amp;AA88</f>
        <v>2011-ci</v>
      </c>
      <c r="AA76" s="576"/>
      <c r="AB76" s="576"/>
      <c r="AC76" s="576"/>
      <c r="AD76" s="576"/>
      <c r="AE76" s="576"/>
      <c r="AF76" s="576"/>
      <c r="AG76" s="576"/>
      <c r="AH76" s="576"/>
      <c r="AI76" s="576"/>
      <c r="AJ76" s="576"/>
      <c r="AK76" s="576"/>
      <c r="AL76" s="585"/>
      <c r="AP76" s="534"/>
      <c r="AQ76" s="534"/>
      <c r="AR76" s="534"/>
      <c r="AS76" s="534"/>
      <c r="AT76" s="534"/>
      <c r="AU76" s="534"/>
      <c r="AV76" s="534"/>
      <c r="AW76" s="500"/>
      <c r="AX76" s="500"/>
      <c r="AY76" s="374"/>
      <c r="BC76" s="535"/>
      <c r="BD76" s="535"/>
      <c r="BE76" s="535"/>
      <c r="BF76" s="535"/>
      <c r="BG76" s="535"/>
      <c r="BH76" s="535"/>
      <c r="BI76" s="535"/>
      <c r="BJ76" s="489"/>
      <c r="BK76" s="490"/>
      <c r="BL76" s="489"/>
    </row>
    <row r="77" spans="1:64" ht="15" x14ac:dyDescent="0.25">
      <c r="A77" s="552">
        <f>ROUND(MONTH_KREDIT/2,0)</f>
        <v>5</v>
      </c>
      <c r="B77" s="553"/>
      <c r="C77" s="553"/>
      <c r="D77" s="553"/>
      <c r="E77" s="553"/>
      <c r="F77" s="554"/>
      <c r="G77" s="65">
        <f>INT(RIGHT(A89,2)/10)</f>
        <v>0</v>
      </c>
      <c r="H77" s="52">
        <f>INT(RIGHT(A89,1))</f>
        <v>5</v>
      </c>
      <c r="T77" s="562">
        <v>1</v>
      </c>
      <c r="U77" s="563"/>
      <c r="V77" s="562" t="s">
        <v>333</v>
      </c>
      <c r="W77" s="564"/>
      <c r="X77" s="564"/>
      <c r="Y77" s="563"/>
      <c r="Z77" s="586" t="str">
        <f>RIGHT(YEAR(T75),1)</f>
        <v>1</v>
      </c>
      <c r="AA77" s="587"/>
      <c r="AB77" s="587"/>
      <c r="AC77" s="587"/>
      <c r="AD77" s="587"/>
      <c r="AE77" s="588"/>
      <c r="AF77" s="586" t="str">
        <f>TEXT(Z77,"0")</f>
        <v>1</v>
      </c>
      <c r="AG77" s="587"/>
      <c r="AH77" s="587"/>
      <c r="AI77" s="587"/>
      <c r="AJ77" s="587"/>
      <c r="AK77" s="587"/>
      <c r="AL77" s="588"/>
      <c r="AP77" s="534"/>
      <c r="AQ77" s="534"/>
      <c r="AR77" s="534"/>
      <c r="AS77" s="534"/>
      <c r="AT77" s="534"/>
      <c r="AU77" s="534"/>
      <c r="AV77" s="534"/>
      <c r="AW77" s="500"/>
      <c r="AX77" s="500"/>
      <c r="AY77" s="374"/>
      <c r="BC77" s="535"/>
      <c r="BD77" s="535"/>
      <c r="BE77" s="535"/>
      <c r="BF77" s="535"/>
      <c r="BG77" s="535"/>
      <c r="BH77" s="535"/>
      <c r="BI77" s="535"/>
      <c r="BJ77" s="489"/>
      <c r="BK77" s="490"/>
      <c r="BL77" s="489"/>
    </row>
    <row r="78" spans="1:64" ht="15" x14ac:dyDescent="0.25">
      <c r="A78" s="592" t="str">
        <f>IF(A89=0,"sıfır",E90 &amp;F90 )</f>
        <v xml:space="preserve">beş </v>
      </c>
      <c r="B78" s="592"/>
      <c r="C78" s="592"/>
      <c r="D78" s="592"/>
      <c r="E78" s="592"/>
      <c r="F78" s="592"/>
      <c r="G78" s="592"/>
      <c r="H78" s="592"/>
      <c r="T78" s="562">
        <v>2</v>
      </c>
      <c r="U78" s="563"/>
      <c r="V78" s="562" t="s">
        <v>332</v>
      </c>
      <c r="W78" s="564"/>
      <c r="X78" s="564"/>
      <c r="Y78" s="563"/>
      <c r="Z78" s="572" t="str">
        <f>IF(DAY(T75)&lt;10,"0" &amp; DAY(T75) &amp; ".", DAY(T75) &amp; ".") &amp; IF( MONTH(T75)&lt;10,"0" &amp;  MONTH(T75) &amp; ".",  MONTH(T75) &amp; ".") &amp; Z76 &amp; " il"</f>
        <v>15.08.2011-ci il</v>
      </c>
      <c r="AA78" s="573"/>
      <c r="AB78" s="573"/>
      <c r="AC78" s="573"/>
      <c r="AD78" s="573"/>
      <c r="AE78" s="573"/>
      <c r="AF78" s="573"/>
      <c r="AG78" s="573"/>
      <c r="AH78" s="573"/>
      <c r="AI78" s="573"/>
      <c r="AJ78" s="573"/>
      <c r="AK78" s="573"/>
      <c r="AL78" s="574"/>
      <c r="AP78" s="534"/>
      <c r="AQ78" s="534"/>
      <c r="AR78" s="534"/>
      <c r="AS78" s="534"/>
      <c r="AT78" s="534"/>
      <c r="AU78" s="534"/>
      <c r="AV78" s="534"/>
      <c r="AW78" s="500"/>
      <c r="AX78" s="500"/>
      <c r="AY78" s="374"/>
      <c r="BC78" s="535"/>
      <c r="BD78" s="535"/>
      <c r="BE78" s="535"/>
      <c r="BF78" s="535"/>
      <c r="BG78" s="535"/>
      <c r="BH78" s="535"/>
      <c r="BI78" s="535"/>
      <c r="BJ78" s="489"/>
      <c r="BK78" s="490"/>
      <c r="BL78" s="489"/>
    </row>
    <row r="79" spans="1:64" ht="15" x14ac:dyDescent="0.25">
      <c r="A79" s="592" t="str">
        <f>UPPER(LEFT(A78,1))&amp;RIGHT(A78,LEN(A78)-1)</f>
        <v xml:space="preserve">Beş </v>
      </c>
      <c r="B79" s="592"/>
      <c r="C79" s="592"/>
      <c r="D79" s="592"/>
      <c r="E79" s="592"/>
      <c r="F79" s="592"/>
      <c r="G79" s="592"/>
      <c r="H79" s="592"/>
      <c r="T79" s="562">
        <v>3</v>
      </c>
      <c r="U79" s="563"/>
      <c r="V79" s="562" t="s">
        <v>331</v>
      </c>
      <c r="W79" s="564"/>
      <c r="X79" s="564"/>
      <c r="Y79" s="563"/>
      <c r="Z79" s="43" t="s">
        <v>330</v>
      </c>
      <c r="AA79" s="44" t="str">
        <f>IF(Z79=AF77,AB79,"")</f>
        <v/>
      </c>
      <c r="AB79" s="44" t="str">
        <f>AF79&amp;AF80&amp;AF81&amp;AF82&amp;AF83&amp;AF84&amp;AF85&amp;AF86&amp;AF87&amp;AF88&amp;AK79&amp;AK80&amp;AK81&amp;AK82&amp;AK83&amp;AK84&amp;AK85&amp;AK86&amp;AK87&amp;AK88</f>
        <v/>
      </c>
      <c r="AC79" s="575">
        <v>1910</v>
      </c>
      <c r="AD79" s="576"/>
      <c r="AE79" s="577"/>
      <c r="AF79" s="44" t="str">
        <f>IF(AC79=YEAR(T75),AG79,"")</f>
        <v/>
      </c>
      <c r="AG79" s="44" t="s">
        <v>310</v>
      </c>
      <c r="AH79" s="575">
        <v>2010</v>
      </c>
      <c r="AI79" s="576"/>
      <c r="AJ79" s="577"/>
      <c r="AK79" s="44" t="str">
        <f>IF(AH79=YEAR(T75),AL79,"")</f>
        <v/>
      </c>
      <c r="AL79" s="45" t="s">
        <v>310</v>
      </c>
      <c r="AP79" s="534"/>
      <c r="AQ79" s="534"/>
      <c r="AR79" s="534"/>
      <c r="AS79" s="534"/>
      <c r="AT79" s="534"/>
      <c r="AU79" s="534"/>
      <c r="AV79" s="534"/>
      <c r="AW79" s="500"/>
      <c r="AX79" s="500"/>
      <c r="AY79" s="374"/>
      <c r="BC79" s="535"/>
      <c r="BD79" s="535"/>
      <c r="BE79" s="535"/>
      <c r="BF79" s="535"/>
      <c r="BG79" s="535"/>
      <c r="BH79" s="535"/>
      <c r="BI79" s="535"/>
      <c r="BJ79" s="489"/>
      <c r="BK79" s="490"/>
      <c r="BL79" s="489"/>
    </row>
    <row r="80" spans="1:64" ht="15" x14ac:dyDescent="0.25">
      <c r="A80" s="559" t="s">
        <v>359</v>
      </c>
      <c r="B80" s="560"/>
      <c r="C80" s="560"/>
      <c r="D80" s="560" t="s">
        <v>358</v>
      </c>
      <c r="E80" s="560"/>
      <c r="F80" s="560"/>
      <c r="G80" s="54" t="str">
        <f>IF(G77=1,D80,"")</f>
        <v/>
      </c>
      <c r="H80" s="55" t="str">
        <f>IF(H77=1,A80,"")</f>
        <v/>
      </c>
      <c r="T80" s="562">
        <v>4</v>
      </c>
      <c r="U80" s="563"/>
      <c r="V80" s="562" t="s">
        <v>329</v>
      </c>
      <c r="W80" s="564"/>
      <c r="X80" s="564"/>
      <c r="Y80" s="563"/>
      <c r="Z80" s="43" t="s">
        <v>328</v>
      </c>
      <c r="AA80" s="44" t="str">
        <f>IF(Z80=AF77,AB80,"")</f>
        <v>ci</v>
      </c>
      <c r="AB80" s="44" t="s">
        <v>309</v>
      </c>
      <c r="AC80" s="565">
        <v>1920</v>
      </c>
      <c r="AD80" s="564"/>
      <c r="AE80" s="566"/>
      <c r="AF80" s="44" t="str">
        <f>IF(AC80=YEAR(T75),AG80,"")</f>
        <v/>
      </c>
      <c r="AG80" s="44" t="s">
        <v>309</v>
      </c>
      <c r="AH80" s="565">
        <v>2020</v>
      </c>
      <c r="AI80" s="564"/>
      <c r="AJ80" s="566"/>
      <c r="AK80" s="44" t="str">
        <f>IF(AH80=YEAR(T75),AL80,"")</f>
        <v/>
      </c>
      <c r="AL80" s="45" t="s">
        <v>309</v>
      </c>
      <c r="AP80" s="534"/>
      <c r="AQ80" s="534"/>
      <c r="AR80" s="534"/>
      <c r="AS80" s="534"/>
      <c r="AT80" s="534"/>
      <c r="AU80" s="534"/>
      <c r="AV80" s="534"/>
      <c r="AW80" s="500"/>
      <c r="AX80" s="500"/>
      <c r="AY80" s="374"/>
      <c r="BC80" s="535"/>
      <c r="BD80" s="535"/>
      <c r="BE80" s="535"/>
      <c r="BF80" s="535"/>
      <c r="BG80" s="535"/>
      <c r="BH80" s="535"/>
      <c r="BI80" s="535"/>
      <c r="BJ80" s="489"/>
      <c r="BK80" s="490"/>
      <c r="BL80" s="489"/>
    </row>
    <row r="81" spans="1:64" ht="15" x14ac:dyDescent="0.25">
      <c r="A81" s="543" t="s">
        <v>357</v>
      </c>
      <c r="B81" s="544"/>
      <c r="C81" s="544"/>
      <c r="D81" s="544" t="s">
        <v>356</v>
      </c>
      <c r="E81" s="544"/>
      <c r="F81" s="544"/>
      <c r="G81" s="57" t="str">
        <f>IF(G77=2,D81,"")</f>
        <v/>
      </c>
      <c r="H81" s="58" t="str">
        <f>IF(H77=2,A81,"")</f>
        <v/>
      </c>
      <c r="T81" s="562">
        <v>5</v>
      </c>
      <c r="U81" s="563"/>
      <c r="V81" s="562" t="s">
        <v>327</v>
      </c>
      <c r="W81" s="564"/>
      <c r="X81" s="564"/>
      <c r="Y81" s="563"/>
      <c r="Z81" s="43" t="s">
        <v>326</v>
      </c>
      <c r="AA81" s="44" t="str">
        <f>IF(Z81=AF77,AB81,"")</f>
        <v/>
      </c>
      <c r="AB81" s="44" t="s">
        <v>309</v>
      </c>
      <c r="AC81" s="565">
        <v>1930</v>
      </c>
      <c r="AD81" s="564"/>
      <c r="AE81" s="566"/>
      <c r="AF81" s="44" t="str">
        <f>IF(AC81=YEAR(T75),AG81,"")</f>
        <v/>
      </c>
      <c r="AG81" s="44" t="s">
        <v>310</v>
      </c>
      <c r="AH81" s="565">
        <v>2030</v>
      </c>
      <c r="AI81" s="564"/>
      <c r="AJ81" s="566"/>
      <c r="AK81" s="44" t="str">
        <f>IF(AH81=YEAR(T75),AL81,"")</f>
        <v/>
      </c>
      <c r="AL81" s="45" t="s">
        <v>310</v>
      </c>
      <c r="AP81" s="534"/>
      <c r="AQ81" s="534"/>
      <c r="AR81" s="534"/>
      <c r="AS81" s="534"/>
      <c r="AT81" s="534"/>
      <c r="AU81" s="534"/>
      <c r="AV81" s="534"/>
      <c r="AW81" s="500"/>
      <c r="AX81" s="500"/>
      <c r="AY81" s="374"/>
      <c r="BC81" s="535"/>
      <c r="BD81" s="535"/>
      <c r="BE81" s="535"/>
      <c r="BF81" s="535"/>
      <c r="BG81" s="535"/>
      <c r="BH81" s="535"/>
      <c r="BI81" s="535"/>
      <c r="BJ81" s="489"/>
      <c r="BK81" s="490"/>
      <c r="BL81" s="489"/>
    </row>
    <row r="82" spans="1:64" ht="15" x14ac:dyDescent="0.25">
      <c r="A82" s="543" t="s">
        <v>355</v>
      </c>
      <c r="B82" s="544"/>
      <c r="C82" s="544"/>
      <c r="D82" s="544" t="s">
        <v>354</v>
      </c>
      <c r="E82" s="544"/>
      <c r="F82" s="544"/>
      <c r="G82" s="57" t="str">
        <f>IF(G77=3,D82,"")</f>
        <v/>
      </c>
      <c r="H82" s="58" t="str">
        <f>IF(H77=3,A82,"")</f>
        <v/>
      </c>
      <c r="T82" s="562">
        <v>6</v>
      </c>
      <c r="U82" s="563"/>
      <c r="V82" s="562" t="s">
        <v>325</v>
      </c>
      <c r="W82" s="564"/>
      <c r="X82" s="564"/>
      <c r="Y82" s="563"/>
      <c r="Z82" s="43" t="s">
        <v>324</v>
      </c>
      <c r="AA82" s="44" t="str">
        <f>IF(Z82=AF77,AB82,"")</f>
        <v/>
      </c>
      <c r="AB82" s="44" t="s">
        <v>308</v>
      </c>
      <c r="AC82" s="565">
        <v>1940</v>
      </c>
      <c r="AD82" s="564"/>
      <c r="AE82" s="566"/>
      <c r="AF82" s="44" t="str">
        <f>IF(AC82=YEAR(T75),AG82,"")</f>
        <v/>
      </c>
      <c r="AG82" s="44" t="s">
        <v>313</v>
      </c>
      <c r="AH82" s="565">
        <v>2040</v>
      </c>
      <c r="AI82" s="564"/>
      <c r="AJ82" s="566"/>
      <c r="AK82" s="44" t="str">
        <f>IF(AH82=YEAR(T75),AL82,"")</f>
        <v/>
      </c>
      <c r="AL82" s="45" t="s">
        <v>313</v>
      </c>
      <c r="AP82" s="534"/>
      <c r="AQ82" s="534"/>
      <c r="AR82" s="534"/>
      <c r="AS82" s="534"/>
      <c r="AT82" s="534"/>
      <c r="AU82" s="534"/>
      <c r="AV82" s="534"/>
      <c r="AW82" s="500"/>
      <c r="AX82" s="500"/>
      <c r="AY82" s="374"/>
      <c r="BC82" s="535"/>
      <c r="BD82" s="535"/>
      <c r="BE82" s="535"/>
      <c r="BF82" s="535"/>
      <c r="BG82" s="535"/>
      <c r="BH82" s="535"/>
      <c r="BI82" s="535"/>
      <c r="BJ82" s="489"/>
      <c r="BK82" s="490"/>
      <c r="BL82" s="489"/>
    </row>
    <row r="83" spans="1:64" ht="15" x14ac:dyDescent="0.25">
      <c r="A83" s="543" t="s">
        <v>353</v>
      </c>
      <c r="B83" s="544"/>
      <c r="C83" s="544"/>
      <c r="D83" s="544" t="s">
        <v>352</v>
      </c>
      <c r="E83" s="544"/>
      <c r="F83" s="544"/>
      <c r="G83" s="57" t="str">
        <f>IF(G77=4,D83,"")</f>
        <v/>
      </c>
      <c r="H83" s="58" t="str">
        <f>IF(H77=4,A83,"")</f>
        <v/>
      </c>
      <c r="T83" s="562">
        <v>7</v>
      </c>
      <c r="U83" s="563"/>
      <c r="V83" s="562" t="s">
        <v>323</v>
      </c>
      <c r="W83" s="564"/>
      <c r="X83" s="564"/>
      <c r="Y83" s="563"/>
      <c r="Z83" s="43" t="s">
        <v>322</v>
      </c>
      <c r="AA83" s="44" t="str">
        <f>IF(Z83=AF77,AB83,"")</f>
        <v/>
      </c>
      <c r="AB83" s="44" t="s">
        <v>308</v>
      </c>
      <c r="AC83" s="565">
        <v>1950</v>
      </c>
      <c r="AD83" s="564"/>
      <c r="AE83" s="566"/>
      <c r="AF83" s="44" t="str">
        <f>IF(AC83=YEAR(T75),AG83,"")</f>
        <v/>
      </c>
      <c r="AG83" s="44" t="s">
        <v>309</v>
      </c>
      <c r="AH83" s="565">
        <v>2050</v>
      </c>
      <c r="AI83" s="564"/>
      <c r="AJ83" s="566"/>
      <c r="AK83" s="44" t="str">
        <f>IF(AH83=YEAR(T75),AL83,"")</f>
        <v/>
      </c>
      <c r="AL83" s="45" t="s">
        <v>309</v>
      </c>
      <c r="AP83" s="534"/>
      <c r="AQ83" s="534"/>
      <c r="AR83" s="534"/>
      <c r="AS83" s="534"/>
      <c r="AT83" s="534"/>
      <c r="AU83" s="534"/>
      <c r="AV83" s="534"/>
      <c r="AW83" s="500"/>
      <c r="AX83" s="500"/>
      <c r="AY83" s="374"/>
      <c r="BC83" s="535"/>
      <c r="BD83" s="535"/>
      <c r="BE83" s="535"/>
      <c r="BF83" s="535"/>
      <c r="BG83" s="535"/>
      <c r="BH83" s="535"/>
      <c r="BI83" s="535"/>
      <c r="BJ83" s="489"/>
      <c r="BK83" s="490"/>
      <c r="BL83" s="489"/>
    </row>
    <row r="84" spans="1:64" ht="15" x14ac:dyDescent="0.25">
      <c r="A84" s="543" t="s">
        <v>351</v>
      </c>
      <c r="B84" s="544"/>
      <c r="C84" s="544"/>
      <c r="D84" s="544" t="s">
        <v>350</v>
      </c>
      <c r="E84" s="544"/>
      <c r="F84" s="544"/>
      <c r="G84" s="57" t="str">
        <f>IF(G77=5,D84,"")</f>
        <v/>
      </c>
      <c r="H84" s="58" t="str">
        <f>IF(H77=5,A84,"")</f>
        <v>beş</v>
      </c>
      <c r="T84" s="562">
        <v>8</v>
      </c>
      <c r="U84" s="563"/>
      <c r="V84" s="562" t="s">
        <v>321</v>
      </c>
      <c r="W84" s="564"/>
      <c r="X84" s="564"/>
      <c r="Y84" s="563"/>
      <c r="Z84" s="43" t="s">
        <v>320</v>
      </c>
      <c r="AA84" s="44" t="str">
        <f>IF(Z84=AF77,AB84,"")</f>
        <v/>
      </c>
      <c r="AB84" s="44" t="s">
        <v>309</v>
      </c>
      <c r="AC84" s="565">
        <v>1960</v>
      </c>
      <c r="AD84" s="564"/>
      <c r="AE84" s="566"/>
      <c r="AF84" s="44" t="str">
        <f>IF(AC84=YEAR(T75),AG84,"")</f>
        <v/>
      </c>
      <c r="AG84" s="44" t="s">
        <v>313</v>
      </c>
      <c r="AH84" s="565">
        <v>2060</v>
      </c>
      <c r="AI84" s="564"/>
      <c r="AJ84" s="566"/>
      <c r="AK84" s="44" t="str">
        <f>IF(AH84=YEAR(T75),AL84,"")</f>
        <v/>
      </c>
      <c r="AL84" s="45" t="s">
        <v>313</v>
      </c>
      <c r="AP84" s="534"/>
      <c r="AQ84" s="534"/>
      <c r="AR84" s="534"/>
      <c r="AS84" s="534"/>
      <c r="AT84" s="534"/>
      <c r="AU84" s="534"/>
      <c r="AV84" s="534"/>
      <c r="AW84" s="500"/>
      <c r="AX84" s="500"/>
      <c r="AY84" s="374"/>
      <c r="BC84" s="535"/>
      <c r="BD84" s="535"/>
      <c r="BE84" s="535"/>
      <c r="BF84" s="535"/>
      <c r="BG84" s="535"/>
      <c r="BH84" s="535"/>
      <c r="BI84" s="535"/>
      <c r="BJ84" s="489"/>
      <c r="BK84" s="490"/>
      <c r="BL84" s="489"/>
    </row>
    <row r="85" spans="1:64" ht="15" x14ac:dyDescent="0.25">
      <c r="A85" s="543" t="s">
        <v>349</v>
      </c>
      <c r="B85" s="544"/>
      <c r="C85" s="544"/>
      <c r="D85" s="544" t="s">
        <v>348</v>
      </c>
      <c r="E85" s="544"/>
      <c r="F85" s="544"/>
      <c r="G85" s="57" t="str">
        <f>IF(G77=6,D85,"")</f>
        <v/>
      </c>
      <c r="H85" s="58" t="str">
        <f>IF(H77=6,A85,"")</f>
        <v/>
      </c>
      <c r="T85" s="562">
        <v>9</v>
      </c>
      <c r="U85" s="563"/>
      <c r="V85" s="562" t="s">
        <v>319</v>
      </c>
      <c r="W85" s="564"/>
      <c r="X85" s="564"/>
      <c r="Y85" s="563"/>
      <c r="Z85" s="43" t="s">
        <v>318</v>
      </c>
      <c r="AA85" s="44" t="str">
        <f>IF(Z85=AF77,AB85,"")</f>
        <v/>
      </c>
      <c r="AB85" s="44" t="s">
        <v>313</v>
      </c>
      <c r="AC85" s="565">
        <v>1970</v>
      </c>
      <c r="AD85" s="564"/>
      <c r="AE85" s="566"/>
      <c r="AF85" s="44" t="str">
        <f>IF(AC85=YEAR(T75),AG85,"")</f>
        <v/>
      </c>
      <c r="AG85" s="44" t="s">
        <v>309</v>
      </c>
      <c r="AH85" s="565">
        <v>2070</v>
      </c>
      <c r="AI85" s="564"/>
      <c r="AJ85" s="566"/>
      <c r="AK85" s="44" t="str">
        <f>IF(AH85=YEAR(T75),AL85,"")</f>
        <v/>
      </c>
      <c r="AL85" s="45" t="s">
        <v>309</v>
      </c>
      <c r="AP85" s="534"/>
      <c r="AQ85" s="534"/>
      <c r="AR85" s="534"/>
      <c r="AS85" s="534"/>
      <c r="AT85" s="534"/>
      <c r="AU85" s="534"/>
      <c r="AV85" s="534"/>
      <c r="AW85" s="500"/>
      <c r="AX85" s="500"/>
      <c r="AY85" s="374"/>
      <c r="BC85" s="535"/>
      <c r="BD85" s="535"/>
      <c r="BE85" s="535"/>
      <c r="BF85" s="535"/>
      <c r="BG85" s="535"/>
      <c r="BH85" s="535"/>
      <c r="BI85" s="535"/>
      <c r="BJ85" s="489"/>
      <c r="BK85" s="490"/>
      <c r="BL85" s="489"/>
    </row>
    <row r="86" spans="1:64" ht="15" x14ac:dyDescent="0.25">
      <c r="A86" s="543" t="s">
        <v>347</v>
      </c>
      <c r="B86" s="544"/>
      <c r="C86" s="544"/>
      <c r="D86" s="544" t="s">
        <v>346</v>
      </c>
      <c r="E86" s="544"/>
      <c r="F86" s="544"/>
      <c r="G86" s="57" t="str">
        <f>IF(G77=7,D86,"")</f>
        <v/>
      </c>
      <c r="H86" s="58" t="str">
        <f>IF(H77=7,A86,"")</f>
        <v/>
      </c>
      <c r="T86" s="562">
        <v>10</v>
      </c>
      <c r="U86" s="563"/>
      <c r="V86" s="562" t="s">
        <v>317</v>
      </c>
      <c r="W86" s="564"/>
      <c r="X86" s="564"/>
      <c r="Y86" s="563"/>
      <c r="Z86" s="43" t="s">
        <v>316</v>
      </c>
      <c r="AA86" s="44" t="str">
        <f>IF(Z86=AF77,AB86,"")</f>
        <v/>
      </c>
      <c r="AB86" s="44" t="s">
        <v>309</v>
      </c>
      <c r="AC86" s="565">
        <v>1980</v>
      </c>
      <c r="AD86" s="564"/>
      <c r="AE86" s="566"/>
      <c r="AF86" s="44" t="str">
        <f>IF(AC86=YEAR(T75),AG86,"")</f>
        <v/>
      </c>
      <c r="AG86" s="44" t="s">
        <v>309</v>
      </c>
      <c r="AH86" s="565">
        <v>2080</v>
      </c>
      <c r="AI86" s="564"/>
      <c r="AJ86" s="566"/>
      <c r="AK86" s="44" t="str">
        <f>IF(AH86=YEAR(T75),AL86,"")</f>
        <v/>
      </c>
      <c r="AL86" s="45" t="s">
        <v>309</v>
      </c>
      <c r="AP86" s="534"/>
      <c r="AQ86" s="534"/>
      <c r="AR86" s="534"/>
      <c r="AS86" s="534"/>
      <c r="AT86" s="534"/>
      <c r="AU86" s="534"/>
      <c r="AV86" s="534"/>
      <c r="AW86" s="500"/>
      <c r="AX86" s="500"/>
      <c r="AY86" s="374"/>
      <c r="BC86" s="535"/>
      <c r="BD86" s="535"/>
      <c r="BE86" s="535"/>
      <c r="BF86" s="535"/>
      <c r="BG86" s="535"/>
      <c r="BH86" s="535"/>
      <c r="BI86" s="535"/>
      <c r="BJ86" s="489"/>
      <c r="BK86" s="490"/>
      <c r="BL86" s="489"/>
    </row>
    <row r="87" spans="1:64" ht="15" x14ac:dyDescent="0.25">
      <c r="A87" s="543" t="s">
        <v>345</v>
      </c>
      <c r="B87" s="544"/>
      <c r="C87" s="544"/>
      <c r="D87" s="544" t="s">
        <v>344</v>
      </c>
      <c r="E87" s="544"/>
      <c r="F87" s="544"/>
      <c r="G87" s="57" t="str">
        <f>IF(G77=8,D87,"")</f>
        <v/>
      </c>
      <c r="H87" s="58" t="str">
        <f>IF(H77=8,A87,"")</f>
        <v/>
      </c>
      <c r="T87" s="562">
        <v>11</v>
      </c>
      <c r="U87" s="563"/>
      <c r="V87" s="562" t="s">
        <v>315</v>
      </c>
      <c r="W87" s="564"/>
      <c r="X87" s="564"/>
      <c r="Y87" s="563"/>
      <c r="Z87" s="43" t="s">
        <v>314</v>
      </c>
      <c r="AA87" s="44" t="str">
        <f>IF(Z87=AF77,AB87,"")</f>
        <v/>
      </c>
      <c r="AB87" s="44" t="s">
        <v>309</v>
      </c>
      <c r="AC87" s="565">
        <v>1990</v>
      </c>
      <c r="AD87" s="564"/>
      <c r="AE87" s="566"/>
      <c r="AF87" s="44" t="str">
        <f>IF(AC87=YEAR(T75),AG87,"")</f>
        <v/>
      </c>
      <c r="AG87" s="44" t="s">
        <v>309</v>
      </c>
      <c r="AH87" s="565">
        <v>2090</v>
      </c>
      <c r="AI87" s="564"/>
      <c r="AJ87" s="566"/>
      <c r="AK87" s="44" t="str">
        <f>IF(AH87=YEAR(T75),AL87,"")</f>
        <v/>
      </c>
      <c r="AL87" s="45" t="s">
        <v>313</v>
      </c>
      <c r="AP87" s="534"/>
      <c r="AQ87" s="534"/>
      <c r="AR87" s="534"/>
      <c r="AS87" s="534"/>
      <c r="AT87" s="534"/>
      <c r="AU87" s="534"/>
      <c r="AV87" s="534"/>
      <c r="AW87" s="500"/>
      <c r="AX87" s="500"/>
      <c r="AY87" s="374"/>
      <c r="BC87" s="535"/>
      <c r="BD87" s="535"/>
      <c r="BE87" s="535"/>
      <c r="BF87" s="535"/>
      <c r="BG87" s="535"/>
      <c r="BH87" s="535"/>
      <c r="BI87" s="535"/>
      <c r="BJ87" s="489"/>
      <c r="BK87" s="490"/>
      <c r="BL87" s="489"/>
    </row>
    <row r="88" spans="1:64" ht="15" x14ac:dyDescent="0.25">
      <c r="A88" s="546" t="s">
        <v>343</v>
      </c>
      <c r="B88" s="547"/>
      <c r="C88" s="547"/>
      <c r="D88" s="547" t="s">
        <v>342</v>
      </c>
      <c r="E88" s="547"/>
      <c r="F88" s="547"/>
      <c r="G88" s="60" t="str">
        <f>IF(G77=9,D88,"")</f>
        <v/>
      </c>
      <c r="H88" s="61" t="str">
        <f>IF(H77=9,A88,"")</f>
        <v/>
      </c>
      <c r="T88" s="567">
        <v>12</v>
      </c>
      <c r="U88" s="568"/>
      <c r="V88" s="567" t="s">
        <v>312</v>
      </c>
      <c r="W88" s="569"/>
      <c r="X88" s="569"/>
      <c r="Y88" s="568"/>
      <c r="Z88" s="46" t="s">
        <v>311</v>
      </c>
      <c r="AA88" s="47" t="str">
        <f>IF(Z88=AF77,AB88,"")</f>
        <v/>
      </c>
      <c r="AB88" s="47" t="s">
        <v>310</v>
      </c>
      <c r="AC88" s="569">
        <v>2000</v>
      </c>
      <c r="AD88" s="569"/>
      <c r="AE88" s="569"/>
      <c r="AF88" s="47" t="str">
        <f>IF(AC88=YEAR(T75),AG88,"")</f>
        <v/>
      </c>
      <c r="AG88" s="44" t="s">
        <v>309</v>
      </c>
      <c r="AH88" s="569">
        <v>2100</v>
      </c>
      <c r="AI88" s="569"/>
      <c r="AJ88" s="569"/>
      <c r="AK88" s="47" t="str">
        <f>IF(AH88=YEAR(T75),AL88,"")</f>
        <v/>
      </c>
      <c r="AL88" s="48" t="s">
        <v>308</v>
      </c>
      <c r="AP88" s="534"/>
      <c r="AQ88" s="534"/>
      <c r="AR88" s="534"/>
      <c r="AS88" s="534"/>
      <c r="AT88" s="534"/>
      <c r="AU88" s="534"/>
      <c r="AV88" s="534"/>
      <c r="AW88" s="500"/>
      <c r="AX88" s="500"/>
      <c r="AY88" s="374"/>
      <c r="BC88" s="535"/>
      <c r="BD88" s="535"/>
      <c r="BE88" s="535"/>
      <c r="BF88" s="535"/>
      <c r="BG88" s="535"/>
      <c r="BH88" s="535"/>
      <c r="BI88" s="535"/>
      <c r="BJ88" s="489"/>
      <c r="BK88" s="490"/>
      <c r="BL88" s="489"/>
    </row>
    <row r="89" spans="1:64" ht="15" x14ac:dyDescent="0.25">
      <c r="A89" s="589">
        <f>INT(A77)</f>
        <v>5</v>
      </c>
      <c r="B89" s="590"/>
      <c r="C89" s="590"/>
      <c r="D89" s="590"/>
      <c r="E89" s="590"/>
      <c r="F89" s="591"/>
      <c r="G89" s="54" t="str">
        <f>G80 &amp;G81  &amp; G82 &amp; G83 &amp; G84 &amp; G85  &amp; G86  &amp; G87 &amp; G88</f>
        <v/>
      </c>
      <c r="H89" s="55" t="str">
        <f>H80 &amp;H81  &amp; H82 &amp; H83 &amp; H84 &amp; H85  &amp; H86  &amp; H87 &amp; H88</f>
        <v>beş</v>
      </c>
      <c r="T89" s="41" t="s">
        <v>494</v>
      </c>
      <c r="AP89" s="534"/>
      <c r="AQ89" s="534"/>
      <c r="AR89" s="534"/>
      <c r="AS89" s="534"/>
      <c r="AT89" s="534"/>
      <c r="AU89" s="534"/>
      <c r="AV89" s="534"/>
      <c r="AW89" s="500"/>
      <c r="AX89" s="500"/>
      <c r="AY89" s="374"/>
      <c r="BC89" s="535"/>
      <c r="BD89" s="535"/>
      <c r="BE89" s="535"/>
      <c r="BF89" s="535"/>
      <c r="BG89" s="535"/>
      <c r="BH89" s="535"/>
      <c r="BI89" s="535"/>
      <c r="BJ89" s="489"/>
      <c r="BK89" s="490"/>
      <c r="BL89" s="489"/>
    </row>
    <row r="90" spans="1:64" ht="15" x14ac:dyDescent="0.25">
      <c r="E90" s="60" t="str">
        <f>G90</f>
        <v/>
      </c>
      <c r="F90" s="61" t="str">
        <f>H90</f>
        <v xml:space="preserve">beş </v>
      </c>
      <c r="G90" s="57" t="str">
        <f>IF(G89="","",G89&amp; " ")</f>
        <v/>
      </c>
      <c r="H90" s="58" t="str">
        <f>IF(H89="","",H89&amp; " ")</f>
        <v xml:space="preserve">beş </v>
      </c>
      <c r="T90" s="578">
        <f>T.Data!G49</f>
        <v>0</v>
      </c>
      <c r="U90" s="579"/>
      <c r="V90" s="579"/>
      <c r="W90" s="579"/>
      <c r="X90" s="579"/>
      <c r="Y90" s="580"/>
      <c r="Z90" s="581" t="str">
        <f>T91&amp;" "&amp;V91&amp;" "&amp;Z91&amp; " il"</f>
        <v>«00» Yanvar 1900- il</v>
      </c>
      <c r="AA90" s="582"/>
      <c r="AB90" s="582"/>
      <c r="AC90" s="582"/>
      <c r="AD90" s="582"/>
      <c r="AE90" s="582"/>
      <c r="AF90" s="582"/>
      <c r="AG90" s="582"/>
      <c r="AH90" s="582"/>
      <c r="AI90" s="582"/>
      <c r="AJ90" s="582"/>
      <c r="AK90" s="582"/>
      <c r="AL90" s="583"/>
      <c r="AP90" s="534"/>
      <c r="AQ90" s="534"/>
      <c r="AR90" s="534"/>
      <c r="AS90" s="534"/>
      <c r="AT90" s="534"/>
      <c r="AU90" s="534"/>
      <c r="AV90" s="534"/>
      <c r="AW90" s="500"/>
      <c r="AX90" s="500"/>
      <c r="AY90" s="374"/>
      <c r="BC90" s="535"/>
      <c r="BD90" s="535"/>
      <c r="BE90" s="535"/>
      <c r="BF90" s="535"/>
      <c r="BG90" s="535"/>
      <c r="BH90" s="535"/>
      <c r="BI90" s="535"/>
      <c r="BJ90" s="489"/>
      <c r="BK90" s="490"/>
      <c r="BL90" s="489"/>
    </row>
    <row r="91" spans="1:64" ht="15" x14ac:dyDescent="0.25">
      <c r="A91" s="41" t="s">
        <v>583</v>
      </c>
      <c r="T91" s="584" t="str">
        <f>IF(DAY(T90)&lt;10,"«0" &amp; DAY(T90) &amp; "»","«" &amp; DAY(T90) &amp; "»")</f>
        <v>«00»</v>
      </c>
      <c r="U91" s="585"/>
      <c r="V91" s="584" t="str">
        <f>INDEX(V92:V103,MATCH(MONTH(T90),T92:T103,0))</f>
        <v>Yanvar</v>
      </c>
      <c r="W91" s="576"/>
      <c r="X91" s="576"/>
      <c r="Y91" s="585"/>
      <c r="Z91" s="584" t="str">
        <f>YEAR(T90)&amp;"-"&amp;AA94&amp;AA95&amp;AA96&amp;AA97&amp;AA98&amp;AA99&amp;AA100&amp;AA101&amp;AA102&amp;AA103</f>
        <v>1900-</v>
      </c>
      <c r="AA91" s="576"/>
      <c r="AB91" s="576"/>
      <c r="AC91" s="576"/>
      <c r="AD91" s="576"/>
      <c r="AE91" s="576"/>
      <c r="AF91" s="576"/>
      <c r="AG91" s="576"/>
      <c r="AH91" s="576"/>
      <c r="AI91" s="576"/>
      <c r="AJ91" s="576"/>
      <c r="AK91" s="576"/>
      <c r="AL91" s="585"/>
      <c r="AP91" s="534"/>
      <c r="AQ91" s="534"/>
      <c r="AR91" s="534"/>
      <c r="AS91" s="534"/>
      <c r="AT91" s="534"/>
      <c r="AU91" s="534"/>
      <c r="AV91" s="534"/>
      <c r="AW91" s="500"/>
      <c r="AX91" s="500"/>
      <c r="AY91" s="374"/>
      <c r="BC91" s="535"/>
      <c r="BD91" s="535"/>
      <c r="BE91" s="535"/>
      <c r="BF91" s="535"/>
      <c r="BG91" s="535"/>
      <c r="BH91" s="535"/>
      <c r="BI91" s="535"/>
      <c r="BJ91" s="489"/>
      <c r="BK91" s="490"/>
      <c r="BL91" s="489"/>
    </row>
    <row r="92" spans="1:64" ht="15" x14ac:dyDescent="0.25">
      <c r="A92" s="552">
        <f>KH</f>
        <v>1</v>
      </c>
      <c r="B92" s="553"/>
      <c r="C92" s="553"/>
      <c r="D92" s="553"/>
      <c r="E92" s="553"/>
      <c r="F92" s="554"/>
      <c r="G92" s="65">
        <f>INT(RIGHT(A104,2)/10)</f>
        <v>0</v>
      </c>
      <c r="H92" s="52">
        <f>INT(RIGHT(A104,1))</f>
        <v>1</v>
      </c>
      <c r="T92" s="562">
        <v>1</v>
      </c>
      <c r="U92" s="563"/>
      <c r="V92" s="562" t="s">
        <v>333</v>
      </c>
      <c r="W92" s="564"/>
      <c r="X92" s="564"/>
      <c r="Y92" s="563"/>
      <c r="Z92" s="586" t="str">
        <f>RIGHT(YEAR(T90),1)</f>
        <v>0</v>
      </c>
      <c r="AA92" s="587"/>
      <c r="AB92" s="587"/>
      <c r="AC92" s="587"/>
      <c r="AD92" s="587"/>
      <c r="AE92" s="588"/>
      <c r="AF92" s="586" t="str">
        <f>TEXT(Z92,"0")</f>
        <v>0</v>
      </c>
      <c r="AG92" s="587"/>
      <c r="AH92" s="587"/>
      <c r="AI92" s="587"/>
      <c r="AJ92" s="587"/>
      <c r="AK92" s="587"/>
      <c r="AL92" s="588"/>
      <c r="AP92" s="534"/>
      <c r="AQ92" s="534"/>
      <c r="AR92" s="534"/>
      <c r="AS92" s="534"/>
      <c r="AT92" s="534"/>
      <c r="AU92" s="534"/>
      <c r="AV92" s="534"/>
      <c r="AW92" s="500"/>
      <c r="AX92" s="500"/>
      <c r="AY92" s="374"/>
      <c r="BC92" s="535"/>
      <c r="BD92" s="535"/>
      <c r="BE92" s="535"/>
      <c r="BF92" s="535"/>
      <c r="BG92" s="535"/>
      <c r="BH92" s="535"/>
      <c r="BI92" s="535"/>
      <c r="BJ92" s="489"/>
      <c r="BK92" s="490"/>
      <c r="BL92" s="489"/>
    </row>
    <row r="93" spans="1:64" ht="15" x14ac:dyDescent="0.25">
      <c r="A93" s="592" t="str">
        <f>IF(A104=0,"sıfır",E105 &amp;F105 )</f>
        <v xml:space="preserve">bir </v>
      </c>
      <c r="B93" s="592"/>
      <c r="C93" s="592"/>
      <c r="D93" s="592"/>
      <c r="E93" s="592"/>
      <c r="F93" s="592"/>
      <c r="G93" s="592"/>
      <c r="H93" s="592"/>
      <c r="T93" s="562">
        <v>2</v>
      </c>
      <c r="U93" s="563"/>
      <c r="V93" s="562" t="s">
        <v>332</v>
      </c>
      <c r="W93" s="564"/>
      <c r="X93" s="564"/>
      <c r="Y93" s="563"/>
      <c r="Z93" s="572" t="str">
        <f>IF(DAY(T90)&lt;10,"0" &amp; DAY(T90) &amp; ".", DAY(T90) &amp; ".") &amp; IF( MONTH(T90)&lt;10,"0" &amp;  MONTH(T90) &amp; ".",  MONTH(T90) &amp; ".") &amp; Z91 &amp; " il"</f>
        <v>00.01.1900- il</v>
      </c>
      <c r="AA93" s="573"/>
      <c r="AB93" s="573"/>
      <c r="AC93" s="573"/>
      <c r="AD93" s="573"/>
      <c r="AE93" s="573"/>
      <c r="AF93" s="573"/>
      <c r="AG93" s="573"/>
      <c r="AH93" s="573"/>
      <c r="AI93" s="573"/>
      <c r="AJ93" s="573"/>
      <c r="AK93" s="573"/>
      <c r="AL93" s="574"/>
      <c r="AP93" s="534"/>
      <c r="AQ93" s="534"/>
      <c r="AR93" s="534"/>
      <c r="AS93" s="534"/>
      <c r="AT93" s="534"/>
      <c r="AU93" s="534"/>
      <c r="AV93" s="534"/>
      <c r="AW93" s="500"/>
      <c r="AX93" s="500"/>
      <c r="AY93" s="374"/>
      <c r="BC93" s="535"/>
      <c r="BD93" s="535"/>
      <c r="BE93" s="535"/>
      <c r="BF93" s="535"/>
      <c r="BG93" s="535"/>
      <c r="BH93" s="535"/>
      <c r="BI93" s="535"/>
      <c r="BJ93" s="489"/>
      <c r="BK93" s="490"/>
      <c r="BL93" s="489"/>
    </row>
    <row r="94" spans="1:64" ht="15" x14ac:dyDescent="0.25">
      <c r="A94" s="592" t="str">
        <f>UPPER(LEFT(A93,1))&amp;RIGHT(A93,LEN(A93)-1)</f>
        <v xml:space="preserve">Bir </v>
      </c>
      <c r="B94" s="592"/>
      <c r="C94" s="592"/>
      <c r="D94" s="592"/>
      <c r="E94" s="592"/>
      <c r="F94" s="592"/>
      <c r="G94" s="592"/>
      <c r="H94" s="592"/>
      <c r="T94" s="562">
        <v>3</v>
      </c>
      <c r="U94" s="563"/>
      <c r="V94" s="562" t="s">
        <v>331</v>
      </c>
      <c r="W94" s="564"/>
      <c r="X94" s="564"/>
      <c r="Y94" s="563"/>
      <c r="Z94" s="43" t="s">
        <v>330</v>
      </c>
      <c r="AA94" s="44" t="str">
        <f>IF(Z94=AF92,AB94,"")</f>
        <v/>
      </c>
      <c r="AB94" s="44" t="str">
        <f>AF94&amp;AF95&amp;AF96&amp;AF97&amp;AF98&amp;AF99&amp;AF100&amp;AF101&amp;AF102&amp;AF103&amp;AK94&amp;AK95&amp;AK96&amp;AK97&amp;AK98&amp;AK99&amp;AK100&amp;AK101&amp;AK102&amp;AK103</f>
        <v/>
      </c>
      <c r="AC94" s="575">
        <v>1910</v>
      </c>
      <c r="AD94" s="576"/>
      <c r="AE94" s="577"/>
      <c r="AF94" s="44" t="str">
        <f>IF(AC94=YEAR(T90),AG94,"")</f>
        <v/>
      </c>
      <c r="AG94" s="44" t="s">
        <v>310</v>
      </c>
      <c r="AH94" s="575">
        <v>2010</v>
      </c>
      <c r="AI94" s="576"/>
      <c r="AJ94" s="577"/>
      <c r="AK94" s="44" t="str">
        <f>IF(AH94=YEAR(T90),AL94,"")</f>
        <v/>
      </c>
      <c r="AL94" s="45" t="s">
        <v>310</v>
      </c>
      <c r="AP94" s="534"/>
      <c r="AQ94" s="534"/>
      <c r="AR94" s="534"/>
      <c r="AS94" s="534"/>
      <c r="AT94" s="534"/>
      <c r="AU94" s="534"/>
      <c r="AV94" s="534"/>
      <c r="AW94" s="500"/>
      <c r="AX94" s="500"/>
      <c r="AY94" s="374"/>
      <c r="BC94" s="535"/>
      <c r="BD94" s="535"/>
      <c r="BE94" s="535"/>
      <c r="BF94" s="535"/>
      <c r="BG94" s="535"/>
      <c r="BH94" s="535"/>
      <c r="BI94" s="535"/>
      <c r="BJ94" s="489"/>
      <c r="BK94" s="490"/>
      <c r="BL94" s="489"/>
    </row>
    <row r="95" spans="1:64" ht="15" x14ac:dyDescent="0.25">
      <c r="A95" s="559" t="s">
        <v>359</v>
      </c>
      <c r="B95" s="560"/>
      <c r="C95" s="560"/>
      <c r="D95" s="560" t="s">
        <v>358</v>
      </c>
      <c r="E95" s="560"/>
      <c r="F95" s="560"/>
      <c r="G95" s="54" t="str">
        <f>IF(G92=1,D95,"")</f>
        <v/>
      </c>
      <c r="H95" s="55" t="str">
        <f>IF(H92=1,A95,"")</f>
        <v>bir</v>
      </c>
      <c r="T95" s="562">
        <v>4</v>
      </c>
      <c r="U95" s="563"/>
      <c r="V95" s="562" t="s">
        <v>329</v>
      </c>
      <c r="W95" s="564"/>
      <c r="X95" s="564"/>
      <c r="Y95" s="563"/>
      <c r="Z95" s="43" t="s">
        <v>328</v>
      </c>
      <c r="AA95" s="44" t="str">
        <f>IF(Z95=AF92,AB95,"")</f>
        <v/>
      </c>
      <c r="AB95" s="44" t="s">
        <v>309</v>
      </c>
      <c r="AC95" s="565">
        <v>1920</v>
      </c>
      <c r="AD95" s="564"/>
      <c r="AE95" s="566"/>
      <c r="AF95" s="44" t="str">
        <f>IF(AC95=YEAR(T90),AG95,"")</f>
        <v/>
      </c>
      <c r="AG95" s="44" t="s">
        <v>309</v>
      </c>
      <c r="AH95" s="565">
        <v>2020</v>
      </c>
      <c r="AI95" s="564"/>
      <c r="AJ95" s="566"/>
      <c r="AK95" s="44" t="str">
        <f>IF(AH95=YEAR(T90),AL95,"")</f>
        <v/>
      </c>
      <c r="AL95" s="45" t="s">
        <v>309</v>
      </c>
      <c r="AP95" s="534"/>
      <c r="AQ95" s="534"/>
      <c r="AR95" s="534"/>
      <c r="AS95" s="534"/>
      <c r="AT95" s="534"/>
      <c r="AU95" s="534"/>
      <c r="AV95" s="534"/>
      <c r="AW95" s="500"/>
      <c r="AX95" s="500"/>
      <c r="AY95" s="374"/>
      <c r="BC95" s="535"/>
      <c r="BD95" s="535"/>
      <c r="BE95" s="535"/>
      <c r="BF95" s="535"/>
      <c r="BG95" s="535"/>
      <c r="BH95" s="535"/>
      <c r="BI95" s="535"/>
      <c r="BJ95" s="489"/>
      <c r="BK95" s="490"/>
      <c r="BL95" s="489"/>
    </row>
    <row r="96" spans="1:64" ht="15" x14ac:dyDescent="0.25">
      <c r="A96" s="543" t="s">
        <v>357</v>
      </c>
      <c r="B96" s="544"/>
      <c r="C96" s="544"/>
      <c r="D96" s="544" t="s">
        <v>356</v>
      </c>
      <c r="E96" s="544"/>
      <c r="F96" s="544"/>
      <c r="G96" s="57" t="str">
        <f>IF(G92=2,D96,"")</f>
        <v/>
      </c>
      <c r="H96" s="58" t="str">
        <f>IF(H92=2,A96,"")</f>
        <v/>
      </c>
      <c r="T96" s="562">
        <v>5</v>
      </c>
      <c r="U96" s="563"/>
      <c r="V96" s="562" t="s">
        <v>327</v>
      </c>
      <c r="W96" s="564"/>
      <c r="X96" s="564"/>
      <c r="Y96" s="563"/>
      <c r="Z96" s="43" t="s">
        <v>326</v>
      </c>
      <c r="AA96" s="44" t="str">
        <f>IF(Z96=AF92,AB96,"")</f>
        <v/>
      </c>
      <c r="AB96" s="44" t="s">
        <v>309</v>
      </c>
      <c r="AC96" s="565">
        <v>1930</v>
      </c>
      <c r="AD96" s="564"/>
      <c r="AE96" s="566"/>
      <c r="AF96" s="44" t="str">
        <f>IF(AC96=YEAR(T90),AG96,"")</f>
        <v/>
      </c>
      <c r="AG96" s="44" t="s">
        <v>310</v>
      </c>
      <c r="AH96" s="565">
        <v>2030</v>
      </c>
      <c r="AI96" s="564"/>
      <c r="AJ96" s="566"/>
      <c r="AK96" s="44" t="str">
        <f>IF(AH96=YEAR(T90),AL96,"")</f>
        <v/>
      </c>
      <c r="AL96" s="45" t="s">
        <v>310</v>
      </c>
      <c r="AP96" s="534"/>
      <c r="AQ96" s="534"/>
      <c r="AR96" s="534"/>
      <c r="AS96" s="534"/>
      <c r="AT96" s="534"/>
      <c r="AU96" s="534"/>
      <c r="AV96" s="534"/>
      <c r="AW96" s="500"/>
      <c r="AX96" s="500"/>
      <c r="AY96" s="374"/>
      <c r="BC96" s="535"/>
      <c r="BD96" s="535"/>
      <c r="BE96" s="535"/>
      <c r="BF96" s="535"/>
      <c r="BG96" s="535"/>
      <c r="BH96" s="535"/>
      <c r="BI96" s="535"/>
      <c r="BJ96" s="489"/>
      <c r="BK96" s="490"/>
      <c r="BL96" s="489"/>
    </row>
    <row r="97" spans="1:64" ht="15" x14ac:dyDescent="0.25">
      <c r="A97" s="543" t="s">
        <v>355</v>
      </c>
      <c r="B97" s="544"/>
      <c r="C97" s="544"/>
      <c r="D97" s="544" t="s">
        <v>354</v>
      </c>
      <c r="E97" s="544"/>
      <c r="F97" s="544"/>
      <c r="G97" s="57" t="str">
        <f>IF(G92=3,D97,"")</f>
        <v/>
      </c>
      <c r="H97" s="58" t="str">
        <f>IF(H92=3,A97,"")</f>
        <v/>
      </c>
      <c r="T97" s="562">
        <v>6</v>
      </c>
      <c r="U97" s="563"/>
      <c r="V97" s="562" t="s">
        <v>325</v>
      </c>
      <c r="W97" s="564"/>
      <c r="X97" s="564"/>
      <c r="Y97" s="563"/>
      <c r="Z97" s="43" t="s">
        <v>324</v>
      </c>
      <c r="AA97" s="44" t="str">
        <f>IF(Z97=AF92,AB97,"")</f>
        <v/>
      </c>
      <c r="AB97" s="44" t="s">
        <v>308</v>
      </c>
      <c r="AC97" s="565">
        <v>1940</v>
      </c>
      <c r="AD97" s="564"/>
      <c r="AE97" s="566"/>
      <c r="AF97" s="44" t="str">
        <f>IF(AC97=YEAR(T90),AG97,"")</f>
        <v/>
      </c>
      <c r="AG97" s="44" t="s">
        <v>313</v>
      </c>
      <c r="AH97" s="565">
        <v>2040</v>
      </c>
      <c r="AI97" s="564"/>
      <c r="AJ97" s="566"/>
      <c r="AK97" s="44" t="str">
        <f>IF(AH97=YEAR(T90),AL97,"")</f>
        <v/>
      </c>
      <c r="AL97" s="45" t="s">
        <v>313</v>
      </c>
      <c r="AP97" s="534"/>
      <c r="AQ97" s="534"/>
      <c r="AR97" s="534"/>
      <c r="AS97" s="534"/>
      <c r="AT97" s="534"/>
      <c r="AU97" s="534"/>
      <c r="AV97" s="534"/>
      <c r="AW97" s="500"/>
      <c r="AX97" s="500"/>
      <c r="AY97" s="374"/>
      <c r="BC97" s="535"/>
      <c r="BD97" s="535"/>
      <c r="BE97" s="535"/>
      <c r="BF97" s="535"/>
      <c r="BG97" s="535"/>
      <c r="BH97" s="535"/>
      <c r="BI97" s="535"/>
      <c r="BJ97" s="489"/>
      <c r="BK97" s="490"/>
      <c r="BL97" s="489"/>
    </row>
    <row r="98" spans="1:64" ht="15" x14ac:dyDescent="0.25">
      <c r="A98" s="543" t="s">
        <v>353</v>
      </c>
      <c r="B98" s="544"/>
      <c r="C98" s="544"/>
      <c r="D98" s="544" t="s">
        <v>352</v>
      </c>
      <c r="E98" s="544"/>
      <c r="F98" s="544"/>
      <c r="G98" s="57" t="str">
        <f>IF(G92=4,D98,"")</f>
        <v/>
      </c>
      <c r="H98" s="58" t="str">
        <f>IF(H92=4,A98,"")</f>
        <v/>
      </c>
      <c r="T98" s="562">
        <v>7</v>
      </c>
      <c r="U98" s="563"/>
      <c r="V98" s="562" t="s">
        <v>323</v>
      </c>
      <c r="W98" s="564"/>
      <c r="X98" s="564"/>
      <c r="Y98" s="563"/>
      <c r="Z98" s="43" t="s">
        <v>322</v>
      </c>
      <c r="AA98" s="44" t="str">
        <f>IF(Z98=AF92,AB98,"")</f>
        <v/>
      </c>
      <c r="AB98" s="44" t="s">
        <v>308</v>
      </c>
      <c r="AC98" s="565">
        <v>1950</v>
      </c>
      <c r="AD98" s="564"/>
      <c r="AE98" s="566"/>
      <c r="AF98" s="44" t="str">
        <f>IF(AC98=YEAR(T90),AG98,"")</f>
        <v/>
      </c>
      <c r="AG98" s="44" t="s">
        <v>309</v>
      </c>
      <c r="AH98" s="565">
        <v>2050</v>
      </c>
      <c r="AI98" s="564"/>
      <c r="AJ98" s="566"/>
      <c r="AK98" s="44" t="str">
        <f>IF(AH98=YEAR(T90),AL98,"")</f>
        <v/>
      </c>
      <c r="AL98" s="45" t="s">
        <v>309</v>
      </c>
      <c r="AP98" s="534"/>
      <c r="AQ98" s="534"/>
      <c r="AR98" s="534"/>
      <c r="AS98" s="534"/>
      <c r="AT98" s="534"/>
      <c r="AU98" s="534"/>
      <c r="AV98" s="534"/>
      <c r="AW98" s="500"/>
      <c r="AX98" s="500"/>
      <c r="AY98" s="374"/>
      <c r="BC98" s="535"/>
      <c r="BD98" s="535"/>
      <c r="BE98" s="535"/>
      <c r="BF98" s="535"/>
      <c r="BG98" s="535"/>
      <c r="BH98" s="535"/>
      <c r="BI98" s="535"/>
      <c r="BJ98" s="489"/>
      <c r="BK98" s="490"/>
      <c r="BL98" s="489"/>
    </row>
    <row r="99" spans="1:64" ht="15" x14ac:dyDescent="0.25">
      <c r="A99" s="543" t="s">
        <v>351</v>
      </c>
      <c r="B99" s="544"/>
      <c r="C99" s="544"/>
      <c r="D99" s="544" t="s">
        <v>350</v>
      </c>
      <c r="E99" s="544"/>
      <c r="F99" s="544"/>
      <c r="G99" s="57" t="str">
        <f>IF(G92=5,D99,"")</f>
        <v/>
      </c>
      <c r="H99" s="58" t="str">
        <f>IF(H92=5,A99,"")</f>
        <v/>
      </c>
      <c r="T99" s="562">
        <v>8</v>
      </c>
      <c r="U99" s="563"/>
      <c r="V99" s="562" t="s">
        <v>321</v>
      </c>
      <c r="W99" s="564"/>
      <c r="X99" s="564"/>
      <c r="Y99" s="563"/>
      <c r="Z99" s="43" t="s">
        <v>320</v>
      </c>
      <c r="AA99" s="44" t="str">
        <f>IF(Z99=AF92,AB99,"")</f>
        <v/>
      </c>
      <c r="AB99" s="44" t="s">
        <v>309</v>
      </c>
      <c r="AC99" s="565">
        <v>1960</v>
      </c>
      <c r="AD99" s="564"/>
      <c r="AE99" s="566"/>
      <c r="AF99" s="44" t="str">
        <f>IF(AC99=YEAR(T90),AG99,"")</f>
        <v/>
      </c>
      <c r="AG99" s="44" t="s">
        <v>313</v>
      </c>
      <c r="AH99" s="565">
        <v>2060</v>
      </c>
      <c r="AI99" s="564"/>
      <c r="AJ99" s="566"/>
      <c r="AK99" s="44" t="str">
        <f>IF(AH99=YEAR(T90),AL99,"")</f>
        <v/>
      </c>
      <c r="AL99" s="45" t="s">
        <v>313</v>
      </c>
      <c r="AP99" s="534"/>
      <c r="AQ99" s="534"/>
      <c r="AR99" s="534"/>
      <c r="AS99" s="534"/>
      <c r="AT99" s="534"/>
      <c r="AU99" s="534"/>
      <c r="AV99" s="534"/>
      <c r="AW99" s="500"/>
      <c r="AX99" s="500"/>
      <c r="AY99" s="374"/>
      <c r="BC99" s="535"/>
      <c r="BD99" s="535"/>
      <c r="BE99" s="535"/>
      <c r="BF99" s="535"/>
      <c r="BG99" s="535"/>
      <c r="BH99" s="535"/>
      <c r="BI99" s="535"/>
      <c r="BJ99" s="489"/>
      <c r="BK99" s="490"/>
      <c r="BL99" s="489"/>
    </row>
    <row r="100" spans="1:64" ht="15" x14ac:dyDescent="0.25">
      <c r="A100" s="543" t="s">
        <v>349</v>
      </c>
      <c r="B100" s="544"/>
      <c r="C100" s="544"/>
      <c r="D100" s="544" t="s">
        <v>348</v>
      </c>
      <c r="E100" s="544"/>
      <c r="F100" s="544"/>
      <c r="G100" s="57" t="str">
        <f>IF(G92=6,D100,"")</f>
        <v/>
      </c>
      <c r="H100" s="58" t="str">
        <f>IF(H92=6,A100,"")</f>
        <v/>
      </c>
      <c r="T100" s="562">
        <v>9</v>
      </c>
      <c r="U100" s="563"/>
      <c r="V100" s="562" t="s">
        <v>319</v>
      </c>
      <c r="W100" s="564"/>
      <c r="X100" s="564"/>
      <c r="Y100" s="563"/>
      <c r="Z100" s="43" t="s">
        <v>318</v>
      </c>
      <c r="AA100" s="44" t="str">
        <f>IF(Z100=AF92,AB100,"")</f>
        <v/>
      </c>
      <c r="AB100" s="44" t="s">
        <v>313</v>
      </c>
      <c r="AC100" s="565">
        <v>1970</v>
      </c>
      <c r="AD100" s="564"/>
      <c r="AE100" s="566"/>
      <c r="AF100" s="44" t="str">
        <f>IF(AC100=YEAR(T90),AG100,"")</f>
        <v/>
      </c>
      <c r="AG100" s="44" t="s">
        <v>309</v>
      </c>
      <c r="AH100" s="565">
        <v>2070</v>
      </c>
      <c r="AI100" s="564"/>
      <c r="AJ100" s="566"/>
      <c r="AK100" s="44" t="str">
        <f>IF(AH100=YEAR(T90),AL100,"")</f>
        <v/>
      </c>
      <c r="AL100" s="45" t="s">
        <v>309</v>
      </c>
      <c r="AP100" s="534"/>
      <c r="AQ100" s="534"/>
      <c r="AR100" s="534"/>
      <c r="AS100" s="534"/>
      <c r="AT100" s="534"/>
      <c r="AU100" s="534"/>
      <c r="AV100" s="534"/>
      <c r="AW100" s="500"/>
      <c r="AX100" s="500"/>
      <c r="AY100" s="374"/>
      <c r="BC100" s="535"/>
      <c r="BD100" s="535"/>
      <c r="BE100" s="535"/>
      <c r="BF100" s="535"/>
      <c r="BG100" s="535"/>
      <c r="BH100" s="535"/>
      <c r="BI100" s="535"/>
      <c r="BJ100" s="489"/>
      <c r="BK100" s="490"/>
      <c r="BL100" s="489"/>
    </row>
    <row r="101" spans="1:64" ht="15" x14ac:dyDescent="0.25">
      <c r="A101" s="543" t="s">
        <v>347</v>
      </c>
      <c r="B101" s="544"/>
      <c r="C101" s="544"/>
      <c r="D101" s="544" t="s">
        <v>346</v>
      </c>
      <c r="E101" s="544"/>
      <c r="F101" s="544"/>
      <c r="G101" s="57" t="str">
        <f>IF(G92=7,D101,"")</f>
        <v/>
      </c>
      <c r="H101" s="58" t="str">
        <f>IF(H92=7,A101,"")</f>
        <v/>
      </c>
      <c r="T101" s="562">
        <v>10</v>
      </c>
      <c r="U101" s="563"/>
      <c r="V101" s="562" t="s">
        <v>317</v>
      </c>
      <c r="W101" s="564"/>
      <c r="X101" s="564"/>
      <c r="Y101" s="563"/>
      <c r="Z101" s="43" t="s">
        <v>316</v>
      </c>
      <c r="AA101" s="44" t="str">
        <f>IF(Z101=AF92,AB101,"")</f>
        <v/>
      </c>
      <c r="AB101" s="44" t="s">
        <v>309</v>
      </c>
      <c r="AC101" s="565">
        <v>1980</v>
      </c>
      <c r="AD101" s="564"/>
      <c r="AE101" s="566"/>
      <c r="AF101" s="44" t="str">
        <f>IF(AC101=YEAR(T90),AG101,"")</f>
        <v/>
      </c>
      <c r="AG101" s="44" t="s">
        <v>309</v>
      </c>
      <c r="AH101" s="565">
        <v>2080</v>
      </c>
      <c r="AI101" s="564"/>
      <c r="AJ101" s="566"/>
      <c r="AK101" s="44" t="str">
        <f>IF(AH101=YEAR(T90),AL101,"")</f>
        <v/>
      </c>
      <c r="AL101" s="45" t="s">
        <v>309</v>
      </c>
      <c r="AP101" s="534"/>
      <c r="AQ101" s="534"/>
      <c r="AR101" s="534"/>
      <c r="AS101" s="534"/>
      <c r="AT101" s="534"/>
      <c r="AU101" s="534"/>
      <c r="AV101" s="534"/>
      <c r="AW101" s="500"/>
      <c r="AX101" s="500"/>
      <c r="AY101" s="374"/>
      <c r="BC101" s="535"/>
      <c r="BD101" s="535"/>
      <c r="BE101" s="535"/>
      <c r="BF101" s="535"/>
      <c r="BG101" s="535"/>
      <c r="BH101" s="535"/>
      <c r="BI101" s="535"/>
      <c r="BJ101" s="489"/>
      <c r="BK101" s="490"/>
      <c r="BL101" s="489"/>
    </row>
    <row r="102" spans="1:64" ht="15" x14ac:dyDescent="0.25">
      <c r="A102" s="543" t="s">
        <v>345</v>
      </c>
      <c r="B102" s="544"/>
      <c r="C102" s="544"/>
      <c r="D102" s="544" t="s">
        <v>344</v>
      </c>
      <c r="E102" s="544"/>
      <c r="F102" s="544"/>
      <c r="G102" s="57" t="str">
        <f>IF(G92=8,D102,"")</f>
        <v/>
      </c>
      <c r="H102" s="58" t="str">
        <f>IF(H92=8,A102,"")</f>
        <v/>
      </c>
      <c r="T102" s="562">
        <v>11</v>
      </c>
      <c r="U102" s="563"/>
      <c r="V102" s="562" t="s">
        <v>315</v>
      </c>
      <c r="W102" s="564"/>
      <c r="X102" s="564"/>
      <c r="Y102" s="563"/>
      <c r="Z102" s="43" t="s">
        <v>314</v>
      </c>
      <c r="AA102" s="44" t="str">
        <f>IF(Z102=AF92,AB102,"")</f>
        <v/>
      </c>
      <c r="AB102" s="44" t="s">
        <v>309</v>
      </c>
      <c r="AC102" s="565">
        <v>1990</v>
      </c>
      <c r="AD102" s="564"/>
      <c r="AE102" s="566"/>
      <c r="AF102" s="44" t="str">
        <f>IF(AC102=YEAR(T90),AG102,"")</f>
        <v/>
      </c>
      <c r="AG102" s="44" t="s">
        <v>309</v>
      </c>
      <c r="AH102" s="565">
        <v>2090</v>
      </c>
      <c r="AI102" s="564"/>
      <c r="AJ102" s="566"/>
      <c r="AK102" s="44" t="str">
        <f>IF(AH102=YEAR(T90),AL102,"")</f>
        <v/>
      </c>
      <c r="AL102" s="45" t="s">
        <v>313</v>
      </c>
      <c r="AR102" s="535"/>
      <c r="AS102" s="535"/>
      <c r="AT102" s="535"/>
      <c r="AU102" s="535"/>
      <c r="AV102" s="535"/>
      <c r="AW102" s="535"/>
      <c r="AX102" s="535"/>
      <c r="AY102" s="489"/>
      <c r="AZ102" s="490"/>
      <c r="BA102" s="489"/>
    </row>
    <row r="103" spans="1:64" ht="15" x14ac:dyDescent="0.25">
      <c r="A103" s="546" t="s">
        <v>343</v>
      </c>
      <c r="B103" s="547"/>
      <c r="C103" s="547"/>
      <c r="D103" s="547" t="s">
        <v>342</v>
      </c>
      <c r="E103" s="547"/>
      <c r="F103" s="547"/>
      <c r="G103" s="60" t="str">
        <f>IF(G92=9,D103,"")</f>
        <v/>
      </c>
      <c r="H103" s="61" t="str">
        <f>IF(H92=9,A103,"")</f>
        <v/>
      </c>
      <c r="T103" s="567">
        <v>12</v>
      </c>
      <c r="U103" s="568"/>
      <c r="V103" s="567" t="s">
        <v>312</v>
      </c>
      <c r="W103" s="569"/>
      <c r="X103" s="569"/>
      <c r="Y103" s="568"/>
      <c r="Z103" s="46" t="s">
        <v>311</v>
      </c>
      <c r="AA103" s="47" t="str">
        <f>IF(Z103=AF92,AB103,"")</f>
        <v/>
      </c>
      <c r="AB103" s="47" t="s">
        <v>310</v>
      </c>
      <c r="AC103" s="569">
        <v>2000</v>
      </c>
      <c r="AD103" s="569"/>
      <c r="AE103" s="569"/>
      <c r="AF103" s="47" t="str">
        <f>IF(AC103=YEAR(T90),AG103,"")</f>
        <v/>
      </c>
      <c r="AG103" s="44" t="s">
        <v>309</v>
      </c>
      <c r="AH103" s="569">
        <v>2100</v>
      </c>
      <c r="AI103" s="569"/>
      <c r="AJ103" s="569"/>
      <c r="AK103" s="47" t="str">
        <f>IF(AH103=YEAR(T90),AL103,"")</f>
        <v/>
      </c>
      <c r="AL103" s="48" t="s">
        <v>308</v>
      </c>
      <c r="AR103" s="535"/>
      <c r="AS103" s="535"/>
      <c r="AT103" s="535"/>
      <c r="AU103" s="535"/>
      <c r="AV103" s="535"/>
      <c r="AW103" s="535"/>
      <c r="AX103" s="535"/>
      <c r="AY103" s="489"/>
      <c r="AZ103" s="490"/>
      <c r="BA103" s="489"/>
    </row>
    <row r="104" spans="1:64" ht="15" x14ac:dyDescent="0.25">
      <c r="A104" s="589">
        <f>INT(A92)</f>
        <v>1</v>
      </c>
      <c r="B104" s="590"/>
      <c r="C104" s="590"/>
      <c r="D104" s="590"/>
      <c r="E104" s="590"/>
      <c r="F104" s="591"/>
      <c r="G104" s="54" t="str">
        <f>G95 &amp;G96  &amp; G97 &amp; G98 &amp; G99 &amp; G100  &amp; G101  &amp; G102 &amp; G103</f>
        <v/>
      </c>
      <c r="H104" s="55" t="str">
        <f>H95 &amp;H96  &amp; H97 &amp; H98 &amp; H99 &amp; H100  &amp; H101  &amp; H102 &amp; H103</f>
        <v>bir</v>
      </c>
      <c r="AR104" s="535"/>
      <c r="AS104" s="535"/>
      <c r="AT104" s="535"/>
      <c r="AU104" s="535"/>
      <c r="AV104" s="535"/>
      <c r="AW104" s="535"/>
      <c r="AX104" s="535"/>
      <c r="AY104" s="489"/>
      <c r="AZ104" s="490"/>
      <c r="BA104" s="489"/>
    </row>
    <row r="105" spans="1:64" ht="15" x14ac:dyDescent="0.25">
      <c r="E105" s="60" t="str">
        <f>G105</f>
        <v/>
      </c>
      <c r="F105" s="61" t="str">
        <f>H105</f>
        <v xml:space="preserve">bir </v>
      </c>
      <c r="G105" s="57" t="str">
        <f>IF(G104="","",G104&amp; " ")</f>
        <v/>
      </c>
      <c r="H105" s="58" t="str">
        <f>IF(H104="","",H104&amp; " ")</f>
        <v xml:space="preserve">bir </v>
      </c>
      <c r="AR105" s="535"/>
      <c r="AS105" s="535"/>
      <c r="AT105" s="535"/>
      <c r="AU105" s="535"/>
      <c r="AV105" s="535"/>
      <c r="AW105" s="535"/>
      <c r="AX105" s="535"/>
      <c r="AY105" s="489"/>
      <c r="AZ105" s="490"/>
      <c r="BA105" s="489"/>
    </row>
    <row r="106" spans="1:64" ht="15" x14ac:dyDescent="0.25">
      <c r="AR106" s="535"/>
      <c r="AS106" s="535"/>
      <c r="AT106" s="535"/>
      <c r="AU106" s="535"/>
      <c r="AV106" s="535"/>
      <c r="AW106" s="535"/>
      <c r="AX106" s="535"/>
      <c r="AY106" s="489"/>
      <c r="AZ106" s="490"/>
      <c r="BA106" s="489"/>
    </row>
    <row r="107" spans="1:64" ht="15" x14ac:dyDescent="0.25">
      <c r="AR107" s="535"/>
      <c r="AS107" s="535"/>
      <c r="AT107" s="535"/>
      <c r="AU107" s="535"/>
      <c r="AV107" s="535"/>
      <c r="AW107" s="535"/>
      <c r="AX107" s="535"/>
      <c r="AY107" s="489"/>
      <c r="AZ107" s="490"/>
      <c r="BA107" s="489"/>
    </row>
  </sheetData>
  <mergeCells count="825">
    <mergeCell ref="AI22:AQ22"/>
    <mergeCell ref="AI19:AX19"/>
    <mergeCell ref="AI18:AX18"/>
    <mergeCell ref="AR17:AX17"/>
    <mergeCell ref="AO25:AQ25"/>
    <mergeCell ref="AL25:AN25"/>
    <mergeCell ref="AI25:AK25"/>
    <mergeCell ref="AO24:AQ24"/>
    <mergeCell ref="AL24:AN24"/>
    <mergeCell ref="AI24:AK24"/>
    <mergeCell ref="AO23:AQ23"/>
    <mergeCell ref="AL23:AN23"/>
    <mergeCell ref="AI23:AK23"/>
    <mergeCell ref="A103:C103"/>
    <mergeCell ref="D103:F103"/>
    <mergeCell ref="A104:F104"/>
    <mergeCell ref="A100:C100"/>
    <mergeCell ref="D100:F100"/>
    <mergeCell ref="A101:C101"/>
    <mergeCell ref="D101:F101"/>
    <mergeCell ref="A102:C102"/>
    <mergeCell ref="D102:F102"/>
    <mergeCell ref="A98:C98"/>
    <mergeCell ref="D98:F98"/>
    <mergeCell ref="A99:C99"/>
    <mergeCell ref="D99:F99"/>
    <mergeCell ref="A92:F92"/>
    <mergeCell ref="A93:H93"/>
    <mergeCell ref="A94:H94"/>
    <mergeCell ref="A95:C95"/>
    <mergeCell ref="D95:F95"/>
    <mergeCell ref="A96:C96"/>
    <mergeCell ref="D96:F96"/>
    <mergeCell ref="AP60:AV60"/>
    <mergeCell ref="W54:AH54"/>
    <mergeCell ref="W55:AI55"/>
    <mergeCell ref="W56:AI56"/>
    <mergeCell ref="W57:AI57"/>
    <mergeCell ref="AJ55:AP55"/>
    <mergeCell ref="AJ56:AP56"/>
    <mergeCell ref="AP59:AV59"/>
    <mergeCell ref="A97:C97"/>
    <mergeCell ref="D97:F97"/>
    <mergeCell ref="AH96:AJ96"/>
    <mergeCell ref="T93:U93"/>
    <mergeCell ref="V93:Y93"/>
    <mergeCell ref="Z93:AL93"/>
    <mergeCell ref="T94:U94"/>
    <mergeCell ref="V94:Y94"/>
    <mergeCell ref="AC94:AE94"/>
    <mergeCell ref="AH94:AJ94"/>
    <mergeCell ref="T91:U91"/>
    <mergeCell ref="V91:Y91"/>
    <mergeCell ref="Z91:AL91"/>
    <mergeCell ref="T92:U92"/>
    <mergeCell ref="V92:Y92"/>
    <mergeCell ref="Z92:AE92"/>
    <mergeCell ref="T103:U103"/>
    <mergeCell ref="V103:Y103"/>
    <mergeCell ref="AC103:AE103"/>
    <mergeCell ref="AH103:AJ103"/>
    <mergeCell ref="T101:U101"/>
    <mergeCell ref="V101:Y101"/>
    <mergeCell ref="AC101:AE101"/>
    <mergeCell ref="AH101:AJ101"/>
    <mergeCell ref="T102:U102"/>
    <mergeCell ref="V102:Y102"/>
    <mergeCell ref="AC102:AE102"/>
    <mergeCell ref="AH102:AJ102"/>
    <mergeCell ref="T99:U99"/>
    <mergeCell ref="V99:Y99"/>
    <mergeCell ref="AC99:AE99"/>
    <mergeCell ref="AH99:AJ99"/>
    <mergeCell ref="T100:U100"/>
    <mergeCell ref="V100:Y100"/>
    <mergeCell ref="AC100:AE100"/>
    <mergeCell ref="AH100:AJ100"/>
    <mergeCell ref="T97:U97"/>
    <mergeCell ref="V97:Y97"/>
    <mergeCell ref="AC97:AE97"/>
    <mergeCell ref="AH97:AJ97"/>
    <mergeCell ref="T98:U98"/>
    <mergeCell ref="V98:Y98"/>
    <mergeCell ref="AC98:AE98"/>
    <mergeCell ref="AH98:AJ98"/>
    <mergeCell ref="AF92:AL92"/>
    <mergeCell ref="T95:U95"/>
    <mergeCell ref="V95:Y95"/>
    <mergeCell ref="AC95:AE95"/>
    <mergeCell ref="AH95:AJ95"/>
    <mergeCell ref="T96:U96"/>
    <mergeCell ref="V96:Y96"/>
    <mergeCell ref="AC96:AE96"/>
    <mergeCell ref="T88:U88"/>
    <mergeCell ref="V88:Y88"/>
    <mergeCell ref="AC88:AE88"/>
    <mergeCell ref="AH88:AJ88"/>
    <mergeCell ref="T90:Y90"/>
    <mergeCell ref="Z90:AL90"/>
    <mergeCell ref="T86:U86"/>
    <mergeCell ref="V86:Y86"/>
    <mergeCell ref="AC86:AE86"/>
    <mergeCell ref="AH86:AJ86"/>
    <mergeCell ref="T87:U87"/>
    <mergeCell ref="V87:Y87"/>
    <mergeCell ref="AC87:AE87"/>
    <mergeCell ref="AH87:AJ87"/>
    <mergeCell ref="T84:U84"/>
    <mergeCell ref="V84:Y84"/>
    <mergeCell ref="AC84:AE84"/>
    <mergeCell ref="AH84:AJ84"/>
    <mergeCell ref="T85:U85"/>
    <mergeCell ref="V85:Y85"/>
    <mergeCell ref="AC85:AE85"/>
    <mergeCell ref="AH85:AJ85"/>
    <mergeCell ref="T82:U82"/>
    <mergeCell ref="V82:Y82"/>
    <mergeCell ref="AC82:AE82"/>
    <mergeCell ref="AH82:AJ82"/>
    <mergeCell ref="T83:U83"/>
    <mergeCell ref="V83:Y83"/>
    <mergeCell ref="AC83:AE83"/>
    <mergeCell ref="AH83:AJ83"/>
    <mergeCell ref="T80:U80"/>
    <mergeCell ref="V80:Y80"/>
    <mergeCell ref="AC80:AE80"/>
    <mergeCell ref="AH80:AJ80"/>
    <mergeCell ref="T81:U81"/>
    <mergeCell ref="V81:Y81"/>
    <mergeCell ref="AC81:AE81"/>
    <mergeCell ref="AH81:AJ81"/>
    <mergeCell ref="T79:U79"/>
    <mergeCell ref="V79:Y79"/>
    <mergeCell ref="AC79:AE79"/>
    <mergeCell ref="AH79:AJ79"/>
    <mergeCell ref="AC72:AE72"/>
    <mergeCell ref="AH72:AJ72"/>
    <mergeCell ref="A71:B71"/>
    <mergeCell ref="C71:F71"/>
    <mergeCell ref="J71:L71"/>
    <mergeCell ref="O71:Q71"/>
    <mergeCell ref="T71:U71"/>
    <mergeCell ref="V71:Y71"/>
    <mergeCell ref="T78:U78"/>
    <mergeCell ref="V78:Y78"/>
    <mergeCell ref="Z78:AL78"/>
    <mergeCell ref="T75:Y75"/>
    <mergeCell ref="Z75:AL75"/>
    <mergeCell ref="T76:U76"/>
    <mergeCell ref="V76:Y76"/>
    <mergeCell ref="Z76:AL76"/>
    <mergeCell ref="T77:U77"/>
    <mergeCell ref="V77:Y77"/>
    <mergeCell ref="Z77:AE77"/>
    <mergeCell ref="AF77:AL77"/>
    <mergeCell ref="AC70:AE70"/>
    <mergeCell ref="AH70:AJ70"/>
    <mergeCell ref="A73:B73"/>
    <mergeCell ref="C73:F73"/>
    <mergeCell ref="J73:L73"/>
    <mergeCell ref="O73:Q73"/>
    <mergeCell ref="T73:U73"/>
    <mergeCell ref="V73:Y73"/>
    <mergeCell ref="AC73:AE73"/>
    <mergeCell ref="AH73:AJ73"/>
    <mergeCell ref="A70:B70"/>
    <mergeCell ref="C70:F70"/>
    <mergeCell ref="J70:L70"/>
    <mergeCell ref="O70:Q70"/>
    <mergeCell ref="T70:U70"/>
    <mergeCell ref="V70:Y70"/>
    <mergeCell ref="AC71:AE71"/>
    <mergeCell ref="AH71:AJ71"/>
    <mergeCell ref="A72:B72"/>
    <mergeCell ref="C72:F72"/>
    <mergeCell ref="J72:L72"/>
    <mergeCell ref="O72:Q72"/>
    <mergeCell ref="T72:U72"/>
    <mergeCell ref="V72:Y72"/>
    <mergeCell ref="A69:B69"/>
    <mergeCell ref="C69:F69"/>
    <mergeCell ref="J69:L69"/>
    <mergeCell ref="O69:Q69"/>
    <mergeCell ref="T69:U69"/>
    <mergeCell ref="V69:Y69"/>
    <mergeCell ref="AC69:AE69"/>
    <mergeCell ref="AH69:AJ69"/>
    <mergeCell ref="A68:B68"/>
    <mergeCell ref="C68:F68"/>
    <mergeCell ref="J68:L68"/>
    <mergeCell ref="O68:Q68"/>
    <mergeCell ref="T68:U68"/>
    <mergeCell ref="V68:Y68"/>
    <mergeCell ref="A67:B67"/>
    <mergeCell ref="C67:F67"/>
    <mergeCell ref="J67:L67"/>
    <mergeCell ref="O67:Q67"/>
    <mergeCell ref="T67:U67"/>
    <mergeCell ref="V67:Y67"/>
    <mergeCell ref="AC67:AE67"/>
    <mergeCell ref="AH67:AJ67"/>
    <mergeCell ref="AC68:AE68"/>
    <mergeCell ref="AH68:AJ68"/>
    <mergeCell ref="AC64:AE64"/>
    <mergeCell ref="Z63:AL63"/>
    <mergeCell ref="AF62:AL62"/>
    <mergeCell ref="A62:B62"/>
    <mergeCell ref="A65:B65"/>
    <mergeCell ref="C65:F65"/>
    <mergeCell ref="J65:L65"/>
    <mergeCell ref="O65:Q65"/>
    <mergeCell ref="AC66:AE66"/>
    <mergeCell ref="AH66:AJ66"/>
    <mergeCell ref="A66:B66"/>
    <mergeCell ref="C66:F66"/>
    <mergeCell ref="J66:L66"/>
    <mergeCell ref="O66:Q66"/>
    <mergeCell ref="T66:U66"/>
    <mergeCell ref="V66:Y66"/>
    <mergeCell ref="C64:F64"/>
    <mergeCell ref="J64:L64"/>
    <mergeCell ref="O64:Q64"/>
    <mergeCell ref="T64:U64"/>
    <mergeCell ref="V64:Y64"/>
    <mergeCell ref="A53:C53"/>
    <mergeCell ref="A61:B61"/>
    <mergeCell ref="C61:F61"/>
    <mergeCell ref="G61:S61"/>
    <mergeCell ref="T61:U61"/>
    <mergeCell ref="Z61:AL61"/>
    <mergeCell ref="V61:Y61"/>
    <mergeCell ref="T65:U65"/>
    <mergeCell ref="V65:Y65"/>
    <mergeCell ref="A64:B64"/>
    <mergeCell ref="M62:S62"/>
    <mergeCell ref="T62:U62"/>
    <mergeCell ref="V62:Y62"/>
    <mergeCell ref="A63:B63"/>
    <mergeCell ref="C63:F63"/>
    <mergeCell ref="G63:S63"/>
    <mergeCell ref="T63:U63"/>
    <mergeCell ref="C62:F62"/>
    <mergeCell ref="G62:L62"/>
    <mergeCell ref="AH64:AJ64"/>
    <mergeCell ref="V63:Y63"/>
    <mergeCell ref="Z62:AE62"/>
    <mergeCell ref="AH65:AJ65"/>
    <mergeCell ref="AC65:AE65"/>
    <mergeCell ref="AR45:AT45"/>
    <mergeCell ref="AR44:AT44"/>
    <mergeCell ref="AU44:AW44"/>
    <mergeCell ref="AR48:AT48"/>
    <mergeCell ref="AU48:AW48"/>
    <mergeCell ref="A60:F60"/>
    <mergeCell ref="G60:S60"/>
    <mergeCell ref="T60:Y60"/>
    <mergeCell ref="Z60:AL60"/>
    <mergeCell ref="AM49:AO49"/>
    <mergeCell ref="AJ50:AO50"/>
    <mergeCell ref="AJ49:AL49"/>
    <mergeCell ref="AR50:AW50"/>
    <mergeCell ref="A55:C55"/>
    <mergeCell ref="D53:J53"/>
    <mergeCell ref="A54:C54"/>
    <mergeCell ref="F49:H49"/>
    <mergeCell ref="I49:K49"/>
    <mergeCell ref="F48:H48"/>
    <mergeCell ref="AJ48:AL48"/>
    <mergeCell ref="AJ57:AP57"/>
    <mergeCell ref="AR49:AT49"/>
    <mergeCell ref="AU49:AW49"/>
    <mergeCell ref="A48:B48"/>
    <mergeCell ref="F50:K50"/>
    <mergeCell ref="I46:K46"/>
    <mergeCell ref="A47:B47"/>
    <mergeCell ref="A46:B46"/>
    <mergeCell ref="O47:Q47"/>
    <mergeCell ref="C50:D50"/>
    <mergeCell ref="AR46:AT46"/>
    <mergeCell ref="AU46:AW46"/>
    <mergeCell ref="AR47:AT47"/>
    <mergeCell ref="AU47:AW47"/>
    <mergeCell ref="AM47:AO47"/>
    <mergeCell ref="AM46:AO46"/>
    <mergeCell ref="AM48:AO48"/>
    <mergeCell ref="C49:D49"/>
    <mergeCell ref="C48:D48"/>
    <mergeCell ref="C46:D46"/>
    <mergeCell ref="C42:D42"/>
    <mergeCell ref="A43:B43"/>
    <mergeCell ref="A45:B45"/>
    <mergeCell ref="C45:D45"/>
    <mergeCell ref="R47:T47"/>
    <mergeCell ref="C44:D44"/>
    <mergeCell ref="I48:K48"/>
    <mergeCell ref="A44:B44"/>
    <mergeCell ref="R48:T48"/>
    <mergeCell ref="I47:K47"/>
    <mergeCell ref="O45:Q45"/>
    <mergeCell ref="R46:T46"/>
    <mergeCell ref="R45:T45"/>
    <mergeCell ref="R44:T44"/>
    <mergeCell ref="F42:H42"/>
    <mergeCell ref="F43:H43"/>
    <mergeCell ref="C43:D43"/>
    <mergeCell ref="R42:T42"/>
    <mergeCell ref="O46:Q46"/>
    <mergeCell ref="O48:Q48"/>
    <mergeCell ref="O42:Q42"/>
    <mergeCell ref="O43:Q43"/>
    <mergeCell ref="AU45:AW45"/>
    <mergeCell ref="AJ47:AL47"/>
    <mergeCell ref="AR43:AT43"/>
    <mergeCell ref="AU43:AW43"/>
    <mergeCell ref="O40:V40"/>
    <mergeCell ref="R34:Z35"/>
    <mergeCell ref="M53:R53"/>
    <mergeCell ref="O41:Q41"/>
    <mergeCell ref="O50:T50"/>
    <mergeCell ref="O49:Q49"/>
    <mergeCell ref="R49:T49"/>
    <mergeCell ref="AM42:AO42"/>
    <mergeCell ref="AM45:AO45"/>
    <mergeCell ref="AM43:AO43"/>
    <mergeCell ref="AR38:AW38"/>
    <mergeCell ref="AR39:AY39"/>
    <mergeCell ref="AR40:AY40"/>
    <mergeCell ref="AR41:AT41"/>
    <mergeCell ref="AU41:AW41"/>
    <mergeCell ref="AR42:AT42"/>
    <mergeCell ref="AU42:AW42"/>
    <mergeCell ref="AM44:AO44"/>
    <mergeCell ref="AJ45:AL45"/>
    <mergeCell ref="AJ43:AL43"/>
    <mergeCell ref="F46:H46"/>
    <mergeCell ref="F47:H47"/>
    <mergeCell ref="F38:K38"/>
    <mergeCell ref="O44:Q44"/>
    <mergeCell ref="F45:H45"/>
    <mergeCell ref="F44:H44"/>
    <mergeCell ref="I44:K44"/>
    <mergeCell ref="I45:K45"/>
    <mergeCell ref="I43:K43"/>
    <mergeCell ref="AJ46:AL46"/>
    <mergeCell ref="AJ42:AL42"/>
    <mergeCell ref="AJ44:AL44"/>
    <mergeCell ref="F41:H41"/>
    <mergeCell ref="I41:K41"/>
    <mergeCell ref="AJ41:AL41"/>
    <mergeCell ref="AJ38:AO38"/>
    <mergeCell ref="AJ39:AQ39"/>
    <mergeCell ref="AJ40:AQ40"/>
    <mergeCell ref="AM41:AO41"/>
    <mergeCell ref="O39:V39"/>
    <mergeCell ref="R43:T43"/>
    <mergeCell ref="R41:T41"/>
    <mergeCell ref="AI33:AK33"/>
    <mergeCell ref="AL33:AM33"/>
    <mergeCell ref="AN33:AQ33"/>
    <mergeCell ref="R32:V32"/>
    <mergeCell ref="U27:W27"/>
    <mergeCell ref="W32:Z32"/>
    <mergeCell ref="G30:I30"/>
    <mergeCell ref="G31:I31"/>
    <mergeCell ref="AL29:AN29"/>
    <mergeCell ref="AL28:AN28"/>
    <mergeCell ref="AI28:AK28"/>
    <mergeCell ref="AI30:AK30"/>
    <mergeCell ref="X30:Z30"/>
    <mergeCell ref="X31:Z31"/>
    <mergeCell ref="U30:W30"/>
    <mergeCell ref="AO29:AQ29"/>
    <mergeCell ref="AN32:AQ32"/>
    <mergeCell ref="AO31:AQ31"/>
    <mergeCell ref="AL31:AN31"/>
    <mergeCell ref="AI31:AK31"/>
    <mergeCell ref="AO30:AQ30"/>
    <mergeCell ref="AL30:AN30"/>
    <mergeCell ref="AI29:AK29"/>
    <mergeCell ref="A41:B41"/>
    <mergeCell ref="A42:B42"/>
    <mergeCell ref="F40:M40"/>
    <mergeCell ref="I42:K42"/>
    <mergeCell ref="C40:D40"/>
    <mergeCell ref="C41:D41"/>
    <mergeCell ref="R22:Z22"/>
    <mergeCell ref="R23:T23"/>
    <mergeCell ref="D33:E33"/>
    <mergeCell ref="F33:I33"/>
    <mergeCell ref="R25:T25"/>
    <mergeCell ref="W33:Z33"/>
    <mergeCell ref="U29:W29"/>
    <mergeCell ref="R29:T29"/>
    <mergeCell ref="R33:T33"/>
    <mergeCell ref="U25:W25"/>
    <mergeCell ref="R31:T31"/>
    <mergeCell ref="F32:I32"/>
    <mergeCell ref="D28:F28"/>
    <mergeCell ref="G28:I28"/>
    <mergeCell ref="D31:F31"/>
    <mergeCell ref="U23:W23"/>
    <mergeCell ref="X28:Z28"/>
    <mergeCell ref="G29:I29"/>
    <mergeCell ref="U26:W26"/>
    <mergeCell ref="X24:Z24"/>
    <mergeCell ref="X23:Z23"/>
    <mergeCell ref="R28:T28"/>
    <mergeCell ref="U28:W28"/>
    <mergeCell ref="R30:T30"/>
    <mergeCell ref="R24:T24"/>
    <mergeCell ref="U24:W24"/>
    <mergeCell ref="X26:Z26"/>
    <mergeCell ref="D25:F25"/>
    <mergeCell ref="G25:I25"/>
    <mergeCell ref="C39:D39"/>
    <mergeCell ref="A32:E32"/>
    <mergeCell ref="F39:M39"/>
    <mergeCell ref="A26:C26"/>
    <mergeCell ref="D26:F26"/>
    <mergeCell ref="G26:I26"/>
    <mergeCell ref="A29:C29"/>
    <mergeCell ref="D29:F29"/>
    <mergeCell ref="A31:C31"/>
    <mergeCell ref="A39:B39"/>
    <mergeCell ref="A33:C33"/>
    <mergeCell ref="G27:I27"/>
    <mergeCell ref="D30:F30"/>
    <mergeCell ref="A38:D38"/>
    <mergeCell ref="A28:C28"/>
    <mergeCell ref="A30:C30"/>
    <mergeCell ref="O38:T38"/>
    <mergeCell ref="T2:Y2"/>
    <mergeCell ref="T4:U4"/>
    <mergeCell ref="V4:Y4"/>
    <mergeCell ref="T3:U3"/>
    <mergeCell ref="V3:Y3"/>
    <mergeCell ref="V7:Y7"/>
    <mergeCell ref="A8:B8"/>
    <mergeCell ref="C8:F8"/>
    <mergeCell ref="J8:L8"/>
    <mergeCell ref="O8:Q8"/>
    <mergeCell ref="A2:F2"/>
    <mergeCell ref="G2:S2"/>
    <mergeCell ref="G5:S5"/>
    <mergeCell ref="J6:L6"/>
    <mergeCell ref="O6:Q6"/>
    <mergeCell ref="A5:B5"/>
    <mergeCell ref="A4:B4"/>
    <mergeCell ref="C4:F4"/>
    <mergeCell ref="C7:F7"/>
    <mergeCell ref="J7:L7"/>
    <mergeCell ref="O7:Q7"/>
    <mergeCell ref="A6:B6"/>
    <mergeCell ref="A7:B7"/>
    <mergeCell ref="AI17:AK17"/>
    <mergeCell ref="A24:C24"/>
    <mergeCell ref="D24:F24"/>
    <mergeCell ref="G24:I24"/>
    <mergeCell ref="C15:F15"/>
    <mergeCell ref="J14:L14"/>
    <mergeCell ref="C13:F13"/>
    <mergeCell ref="A27:C27"/>
    <mergeCell ref="D27:F27"/>
    <mergeCell ref="A20:P20"/>
    <mergeCell ref="A22:I22"/>
    <mergeCell ref="A21:P21"/>
    <mergeCell ref="J17:P17"/>
    <mergeCell ref="R21:AG21"/>
    <mergeCell ref="A23:C23"/>
    <mergeCell ref="D23:F23"/>
    <mergeCell ref="G23:I23"/>
    <mergeCell ref="A13:B13"/>
    <mergeCell ref="A19:P19"/>
    <mergeCell ref="A18:P18"/>
    <mergeCell ref="A17:C17"/>
    <mergeCell ref="D17:I17"/>
    <mergeCell ref="A14:B14"/>
    <mergeCell ref="A25:C25"/>
    <mergeCell ref="V10:Y10"/>
    <mergeCell ref="A12:B12"/>
    <mergeCell ref="A9:B9"/>
    <mergeCell ref="J9:L9"/>
    <mergeCell ref="AH7:AJ7"/>
    <mergeCell ref="C14:F14"/>
    <mergeCell ref="R17:T17"/>
    <mergeCell ref="V15:Y15"/>
    <mergeCell ref="T14:U14"/>
    <mergeCell ref="V14:Y14"/>
    <mergeCell ref="T15:U15"/>
    <mergeCell ref="C12:F12"/>
    <mergeCell ref="C10:F10"/>
    <mergeCell ref="J10:L10"/>
    <mergeCell ref="U17:Z17"/>
    <mergeCell ref="T13:U13"/>
    <mergeCell ref="O12:Q12"/>
    <mergeCell ref="O10:Q10"/>
    <mergeCell ref="A11:B11"/>
    <mergeCell ref="C9:F9"/>
    <mergeCell ref="O9:Q9"/>
    <mergeCell ref="A10:B10"/>
    <mergeCell ref="C11:F11"/>
    <mergeCell ref="J12:L12"/>
    <mergeCell ref="AF4:AL4"/>
    <mergeCell ref="AH6:AJ6"/>
    <mergeCell ref="AC7:AE7"/>
    <mergeCell ref="Z4:AE4"/>
    <mergeCell ref="T5:U5"/>
    <mergeCell ref="T7:U7"/>
    <mergeCell ref="V6:Y6"/>
    <mergeCell ref="V5:Y5"/>
    <mergeCell ref="AC6:AE6"/>
    <mergeCell ref="V13:Y13"/>
    <mergeCell ref="J11:L11"/>
    <mergeCell ref="O11:Q11"/>
    <mergeCell ref="J13:L13"/>
    <mergeCell ref="T10:U10"/>
    <mergeCell ref="O13:Q13"/>
    <mergeCell ref="Z2:AL2"/>
    <mergeCell ref="Z3:AL3"/>
    <mergeCell ref="Z5:AL5"/>
    <mergeCell ref="M4:S4"/>
    <mergeCell ref="AH8:AJ8"/>
    <mergeCell ref="AH12:AJ12"/>
    <mergeCell ref="AH9:AJ9"/>
    <mergeCell ref="T8:U8"/>
    <mergeCell ref="AC8:AE8"/>
    <mergeCell ref="V8:Y8"/>
    <mergeCell ref="V11:Y11"/>
    <mergeCell ref="T12:U12"/>
    <mergeCell ref="V12:Y12"/>
    <mergeCell ref="T11:U11"/>
    <mergeCell ref="AH10:AJ10"/>
    <mergeCell ref="AC9:AE9"/>
    <mergeCell ref="AC12:AE12"/>
    <mergeCell ref="AH11:AJ11"/>
    <mergeCell ref="R18:AG18"/>
    <mergeCell ref="R19:AG19"/>
    <mergeCell ref="X25:Z25"/>
    <mergeCell ref="R20:AG20"/>
    <mergeCell ref="AI21:AX21"/>
    <mergeCell ref="AI20:AX20"/>
    <mergeCell ref="AL17:AQ17"/>
    <mergeCell ref="A3:B3"/>
    <mergeCell ref="C3:F3"/>
    <mergeCell ref="G3:S3"/>
    <mergeCell ref="T6:U6"/>
    <mergeCell ref="C6:F6"/>
    <mergeCell ref="C5:F5"/>
    <mergeCell ref="O14:Q14"/>
    <mergeCell ref="A15:B15"/>
    <mergeCell ref="G4:L4"/>
    <mergeCell ref="AC13:AE13"/>
    <mergeCell ref="AH13:AJ13"/>
    <mergeCell ref="AC15:AE15"/>
    <mergeCell ref="AH14:AJ14"/>
    <mergeCell ref="AH15:AJ15"/>
    <mergeCell ref="AC14:AE14"/>
    <mergeCell ref="J15:L15"/>
    <mergeCell ref="O15:Q15"/>
    <mergeCell ref="T9:U9"/>
    <mergeCell ref="AC10:AE10"/>
    <mergeCell ref="AC11:AE11"/>
    <mergeCell ref="V9:Y9"/>
    <mergeCell ref="R27:T27"/>
    <mergeCell ref="AA17:AG17"/>
    <mergeCell ref="AL26:AN26"/>
    <mergeCell ref="AO26:AQ26"/>
    <mergeCell ref="AO28:AQ28"/>
    <mergeCell ref="AI32:AM32"/>
    <mergeCell ref="D84:F84"/>
    <mergeCell ref="AI34:AQ35"/>
    <mergeCell ref="A77:F77"/>
    <mergeCell ref="A78:H78"/>
    <mergeCell ref="A79:H79"/>
    <mergeCell ref="A80:C80"/>
    <mergeCell ref="D80:F80"/>
    <mergeCell ref="A40:B40"/>
    <mergeCell ref="A34:I35"/>
    <mergeCell ref="C47:D47"/>
    <mergeCell ref="U53:AX53"/>
    <mergeCell ref="AI27:AK27"/>
    <mergeCell ref="AL27:AN27"/>
    <mergeCell ref="U33:V33"/>
    <mergeCell ref="AO27:AQ27"/>
    <mergeCell ref="AI26:AK26"/>
    <mergeCell ref="X27:Z27"/>
    <mergeCell ref="X29:Z29"/>
    <mergeCell ref="R26:T26"/>
    <mergeCell ref="U31:W31"/>
    <mergeCell ref="A89:F89"/>
    <mergeCell ref="A85:C85"/>
    <mergeCell ref="D85:F85"/>
    <mergeCell ref="A86:C86"/>
    <mergeCell ref="D86:F86"/>
    <mergeCell ref="A81:C81"/>
    <mergeCell ref="D81:F81"/>
    <mergeCell ref="A87:C87"/>
    <mergeCell ref="D87:F87"/>
    <mergeCell ref="A82:C82"/>
    <mergeCell ref="A88:C88"/>
    <mergeCell ref="D88:F88"/>
    <mergeCell ref="D82:F82"/>
    <mergeCell ref="A83:C83"/>
    <mergeCell ref="D83:F83"/>
    <mergeCell ref="A84:C84"/>
    <mergeCell ref="BA37:BC37"/>
    <mergeCell ref="BD37:BI37"/>
    <mergeCell ref="BJ37:BP37"/>
    <mergeCell ref="BA38:BP38"/>
    <mergeCell ref="BA39:BP39"/>
    <mergeCell ref="BA40:BI40"/>
    <mergeCell ref="BA41:BC41"/>
    <mergeCell ref="BD41:BF41"/>
    <mergeCell ref="BG41:BI41"/>
    <mergeCell ref="BA42:BC42"/>
    <mergeCell ref="BD42:BF42"/>
    <mergeCell ref="BG42:BI42"/>
    <mergeCell ref="BA43:BC43"/>
    <mergeCell ref="BD43:BF43"/>
    <mergeCell ref="BG43:BI43"/>
    <mergeCell ref="BA44:BC44"/>
    <mergeCell ref="BD44:BF44"/>
    <mergeCell ref="BG44:BI44"/>
    <mergeCell ref="BD49:BF49"/>
    <mergeCell ref="BG49:BI49"/>
    <mergeCell ref="BA50:BE50"/>
    <mergeCell ref="BF50:BI50"/>
    <mergeCell ref="BA51:BC51"/>
    <mergeCell ref="BD51:BE51"/>
    <mergeCell ref="BF51:BI51"/>
    <mergeCell ref="BA45:BC45"/>
    <mergeCell ref="BD45:BF45"/>
    <mergeCell ref="BG45:BI45"/>
    <mergeCell ref="BA46:BC46"/>
    <mergeCell ref="BD46:BF46"/>
    <mergeCell ref="BG46:BI46"/>
    <mergeCell ref="BA47:BC47"/>
    <mergeCell ref="BD47:BF47"/>
    <mergeCell ref="BG47:BI47"/>
    <mergeCell ref="AM2:AR2"/>
    <mergeCell ref="AS2:BE2"/>
    <mergeCell ref="AM3:AN3"/>
    <mergeCell ref="AO3:AR3"/>
    <mergeCell ref="AS3:BE3"/>
    <mergeCell ref="AM4:AN4"/>
    <mergeCell ref="AO4:AR4"/>
    <mergeCell ref="AS4:AX4"/>
    <mergeCell ref="AY4:BE4"/>
    <mergeCell ref="AM5:AN5"/>
    <mergeCell ref="AO5:AR5"/>
    <mergeCell ref="AS5:BE5"/>
    <mergeCell ref="AM6:AN6"/>
    <mergeCell ref="AO6:AR6"/>
    <mergeCell ref="AV6:AX6"/>
    <mergeCell ref="BA6:BC6"/>
    <mergeCell ref="AM7:AN7"/>
    <mergeCell ref="AO7:AR7"/>
    <mergeCell ref="AV7:AX7"/>
    <mergeCell ref="BA7:BC7"/>
    <mergeCell ref="AM8:AN8"/>
    <mergeCell ref="AO8:AR8"/>
    <mergeCell ref="AV8:AX8"/>
    <mergeCell ref="BA8:BC8"/>
    <mergeCell ref="AM9:AN9"/>
    <mergeCell ref="AO9:AR9"/>
    <mergeCell ref="AV9:AX9"/>
    <mergeCell ref="BA9:BC9"/>
    <mergeCell ref="AM10:AN10"/>
    <mergeCell ref="AO10:AR10"/>
    <mergeCell ref="AV10:AX10"/>
    <mergeCell ref="BA10:BC10"/>
    <mergeCell ref="AM11:AN11"/>
    <mergeCell ref="AO11:AR11"/>
    <mergeCell ref="AV11:AX11"/>
    <mergeCell ref="BA11:BC11"/>
    <mergeCell ref="AM12:AN12"/>
    <mergeCell ref="AO12:AR12"/>
    <mergeCell ref="AV12:AX12"/>
    <mergeCell ref="BA12:BC12"/>
    <mergeCell ref="AM13:AN13"/>
    <mergeCell ref="AO13:AR13"/>
    <mergeCell ref="AV13:AX13"/>
    <mergeCell ref="BA13:BC13"/>
    <mergeCell ref="AM14:AN14"/>
    <mergeCell ref="AO14:AR14"/>
    <mergeCell ref="AV14:AX14"/>
    <mergeCell ref="BA14:BC14"/>
    <mergeCell ref="AM15:AN15"/>
    <mergeCell ref="AO15:AR15"/>
    <mergeCell ref="AV15:AX15"/>
    <mergeCell ref="BA15:BC15"/>
    <mergeCell ref="AZ17:BB17"/>
    <mergeCell ref="BC17:BH17"/>
    <mergeCell ref="BI17:BO17"/>
    <mergeCell ref="AZ18:BO18"/>
    <mergeCell ref="AZ19:BO19"/>
    <mergeCell ref="AZ20:BO20"/>
    <mergeCell ref="AZ21:BO21"/>
    <mergeCell ref="AZ22:BH22"/>
    <mergeCell ref="AZ23:BB23"/>
    <mergeCell ref="BC23:BE23"/>
    <mergeCell ref="BF23:BH23"/>
    <mergeCell ref="AZ24:BB24"/>
    <mergeCell ref="BC24:BE24"/>
    <mergeCell ref="BF24:BH24"/>
    <mergeCell ref="AZ25:BB25"/>
    <mergeCell ref="BC25:BE25"/>
    <mergeCell ref="BF25:BH25"/>
    <mergeCell ref="AZ26:BB26"/>
    <mergeCell ref="BC26:BE26"/>
    <mergeCell ref="BF26:BH26"/>
    <mergeCell ref="AZ27:BB27"/>
    <mergeCell ref="BC27:BE27"/>
    <mergeCell ref="BF27:BH27"/>
    <mergeCell ref="AZ28:BB28"/>
    <mergeCell ref="BC28:BE28"/>
    <mergeCell ref="BF28:BH28"/>
    <mergeCell ref="AZ29:BB29"/>
    <mergeCell ref="BC29:BE29"/>
    <mergeCell ref="BF29:BH29"/>
    <mergeCell ref="AZ34:BH35"/>
    <mergeCell ref="BC61:BI61"/>
    <mergeCell ref="BC62:BI62"/>
    <mergeCell ref="BC63:BI63"/>
    <mergeCell ref="BC64:BI64"/>
    <mergeCell ref="BC65:BI65"/>
    <mergeCell ref="BC66:BI66"/>
    <mergeCell ref="BC67:BI67"/>
    <mergeCell ref="AZ30:BB30"/>
    <mergeCell ref="BC30:BE30"/>
    <mergeCell ref="BF30:BH30"/>
    <mergeCell ref="AZ31:BB31"/>
    <mergeCell ref="BC31:BE31"/>
    <mergeCell ref="BF31:BH31"/>
    <mergeCell ref="AZ32:BD32"/>
    <mergeCell ref="BE32:BH32"/>
    <mergeCell ref="AZ33:BB33"/>
    <mergeCell ref="BC33:BD33"/>
    <mergeCell ref="BE33:BH33"/>
    <mergeCell ref="BA52:BI53"/>
    <mergeCell ref="BA48:BC48"/>
    <mergeCell ref="BD48:BF48"/>
    <mergeCell ref="BG48:BI48"/>
    <mergeCell ref="BA49:BC49"/>
    <mergeCell ref="BC75:BI75"/>
    <mergeCell ref="BC76:BI76"/>
    <mergeCell ref="BC77:BI77"/>
    <mergeCell ref="BC78:BI78"/>
    <mergeCell ref="BC79:BI79"/>
    <mergeCell ref="BC80:BI80"/>
    <mergeCell ref="BC81:BI81"/>
    <mergeCell ref="BC68:BI68"/>
    <mergeCell ref="BC69:BI69"/>
    <mergeCell ref="BC70:BI70"/>
    <mergeCell ref="BC71:BI71"/>
    <mergeCell ref="BC72:BI72"/>
    <mergeCell ref="BC73:BI73"/>
    <mergeCell ref="BC74:BI74"/>
    <mergeCell ref="BC87:BI87"/>
    <mergeCell ref="BC88:BI88"/>
    <mergeCell ref="BC89:BI89"/>
    <mergeCell ref="BC90:BI90"/>
    <mergeCell ref="BC91:BI91"/>
    <mergeCell ref="BC92:BI92"/>
    <mergeCell ref="BC93:BI93"/>
    <mergeCell ref="BC82:BI82"/>
    <mergeCell ref="BC83:BI83"/>
    <mergeCell ref="BC84:BI84"/>
    <mergeCell ref="BC85:BI85"/>
    <mergeCell ref="BC86:BI86"/>
    <mergeCell ref="AR105:AX105"/>
    <mergeCell ref="AR106:AX106"/>
    <mergeCell ref="AR107:AX107"/>
    <mergeCell ref="BC94:BI94"/>
    <mergeCell ref="BC95:BI95"/>
    <mergeCell ref="BC96:BI96"/>
    <mergeCell ref="BC97:BI97"/>
    <mergeCell ref="BC98:BI98"/>
    <mergeCell ref="BC99:BI99"/>
    <mergeCell ref="BC100:BI100"/>
    <mergeCell ref="BC101:BI101"/>
    <mergeCell ref="AR102:AX102"/>
    <mergeCell ref="AP101:AV101"/>
    <mergeCell ref="AP94:AV94"/>
    <mergeCell ref="AP95:AV95"/>
    <mergeCell ref="AP96:AV96"/>
    <mergeCell ref="AP97:AV97"/>
    <mergeCell ref="AP98:AV98"/>
    <mergeCell ref="AP99:AV99"/>
    <mergeCell ref="AP100:AV100"/>
    <mergeCell ref="AR103:AX103"/>
    <mergeCell ref="AR104:AX104"/>
    <mergeCell ref="AP81:AV81"/>
    <mergeCell ref="AP82:AV82"/>
    <mergeCell ref="AP73:AV73"/>
    <mergeCell ref="AP74:AV74"/>
    <mergeCell ref="AP75:AV75"/>
    <mergeCell ref="AP76:AV76"/>
    <mergeCell ref="AP77:AV77"/>
    <mergeCell ref="AP92:AV92"/>
    <mergeCell ref="AP93:AV93"/>
    <mergeCell ref="AP88:AV88"/>
    <mergeCell ref="AP89:AV89"/>
    <mergeCell ref="AP90:AV90"/>
    <mergeCell ref="AP91:AV91"/>
    <mergeCell ref="AP61:AV61"/>
    <mergeCell ref="AP62:AV62"/>
    <mergeCell ref="AP63:AV63"/>
    <mergeCell ref="AP64:AV64"/>
    <mergeCell ref="AP65:AV65"/>
    <mergeCell ref="AP66:AV66"/>
    <mergeCell ref="AP67:AV67"/>
    <mergeCell ref="AP68:AV68"/>
    <mergeCell ref="AP69:AV69"/>
    <mergeCell ref="AP70:AV70"/>
    <mergeCell ref="AP71:AV71"/>
    <mergeCell ref="AP72:AV72"/>
    <mergeCell ref="AP83:AV83"/>
    <mergeCell ref="AP84:AV84"/>
    <mergeCell ref="AP85:AV85"/>
    <mergeCell ref="AP86:AV86"/>
    <mergeCell ref="AP87:AV87"/>
    <mergeCell ref="AP78:AV78"/>
    <mergeCell ref="AP79:AV79"/>
    <mergeCell ref="AP80:AV80"/>
  </mergeCells>
  <pageMargins left="0.7" right="0.7" top="0.75" bottom="0.75" header="0.3" footer="0.3"/>
  <pageSetup scale="72"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J30"/>
  <sheetViews>
    <sheetView showRowColHeaders="0" view="pageBreakPreview" zoomScale="130" zoomScaleNormal="100" zoomScaleSheetLayoutView="130" workbookViewId="0">
      <selection activeCell="G10" sqref="G9:J10"/>
    </sheetView>
  </sheetViews>
  <sheetFormatPr defaultRowHeight="12.75" x14ac:dyDescent="0.2"/>
  <cols>
    <col min="1" max="1" width="6.42578125" style="355" bestFit="1" customWidth="1"/>
    <col min="2" max="2" width="22.85546875" style="355" bestFit="1" customWidth="1"/>
    <col min="3" max="3" width="10.42578125" style="355" bestFit="1" customWidth="1"/>
    <col min="4" max="4" width="6.28515625" style="355" bestFit="1" customWidth="1"/>
    <col min="5" max="5" width="14" style="355" bestFit="1" customWidth="1"/>
    <col min="6" max="6" width="7.7109375" style="355" bestFit="1" customWidth="1"/>
    <col min="7" max="7" width="20.85546875" style="355" bestFit="1" customWidth="1"/>
    <col min="8" max="8" width="8.85546875" style="355" bestFit="1" customWidth="1"/>
    <col min="9" max="9" width="6.85546875" style="355" bestFit="1" customWidth="1"/>
    <col min="10" max="10" width="4.42578125" style="355" bestFit="1" customWidth="1"/>
    <col min="11" max="16384" width="9.140625" style="355"/>
  </cols>
  <sheetData>
    <row r="1" spans="1:10" s="354" customFormat="1" ht="26.25" customHeight="1" thickBot="1" x14ac:dyDescent="0.25">
      <c r="A1" s="356" t="s">
        <v>607</v>
      </c>
      <c r="B1" s="356" t="s">
        <v>4</v>
      </c>
      <c r="C1" s="356" t="s">
        <v>5</v>
      </c>
      <c r="D1" s="356" t="s">
        <v>2</v>
      </c>
      <c r="E1" s="356" t="s">
        <v>1</v>
      </c>
      <c r="F1" s="356" t="s">
        <v>585</v>
      </c>
    </row>
    <row r="2" spans="1:10" ht="16.5" thickBot="1" x14ac:dyDescent="0.3">
      <c r="A2" s="617" t="s">
        <v>608</v>
      </c>
      <c r="B2" s="617"/>
      <c r="C2" s="617"/>
      <c r="D2" s="617"/>
      <c r="E2" s="617"/>
      <c r="F2" s="618"/>
      <c r="G2" s="373" t="str">
        <f>FH!D11</f>
        <v>KƏBT</v>
      </c>
      <c r="H2" s="373" t="str">
        <f>VLOOKUP($G$2,$A$3:$F$8,2,0)</f>
        <v>kredit meneceri</v>
      </c>
      <c r="I2" s="373"/>
      <c r="J2" s="373"/>
    </row>
    <row r="3" spans="1:10" ht="16.5" thickBot="1" x14ac:dyDescent="0.25">
      <c r="A3" s="451" t="str">
        <f>UPPER(LEFT(B3,1)&amp;LEFT(C3,1)&amp;LEFT(D3,1)&amp;LEFT(E3,1))</f>
        <v>MİİS</v>
      </c>
      <c r="B3" s="320" t="s">
        <v>736</v>
      </c>
      <c r="C3" s="358" t="s">
        <v>737</v>
      </c>
      <c r="D3" s="358" t="s">
        <v>738</v>
      </c>
      <c r="E3" s="358" t="s">
        <v>739</v>
      </c>
      <c r="F3" s="345" t="s">
        <v>0</v>
      </c>
      <c r="G3" s="373" t="str">
        <f>VLOOKUP($G$2,$A$3:$F$8,3,0)</f>
        <v xml:space="preserve">Əhmədov </v>
      </c>
      <c r="H3" s="373" t="str">
        <f>VLOOKUP($G$2,$A$3:$F$8,4,0)</f>
        <v xml:space="preserve">Bəhruz </v>
      </c>
      <c r="I3" s="373" t="str">
        <f>VLOOKUP($G$2,$A$3:$F$8,5,0)</f>
        <v xml:space="preserve">Tofiq </v>
      </c>
      <c r="J3" s="373" t="str">
        <f>VLOOKUP($G$2,$A$3:$F$8,6,0)</f>
        <v>oğlu</v>
      </c>
    </row>
    <row r="4" spans="1:10" ht="16.5" thickBot="1" x14ac:dyDescent="0.25">
      <c r="A4" s="451" t="str">
        <f t="shared" ref="A4:A8" si="0">UPPER(LEFT(B4,1)&amp;LEFT(C4,1)&amp;LEFT(D4,1)&amp;LEFT(E4,1))</f>
        <v>KMXB</v>
      </c>
      <c r="B4" s="320" t="s">
        <v>740</v>
      </c>
      <c r="C4" s="358" t="s">
        <v>741</v>
      </c>
      <c r="D4" s="358" t="s">
        <v>742</v>
      </c>
      <c r="E4" s="358" t="s">
        <v>743</v>
      </c>
      <c r="F4" s="345" t="s">
        <v>0</v>
      </c>
      <c r="G4" s="373"/>
      <c r="H4" s="373"/>
      <c r="I4" s="373"/>
      <c r="J4" s="373"/>
    </row>
    <row r="5" spans="1:10" ht="16.5" thickBot="1" x14ac:dyDescent="0.25">
      <c r="A5" s="451" t="str">
        <f t="shared" si="0"/>
        <v>KƏBT</v>
      </c>
      <c r="B5" s="320" t="s">
        <v>740</v>
      </c>
      <c r="C5" s="358" t="s">
        <v>744</v>
      </c>
      <c r="D5" s="358" t="s">
        <v>745</v>
      </c>
      <c r="E5" s="358" t="s">
        <v>746</v>
      </c>
      <c r="F5" s="345" t="s">
        <v>0</v>
      </c>
      <c r="G5" s="373"/>
      <c r="H5" s="373"/>
      <c r="I5" s="373"/>
      <c r="J5" s="373"/>
    </row>
    <row r="6" spans="1:10" ht="16.5" thickBot="1" x14ac:dyDescent="0.25">
      <c r="A6" s="451" t="str">
        <f t="shared" si="0"/>
        <v/>
      </c>
      <c r="B6" s="320"/>
      <c r="C6" s="358"/>
      <c r="D6" s="358"/>
      <c r="E6" s="358"/>
      <c r="F6" s="345" t="s">
        <v>0</v>
      </c>
      <c r="G6" s="373"/>
      <c r="H6" s="373"/>
      <c r="I6" s="373"/>
      <c r="J6" s="373"/>
    </row>
    <row r="7" spans="1:10" ht="16.5" thickBot="1" x14ac:dyDescent="0.25">
      <c r="A7" s="451" t="str">
        <f t="shared" si="0"/>
        <v/>
      </c>
      <c r="B7" s="320"/>
      <c r="C7" s="358"/>
      <c r="D7" s="358"/>
      <c r="E7" s="358"/>
      <c r="F7" s="345" t="s">
        <v>0</v>
      </c>
      <c r="G7" s="373"/>
      <c r="H7" s="373"/>
      <c r="I7" s="373"/>
      <c r="J7" s="373"/>
    </row>
    <row r="8" spans="1:10" ht="16.5" thickBot="1" x14ac:dyDescent="0.25">
      <c r="A8" s="451" t="str">
        <f t="shared" si="0"/>
        <v/>
      </c>
      <c r="B8" s="320"/>
      <c r="C8" s="358"/>
      <c r="D8" s="358"/>
      <c r="E8" s="358"/>
      <c r="F8" s="345" t="s">
        <v>0</v>
      </c>
      <c r="G8" s="373"/>
      <c r="H8" s="373"/>
      <c r="I8" s="373"/>
      <c r="J8" s="373"/>
    </row>
    <row r="9" spans="1:10" ht="20.25" customHeight="1" thickBot="1" x14ac:dyDescent="0.3">
      <c r="A9" s="617" t="s">
        <v>609</v>
      </c>
      <c r="B9" s="617"/>
      <c r="C9" s="617"/>
      <c r="D9" s="617"/>
      <c r="E9" s="617"/>
      <c r="F9" s="618"/>
      <c r="G9" s="373" t="str">
        <f>IF(FH!I11=T.Data!F8,FH!I11,T.Data!F8)</f>
        <v>6005 M.Məhəmməd</v>
      </c>
      <c r="H9" s="373" t="str">
        <f>VLOOKUP($G$9,$A$10:$F$30,2,0)</f>
        <v>Baş kredit mütəxəssisi</v>
      </c>
      <c r="I9" s="373"/>
      <c r="J9" s="373"/>
    </row>
    <row r="10" spans="1:10" ht="16.5" thickBot="1" x14ac:dyDescent="0.25">
      <c r="A10" s="359" t="s">
        <v>747</v>
      </c>
      <c r="B10" s="357" t="s">
        <v>638</v>
      </c>
      <c r="C10" s="360" t="s">
        <v>744</v>
      </c>
      <c r="D10" s="360" t="s">
        <v>748</v>
      </c>
      <c r="E10" s="360" t="s">
        <v>749</v>
      </c>
      <c r="F10" s="345" t="s">
        <v>0</v>
      </c>
      <c r="G10" s="373" t="str">
        <f>VLOOKUP($G$9,$A$10:$F$30,3,0)</f>
        <v xml:space="preserve">Əhmədov </v>
      </c>
      <c r="H10" s="373" t="str">
        <f>VLOOKUP($G$9,$A$10:$F$30,4,0)</f>
        <v xml:space="preserve">Məhəmməd </v>
      </c>
      <c r="I10" s="373" t="str">
        <f>VLOOKUP($G$9,$A$10:$F$30,5,0)</f>
        <v xml:space="preserve">Nizam </v>
      </c>
      <c r="J10" s="373" t="str">
        <f>VLOOKUP($G$9,$A$10:$F$30,6,0)</f>
        <v>oğlu</v>
      </c>
    </row>
    <row r="11" spans="1:10" ht="16.5" thickBot="1" x14ac:dyDescent="0.25">
      <c r="A11" s="359" t="s">
        <v>750</v>
      </c>
      <c r="B11" s="357" t="s">
        <v>638</v>
      </c>
      <c r="C11" s="360" t="s">
        <v>751</v>
      </c>
      <c r="D11" s="360" t="s">
        <v>752</v>
      </c>
      <c r="E11" s="360" t="s">
        <v>753</v>
      </c>
      <c r="F11" s="345" t="s">
        <v>0</v>
      </c>
      <c r="G11" s="373"/>
      <c r="H11" s="373"/>
      <c r="I11" s="373"/>
      <c r="J11" s="373"/>
    </row>
    <row r="12" spans="1:10" ht="16.5" thickBot="1" x14ac:dyDescent="0.25">
      <c r="A12" s="359" t="s">
        <v>754</v>
      </c>
      <c r="B12" s="357" t="s">
        <v>638</v>
      </c>
      <c r="C12" s="360" t="s">
        <v>755</v>
      </c>
      <c r="D12" s="360" t="s">
        <v>756</v>
      </c>
      <c r="E12" s="360" t="s">
        <v>757</v>
      </c>
      <c r="F12" s="345" t="s">
        <v>0</v>
      </c>
    </row>
    <row r="13" spans="1:10" ht="16.5" thickBot="1" x14ac:dyDescent="0.25">
      <c r="A13" s="360" t="s">
        <v>788</v>
      </c>
      <c r="B13" s="357" t="s">
        <v>638</v>
      </c>
      <c r="C13" s="360" t="s">
        <v>758</v>
      </c>
      <c r="D13" s="360" t="s">
        <v>759</v>
      </c>
      <c r="E13" s="360" t="s">
        <v>760</v>
      </c>
      <c r="F13" s="345" t="s">
        <v>0</v>
      </c>
    </row>
    <row r="14" spans="1:10" ht="16.5" thickBot="1" x14ac:dyDescent="0.25">
      <c r="A14" s="359" t="s">
        <v>761</v>
      </c>
      <c r="B14" s="357" t="s">
        <v>762</v>
      </c>
      <c r="C14" s="360" t="s">
        <v>763</v>
      </c>
      <c r="D14" s="360" t="s">
        <v>764</v>
      </c>
      <c r="E14" s="360" t="s">
        <v>765</v>
      </c>
      <c r="F14" s="345" t="s">
        <v>0</v>
      </c>
    </row>
    <row r="15" spans="1:10" ht="16.5" thickBot="1" x14ac:dyDescent="0.25">
      <c r="A15" s="359" t="s">
        <v>766</v>
      </c>
      <c r="B15" s="357" t="s">
        <v>639</v>
      </c>
      <c r="C15" s="360" t="s">
        <v>737</v>
      </c>
      <c r="D15" s="360" t="s">
        <v>767</v>
      </c>
      <c r="E15" s="360" t="s">
        <v>768</v>
      </c>
      <c r="F15" s="345" t="s">
        <v>0</v>
      </c>
    </row>
    <row r="16" spans="1:10" ht="16.5" thickBot="1" x14ac:dyDescent="0.25">
      <c r="A16" s="359" t="s">
        <v>769</v>
      </c>
      <c r="B16" s="357" t="s">
        <v>639</v>
      </c>
      <c r="C16" s="360" t="s">
        <v>770</v>
      </c>
      <c r="D16" s="360" t="s">
        <v>771</v>
      </c>
      <c r="E16" s="360" t="s">
        <v>772</v>
      </c>
      <c r="F16" s="345" t="s">
        <v>0</v>
      </c>
    </row>
    <row r="17" spans="1:6" ht="16.5" thickBot="1" x14ac:dyDescent="0.25">
      <c r="A17" s="359"/>
      <c r="B17" s="357"/>
      <c r="C17" s="360"/>
      <c r="D17" s="360"/>
      <c r="E17" s="360"/>
      <c r="F17" s="345" t="s">
        <v>0</v>
      </c>
    </row>
    <row r="18" spans="1:6" ht="16.5" thickBot="1" x14ac:dyDescent="0.25">
      <c r="A18" s="359"/>
      <c r="B18" s="357"/>
      <c r="C18" s="360"/>
      <c r="D18" s="360"/>
      <c r="E18" s="360"/>
      <c r="F18" s="345" t="s">
        <v>0</v>
      </c>
    </row>
    <row r="19" spans="1:6" ht="16.5" thickBot="1" x14ac:dyDescent="0.25">
      <c r="A19" s="359"/>
      <c r="B19" s="357"/>
      <c r="C19" s="360"/>
      <c r="D19" s="360"/>
      <c r="E19" s="360"/>
      <c r="F19" s="345" t="s">
        <v>0</v>
      </c>
    </row>
    <row r="20" spans="1:6" ht="16.5" thickBot="1" x14ac:dyDescent="0.25">
      <c r="A20" s="359"/>
      <c r="B20" s="357"/>
      <c r="C20" s="360"/>
      <c r="D20" s="360"/>
      <c r="E20" s="360"/>
      <c r="F20" s="345"/>
    </row>
    <row r="21" spans="1:6" ht="16.5" thickBot="1" x14ac:dyDescent="0.25">
      <c r="A21" s="359"/>
      <c r="B21" s="357"/>
      <c r="C21" s="360"/>
      <c r="D21" s="360"/>
      <c r="E21" s="360"/>
      <c r="F21" s="345"/>
    </row>
    <row r="22" spans="1:6" ht="16.5" thickBot="1" x14ac:dyDescent="0.25">
      <c r="A22" s="359"/>
      <c r="B22" s="357"/>
      <c r="C22" s="360"/>
      <c r="D22" s="360"/>
      <c r="E22" s="360"/>
      <c r="F22" s="345"/>
    </row>
    <row r="23" spans="1:6" ht="16.5" thickBot="1" x14ac:dyDescent="0.25">
      <c r="A23" s="454"/>
      <c r="B23" s="454"/>
      <c r="C23" s="454"/>
      <c r="D23" s="454"/>
      <c r="E23" s="454"/>
      <c r="F23" s="345"/>
    </row>
    <row r="24" spans="1:6" ht="16.5" thickBot="1" x14ac:dyDescent="0.25">
      <c r="A24" s="454"/>
      <c r="B24" s="454"/>
      <c r="C24" s="454"/>
      <c r="D24" s="454"/>
      <c r="E24" s="454"/>
      <c r="F24" s="345"/>
    </row>
    <row r="25" spans="1:6" ht="16.5" thickBot="1" x14ac:dyDescent="0.25">
      <c r="A25" s="454"/>
      <c r="B25" s="454"/>
      <c r="C25" s="454"/>
      <c r="D25" s="454"/>
      <c r="E25" s="454"/>
      <c r="F25" s="345"/>
    </row>
    <row r="26" spans="1:6" ht="16.5" thickBot="1" x14ac:dyDescent="0.25">
      <c r="A26" s="454"/>
      <c r="B26" s="454"/>
      <c r="C26" s="454"/>
      <c r="D26" s="454"/>
      <c r="E26" s="454"/>
      <c r="F26" s="345"/>
    </row>
    <row r="27" spans="1:6" ht="16.5" thickBot="1" x14ac:dyDescent="0.25">
      <c r="A27" s="454"/>
      <c r="B27" s="454"/>
      <c r="C27" s="454"/>
      <c r="D27" s="454"/>
      <c r="E27" s="454"/>
      <c r="F27" s="345"/>
    </row>
    <row r="28" spans="1:6" ht="16.5" thickBot="1" x14ac:dyDescent="0.25">
      <c r="A28" s="454"/>
      <c r="B28" s="454"/>
      <c r="C28" s="454"/>
      <c r="D28" s="454"/>
      <c r="E28" s="454"/>
      <c r="F28" s="345"/>
    </row>
    <row r="29" spans="1:6" ht="16.5" thickBot="1" x14ac:dyDescent="0.25">
      <c r="A29" s="454"/>
      <c r="B29" s="454"/>
      <c r="C29" s="454"/>
      <c r="D29" s="454"/>
      <c r="E29" s="454"/>
      <c r="F29" s="345"/>
    </row>
    <row r="30" spans="1:6" ht="16.5" thickBot="1" x14ac:dyDescent="0.25">
      <c r="A30" s="454"/>
      <c r="B30" s="454"/>
      <c r="C30" s="454"/>
      <c r="D30" s="454"/>
      <c r="E30" s="454"/>
      <c r="F30" s="345"/>
    </row>
  </sheetData>
  <autoFilter ref="A1:F22"/>
  <mergeCells count="2">
    <mergeCell ref="A2:F2"/>
    <mergeCell ref="A9:F9"/>
  </mergeCells>
  <pageMargins left="0.7" right="0.7" top="0.75" bottom="0.75" header="0.3" footer="0.3"/>
  <pageSetup scale="7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Button 1">
              <controlPr defaultSize="0" print="0" autoFill="0" autoPict="0" macro="[0]!SaveWorkbookKMV">
                <anchor moveWithCells="1" sizeWithCells="1">
                  <from>
                    <xdr:col>6</xdr:col>
                    <xdr:colOff>66675</xdr:colOff>
                    <xdr:row>0</xdr:row>
                    <xdr:rowOff>28575</xdr:rowOff>
                  </from>
                  <to>
                    <xdr:col>9</xdr:col>
                    <xdr:colOff>104775</xdr:colOff>
                    <xdr:row>1</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DataBase!$Q$2:$Q$4</xm:f>
          </x14:formula1>
          <xm:sqref>F3:F8 F10:F30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R600"/>
  <sheetViews>
    <sheetView view="pageBreakPreview" zoomScale="90" zoomScaleNormal="90" zoomScaleSheetLayoutView="90" workbookViewId="0">
      <pane ySplit="1" topLeftCell="A38" activePane="bottomLeft" state="frozen"/>
      <selection pane="bottomLeft" activeCell="A2" sqref="A2:A60"/>
    </sheetView>
  </sheetViews>
  <sheetFormatPr defaultRowHeight="12.75" x14ac:dyDescent="0.2"/>
  <cols>
    <col min="1" max="1" width="15.140625" style="1" customWidth="1"/>
    <col min="2" max="2" width="8" style="1" bestFit="1" customWidth="1"/>
    <col min="3" max="3" width="20.140625" style="1" customWidth="1"/>
    <col min="4" max="4" width="7.85546875" style="1" bestFit="1" customWidth="1"/>
    <col min="5" max="5" width="20.28515625" style="1" customWidth="1"/>
    <col min="6" max="6" width="24.28515625" style="1" customWidth="1"/>
    <col min="7" max="7" width="12.42578125" style="1" hidden="1" customWidth="1"/>
    <col min="8" max="8" width="10.140625" style="1" hidden="1" customWidth="1"/>
    <col min="9" max="9" width="12.5703125" style="333" hidden="1" customWidth="1"/>
    <col min="10" max="10" width="19.5703125" style="333" hidden="1" customWidth="1"/>
    <col min="11" max="11" width="20.42578125" style="1" hidden="1" customWidth="1"/>
    <col min="12" max="12" width="11.42578125" style="353" hidden="1" customWidth="1"/>
    <col min="13" max="13" width="20.140625" style="353" hidden="1" customWidth="1"/>
    <col min="14" max="14" width="10.5703125" style="353" hidden="1" customWidth="1"/>
    <col min="15" max="15" width="9.140625" style="1" hidden="1" customWidth="1"/>
    <col min="16" max="16" width="17.85546875" style="1" hidden="1" customWidth="1"/>
    <col min="17" max="17" width="9.140625" style="1" hidden="1" customWidth="1"/>
    <col min="18" max="18" width="11.85546875" style="1" hidden="1" customWidth="1"/>
    <col min="19" max="22" width="9.140625" style="1"/>
    <col min="23" max="23" width="13.140625" style="1" bestFit="1" customWidth="1"/>
    <col min="24" max="16384" width="9.140625" style="1"/>
  </cols>
  <sheetData>
    <row r="1" spans="1:18" s="351" customFormat="1" ht="63" customHeight="1" x14ac:dyDescent="0.25">
      <c r="A1" s="364" t="s">
        <v>588</v>
      </c>
      <c r="B1" s="364" t="s">
        <v>610</v>
      </c>
      <c r="C1" s="364" t="s">
        <v>611</v>
      </c>
      <c r="D1" s="370" t="s">
        <v>612</v>
      </c>
      <c r="E1" s="366" t="s">
        <v>613</v>
      </c>
      <c r="F1" s="366" t="s">
        <v>614</v>
      </c>
      <c r="G1" s="366" t="s">
        <v>615</v>
      </c>
      <c r="H1" s="366" t="s">
        <v>592</v>
      </c>
      <c r="I1" s="367" t="s">
        <v>616</v>
      </c>
      <c r="J1" s="367" t="s">
        <v>617</v>
      </c>
      <c r="K1" s="365" t="s">
        <v>618</v>
      </c>
      <c r="L1" s="366" t="s">
        <v>619</v>
      </c>
      <c r="M1" s="366" t="s">
        <v>620</v>
      </c>
      <c r="N1" s="366" t="s">
        <v>621</v>
      </c>
      <c r="O1" s="362" t="s">
        <v>587</v>
      </c>
      <c r="P1" s="363" t="s">
        <v>622</v>
      </c>
      <c r="Q1" s="332" t="s">
        <v>585</v>
      </c>
      <c r="R1" s="351" t="s">
        <v>213</v>
      </c>
    </row>
    <row r="2" spans="1:18" ht="14.1" customHeight="1" x14ac:dyDescent="0.2">
      <c r="A2" s="337" t="s">
        <v>549</v>
      </c>
      <c r="B2" s="338" t="s">
        <v>586</v>
      </c>
      <c r="C2" s="338" t="s">
        <v>623</v>
      </c>
      <c r="D2" s="337" t="s">
        <v>590</v>
      </c>
      <c r="E2" s="338" t="s">
        <v>632</v>
      </c>
      <c r="F2" s="338"/>
      <c r="G2" s="338"/>
      <c r="H2" s="338"/>
      <c r="I2" s="361"/>
      <c r="J2" s="361"/>
      <c r="K2" s="339" t="s">
        <v>603</v>
      </c>
      <c r="L2" s="338" t="s">
        <v>584</v>
      </c>
      <c r="M2" s="338" t="s">
        <v>596</v>
      </c>
      <c r="N2" s="338" t="s">
        <v>599</v>
      </c>
      <c r="O2" s="336" t="s">
        <v>338</v>
      </c>
      <c r="P2" s="336" t="s">
        <v>337</v>
      </c>
      <c r="Q2" s="336" t="s">
        <v>339</v>
      </c>
      <c r="R2" s="350">
        <f>R3-1</f>
        <v>42515</v>
      </c>
    </row>
    <row r="3" spans="1:18" ht="14.1" customHeight="1" x14ac:dyDescent="0.2">
      <c r="A3" s="338" t="s">
        <v>550</v>
      </c>
      <c r="B3" s="338" t="s">
        <v>586</v>
      </c>
      <c r="C3" s="338" t="s">
        <v>624</v>
      </c>
      <c r="D3" s="338" t="s">
        <v>591</v>
      </c>
      <c r="E3" s="338" t="s">
        <v>633</v>
      </c>
      <c r="F3" s="338"/>
      <c r="G3" s="338"/>
      <c r="H3" s="338"/>
      <c r="I3" s="361"/>
      <c r="J3" s="361"/>
      <c r="K3" s="339" t="s">
        <v>604</v>
      </c>
      <c r="L3" s="338" t="s">
        <v>594</v>
      </c>
      <c r="M3" s="338" t="s">
        <v>597</v>
      </c>
      <c r="N3" s="338"/>
      <c r="O3" s="336" t="s">
        <v>335</v>
      </c>
      <c r="P3" s="336" t="s">
        <v>411</v>
      </c>
      <c r="Q3" s="336" t="s">
        <v>0</v>
      </c>
      <c r="R3" s="350">
        <f>R4-1</f>
        <v>42516</v>
      </c>
    </row>
    <row r="4" spans="1:18" ht="14.1" customHeight="1" x14ac:dyDescent="0.2">
      <c r="A4" s="338" t="s">
        <v>531</v>
      </c>
      <c r="B4" s="338" t="s">
        <v>586</v>
      </c>
      <c r="C4" s="338" t="s">
        <v>625</v>
      </c>
      <c r="D4" s="338" t="s">
        <v>630</v>
      </c>
      <c r="E4" s="338" t="s">
        <v>634</v>
      </c>
      <c r="F4" s="338"/>
      <c r="G4" s="338"/>
      <c r="H4" s="338"/>
      <c r="I4" s="361"/>
      <c r="J4" s="361"/>
      <c r="K4" s="339" t="s">
        <v>605</v>
      </c>
      <c r="L4" s="338" t="s">
        <v>595</v>
      </c>
      <c r="M4" s="338" t="s">
        <v>598</v>
      </c>
      <c r="N4" s="338"/>
      <c r="O4" s="336" t="s">
        <v>21</v>
      </c>
      <c r="P4" s="336" t="s">
        <v>337</v>
      </c>
      <c r="Q4" s="336" t="s">
        <v>191</v>
      </c>
      <c r="R4" s="350">
        <f t="shared" ref="R4:R6" si="0">R5-1</f>
        <v>42517</v>
      </c>
    </row>
    <row r="5" spans="1:18" ht="14.1" customHeight="1" x14ac:dyDescent="0.2">
      <c r="A5" s="338" t="s">
        <v>534</v>
      </c>
      <c r="B5" s="338"/>
      <c r="C5" s="338" t="s">
        <v>626</v>
      </c>
      <c r="D5" s="338" t="s">
        <v>631</v>
      </c>
      <c r="E5" s="338" t="s">
        <v>635</v>
      </c>
      <c r="F5" s="338"/>
      <c r="G5" s="338"/>
      <c r="H5" s="338"/>
      <c r="I5" s="361"/>
      <c r="J5" s="361"/>
      <c r="K5" s="352" t="s">
        <v>602</v>
      </c>
      <c r="L5" s="338"/>
      <c r="M5" s="338"/>
      <c r="N5" s="338"/>
      <c r="O5" s="336"/>
      <c r="P5" s="336"/>
      <c r="Q5" s="336"/>
      <c r="R5" s="350">
        <f t="shared" si="0"/>
        <v>42518</v>
      </c>
    </row>
    <row r="6" spans="1:18" ht="14.1" customHeight="1" x14ac:dyDescent="0.2">
      <c r="A6" s="338" t="s">
        <v>551</v>
      </c>
      <c r="B6" s="338"/>
      <c r="C6" s="338" t="s">
        <v>627</v>
      </c>
      <c r="D6" s="336" t="s">
        <v>191</v>
      </c>
      <c r="E6" s="338" t="s">
        <v>636</v>
      </c>
      <c r="F6" s="338"/>
      <c r="G6" s="338"/>
      <c r="H6" s="338"/>
      <c r="I6" s="361"/>
      <c r="J6" s="341"/>
      <c r="K6" s="336"/>
      <c r="L6" s="338"/>
      <c r="M6" s="338"/>
      <c r="N6" s="338"/>
      <c r="O6" s="336"/>
      <c r="P6" s="336"/>
      <c r="Q6" s="336"/>
      <c r="R6" s="350">
        <f t="shared" si="0"/>
        <v>42519</v>
      </c>
    </row>
    <row r="7" spans="1:18" ht="14.1" customHeight="1" x14ac:dyDescent="0.2">
      <c r="A7" s="338" t="s">
        <v>526</v>
      </c>
      <c r="B7" s="338"/>
      <c r="C7" s="338" t="s">
        <v>528</v>
      </c>
      <c r="D7" s="338"/>
      <c r="E7" s="338" t="s">
        <v>787</v>
      </c>
      <c r="F7" s="338"/>
      <c r="G7" s="338"/>
      <c r="H7" s="338"/>
      <c r="I7" s="361"/>
      <c r="J7" s="361"/>
      <c r="K7" s="336"/>
      <c r="L7" s="338"/>
      <c r="M7" s="338"/>
      <c r="N7" s="338"/>
      <c r="O7" s="336"/>
      <c r="P7" s="336"/>
      <c r="Q7" s="336"/>
      <c r="R7" s="350">
        <f>R8-1</f>
        <v>42520</v>
      </c>
    </row>
    <row r="8" spans="1:18" ht="14.1" customHeight="1" x14ac:dyDescent="0.2">
      <c r="A8" s="338" t="s">
        <v>552</v>
      </c>
      <c r="B8" s="338"/>
      <c r="C8" s="338" t="s">
        <v>559</v>
      </c>
      <c r="D8" s="338"/>
      <c r="E8" s="338" t="s">
        <v>637</v>
      </c>
      <c r="F8" s="338"/>
      <c r="G8" s="338"/>
      <c r="H8" s="338"/>
      <c r="I8" s="361"/>
      <c r="J8" s="361"/>
      <c r="K8" s="336"/>
      <c r="L8" s="338"/>
      <c r="M8" s="338"/>
      <c r="N8" s="338"/>
      <c r="O8" s="336"/>
      <c r="P8" s="336"/>
      <c r="Q8" s="336"/>
      <c r="R8" s="350">
        <f>DATE(YEAR(START_DATE_KREDIT),MONTH(START_DATE_KREDIT)+MONTH_KREDIT,DAY(START_DATE_KREDIT))</f>
        <v>42521</v>
      </c>
    </row>
    <row r="9" spans="1:18" ht="14.1" customHeight="1" x14ac:dyDescent="0.2">
      <c r="A9" s="338" t="s">
        <v>553</v>
      </c>
      <c r="B9" s="338"/>
      <c r="C9" s="338" t="s">
        <v>628</v>
      </c>
      <c r="D9" s="338"/>
      <c r="E9" s="338" t="s">
        <v>732</v>
      </c>
      <c r="F9" s="338"/>
      <c r="G9" s="338"/>
      <c r="H9" s="338"/>
      <c r="I9" s="361"/>
      <c r="J9" s="361"/>
      <c r="K9" s="336"/>
      <c r="L9" s="338"/>
      <c r="M9" s="338"/>
      <c r="N9" s="338"/>
      <c r="O9" s="336"/>
      <c r="P9" s="336"/>
      <c r="Q9" s="336"/>
      <c r="R9" s="350">
        <f>R8+1</f>
        <v>42522</v>
      </c>
    </row>
    <row r="10" spans="1:18" ht="14.1" customHeight="1" x14ac:dyDescent="0.2">
      <c r="A10" s="338" t="s">
        <v>544</v>
      </c>
      <c r="B10" s="338"/>
      <c r="C10" s="338" t="s">
        <v>786</v>
      </c>
      <c r="D10" s="338"/>
      <c r="E10" s="338" t="s">
        <v>733</v>
      </c>
      <c r="F10" s="338"/>
      <c r="G10" s="338"/>
      <c r="H10" s="338"/>
      <c r="I10" s="361"/>
      <c r="J10" s="361"/>
      <c r="K10" s="336"/>
      <c r="L10" s="338"/>
      <c r="M10" s="338"/>
      <c r="N10" s="338"/>
      <c r="O10" s="336"/>
      <c r="P10" s="336"/>
      <c r="Q10" s="336"/>
      <c r="R10" s="350">
        <f t="shared" ref="R10:R17" si="1">R9+1</f>
        <v>42523</v>
      </c>
    </row>
    <row r="11" spans="1:18" ht="14.1" customHeight="1" x14ac:dyDescent="0.2">
      <c r="A11" s="338" t="s">
        <v>554</v>
      </c>
      <c r="B11" s="338"/>
      <c r="C11" s="338" t="s">
        <v>629</v>
      </c>
      <c r="D11" s="338"/>
      <c r="E11" s="338" t="s">
        <v>777</v>
      </c>
      <c r="F11" s="338"/>
      <c r="G11" s="338"/>
      <c r="H11" s="338"/>
      <c r="I11" s="361"/>
      <c r="J11" s="361"/>
      <c r="K11" s="336"/>
      <c r="L11" s="338"/>
      <c r="M11" s="338"/>
      <c r="N11" s="338"/>
      <c r="O11" s="336"/>
      <c r="P11" s="336"/>
      <c r="Q11" s="336"/>
      <c r="R11" s="350">
        <f t="shared" si="1"/>
        <v>42524</v>
      </c>
    </row>
    <row r="12" spans="1:18" ht="14.1" customHeight="1" x14ac:dyDescent="0.2">
      <c r="A12" s="338" t="s">
        <v>555</v>
      </c>
      <c r="B12" s="338"/>
      <c r="C12" s="338" t="s">
        <v>731</v>
      </c>
      <c r="D12" s="338"/>
      <c r="E12" s="338" t="s">
        <v>778</v>
      </c>
      <c r="F12" s="338"/>
      <c r="G12" s="338"/>
      <c r="H12" s="338"/>
      <c r="I12" s="361"/>
      <c r="J12" s="361"/>
      <c r="K12" s="336"/>
      <c r="L12" s="338"/>
      <c r="M12" s="338"/>
      <c r="N12" s="338"/>
      <c r="O12" s="336"/>
      <c r="P12" s="336"/>
      <c r="Q12" s="336"/>
      <c r="R12" s="350">
        <f t="shared" si="1"/>
        <v>42525</v>
      </c>
    </row>
    <row r="13" spans="1:18" ht="14.1" customHeight="1" x14ac:dyDescent="0.2">
      <c r="A13" s="338" t="s">
        <v>556</v>
      </c>
      <c r="B13" s="338"/>
      <c r="C13" s="338" t="s">
        <v>734</v>
      </c>
      <c r="D13" s="338"/>
      <c r="E13" s="338" t="s">
        <v>779</v>
      </c>
      <c r="F13" s="338"/>
      <c r="G13" s="338"/>
      <c r="H13" s="338"/>
      <c r="I13" s="361"/>
      <c r="J13" s="361"/>
      <c r="K13" s="336"/>
      <c r="L13" s="338"/>
      <c r="M13" s="338"/>
      <c r="N13" s="338"/>
      <c r="O13" s="336"/>
      <c r="P13" s="336"/>
      <c r="Q13" s="336"/>
      <c r="R13" s="350">
        <f t="shared" si="1"/>
        <v>42526</v>
      </c>
    </row>
    <row r="14" spans="1:18" ht="14.1" customHeight="1" x14ac:dyDescent="0.2">
      <c r="A14" s="338" t="s">
        <v>557</v>
      </c>
      <c r="B14" s="338"/>
      <c r="C14" s="338" t="s">
        <v>735</v>
      </c>
      <c r="D14" s="338"/>
      <c r="E14" s="338" t="s">
        <v>780</v>
      </c>
      <c r="F14" s="338"/>
      <c r="G14" s="338"/>
      <c r="H14" s="338"/>
      <c r="I14" s="361"/>
      <c r="J14" s="361"/>
      <c r="K14" s="336"/>
      <c r="L14" s="338"/>
      <c r="M14" s="338"/>
      <c r="N14" s="338"/>
      <c r="O14" s="336"/>
      <c r="P14" s="336"/>
      <c r="Q14" s="336"/>
      <c r="R14" s="350">
        <f t="shared" si="1"/>
        <v>42527</v>
      </c>
    </row>
    <row r="15" spans="1:18" ht="14.1" customHeight="1" x14ac:dyDescent="0.2">
      <c r="A15" s="338" t="s">
        <v>558</v>
      </c>
      <c r="B15" s="338"/>
      <c r="C15" s="338" t="s">
        <v>776</v>
      </c>
      <c r="D15" s="338"/>
      <c r="E15" s="338" t="s">
        <v>781</v>
      </c>
      <c r="F15" s="338"/>
      <c r="G15" s="338"/>
      <c r="H15" s="338"/>
      <c r="I15" s="361"/>
      <c r="J15" s="361"/>
      <c r="K15" s="336"/>
      <c r="L15" s="338"/>
      <c r="M15" s="338"/>
      <c r="N15" s="338"/>
      <c r="O15" s="336"/>
      <c r="P15" s="336"/>
      <c r="Q15" s="336"/>
      <c r="R15" s="350">
        <f t="shared" si="1"/>
        <v>42528</v>
      </c>
    </row>
    <row r="16" spans="1:18" ht="14.1" customHeight="1" x14ac:dyDescent="0.2">
      <c r="A16" s="338" t="s">
        <v>559</v>
      </c>
      <c r="B16" s="338"/>
      <c r="C16" s="338" t="s">
        <v>531</v>
      </c>
      <c r="D16" s="338"/>
      <c r="E16" s="338" t="s">
        <v>782</v>
      </c>
      <c r="F16" s="338"/>
      <c r="G16" s="338"/>
      <c r="H16" s="338"/>
      <c r="I16" s="361"/>
      <c r="J16" s="361"/>
      <c r="K16" s="336"/>
      <c r="L16" s="338"/>
      <c r="M16" s="338"/>
      <c r="N16" s="338"/>
      <c r="O16" s="336"/>
      <c r="P16" s="336"/>
      <c r="Q16" s="336"/>
      <c r="R16" s="350">
        <f t="shared" si="1"/>
        <v>42529</v>
      </c>
    </row>
    <row r="17" spans="1:18" ht="14.1" customHeight="1" x14ac:dyDescent="0.25">
      <c r="A17" s="340" t="s">
        <v>560</v>
      </c>
      <c r="B17" s="340"/>
      <c r="C17" s="340" t="s">
        <v>548</v>
      </c>
      <c r="D17" s="340"/>
      <c r="E17" s="340" t="s">
        <v>784</v>
      </c>
      <c r="F17" s="340"/>
      <c r="G17" s="340"/>
      <c r="H17" s="340"/>
      <c r="I17" s="361"/>
      <c r="J17" s="361"/>
      <c r="K17" s="336"/>
      <c r="L17" s="340"/>
      <c r="M17" s="340"/>
      <c r="N17" s="340"/>
      <c r="O17" s="336"/>
      <c r="P17" s="336"/>
      <c r="Q17" s="336"/>
      <c r="R17" s="350">
        <f t="shared" si="1"/>
        <v>42530</v>
      </c>
    </row>
    <row r="18" spans="1:18" ht="14.1" customHeight="1" x14ac:dyDescent="0.25">
      <c r="A18" s="340" t="s">
        <v>561</v>
      </c>
      <c r="B18" s="340"/>
      <c r="C18" s="340" t="s">
        <v>529</v>
      </c>
      <c r="D18" s="340"/>
      <c r="E18" s="340" t="s">
        <v>785</v>
      </c>
      <c r="F18" s="340"/>
      <c r="G18" s="340"/>
      <c r="H18" s="340"/>
      <c r="I18" s="361"/>
      <c r="J18" s="361"/>
      <c r="K18" s="336"/>
      <c r="L18" s="340"/>
      <c r="M18" s="340"/>
      <c r="N18" s="340"/>
      <c r="O18" s="336"/>
      <c r="P18" s="336"/>
      <c r="Q18" s="336"/>
      <c r="R18" s="336"/>
    </row>
    <row r="19" spans="1:18" ht="14.1" customHeight="1" x14ac:dyDescent="0.25">
      <c r="A19" s="340" t="s">
        <v>562</v>
      </c>
      <c r="B19" s="340"/>
      <c r="C19" s="340" t="s">
        <v>783</v>
      </c>
      <c r="D19" s="340"/>
      <c r="E19" s="340" t="s">
        <v>794</v>
      </c>
      <c r="F19" s="340"/>
      <c r="G19" s="340"/>
      <c r="H19" s="340"/>
      <c r="I19" s="361"/>
      <c r="J19" s="361"/>
      <c r="K19" s="336"/>
      <c r="L19" s="340"/>
      <c r="M19" s="340"/>
      <c r="N19" s="340"/>
      <c r="O19" s="336"/>
      <c r="P19" s="336"/>
      <c r="Q19" s="336"/>
      <c r="R19" s="336"/>
    </row>
    <row r="20" spans="1:18" ht="14.1" customHeight="1" x14ac:dyDescent="0.25">
      <c r="A20" s="340" t="s">
        <v>563</v>
      </c>
      <c r="B20" s="340"/>
      <c r="C20" s="340" t="s">
        <v>789</v>
      </c>
      <c r="D20" s="340"/>
      <c r="E20" s="340"/>
      <c r="F20" s="340"/>
      <c r="G20" s="340"/>
      <c r="H20" s="340"/>
      <c r="I20" s="361"/>
      <c r="J20" s="361"/>
      <c r="K20" s="336"/>
      <c r="L20" s="340"/>
      <c r="M20" s="340"/>
      <c r="N20" s="340"/>
      <c r="O20" s="336"/>
      <c r="P20" s="336"/>
      <c r="Q20" s="336"/>
      <c r="R20" s="336"/>
    </row>
    <row r="21" spans="1:18" ht="14.1" customHeight="1" x14ac:dyDescent="0.25">
      <c r="A21" s="340" t="s">
        <v>537</v>
      </c>
      <c r="B21" s="340"/>
      <c r="C21" s="340" t="s">
        <v>793</v>
      </c>
      <c r="D21" s="340"/>
      <c r="E21" s="340"/>
      <c r="F21" s="340"/>
      <c r="G21" s="340"/>
      <c r="H21" s="340"/>
      <c r="I21" s="361"/>
      <c r="J21" s="361"/>
      <c r="K21" s="336"/>
      <c r="L21" s="340"/>
      <c r="M21" s="340"/>
      <c r="N21" s="340"/>
      <c r="O21" s="336"/>
      <c r="P21" s="336"/>
      <c r="Q21" s="336"/>
      <c r="R21" s="336"/>
    </row>
    <row r="22" spans="1:18" ht="14.1" customHeight="1" x14ac:dyDescent="0.25">
      <c r="A22" s="340" t="s">
        <v>564</v>
      </c>
      <c r="B22" s="340"/>
      <c r="C22" s="340"/>
      <c r="D22" s="340"/>
      <c r="E22" s="340"/>
      <c r="F22" s="340"/>
      <c r="G22" s="340"/>
      <c r="H22" s="340"/>
      <c r="I22" s="361"/>
      <c r="J22" s="361"/>
      <c r="K22" s="336"/>
      <c r="L22" s="340"/>
      <c r="M22" s="340"/>
      <c r="N22" s="340"/>
      <c r="O22" s="336"/>
      <c r="P22" s="336"/>
      <c r="Q22" s="336"/>
      <c r="R22" s="336"/>
    </row>
    <row r="23" spans="1:18" ht="14.1" customHeight="1" x14ac:dyDescent="0.25">
      <c r="A23" s="340" t="s">
        <v>565</v>
      </c>
      <c r="B23" s="340"/>
      <c r="C23" s="340"/>
      <c r="D23" s="340"/>
      <c r="E23" s="340"/>
      <c r="F23" s="340"/>
      <c r="G23" s="340"/>
      <c r="H23" s="340"/>
      <c r="I23" s="361"/>
      <c r="J23" s="361"/>
      <c r="K23" s="336"/>
      <c r="L23" s="340"/>
      <c r="M23" s="340"/>
      <c r="N23" s="340"/>
      <c r="O23" s="336"/>
      <c r="P23" s="336"/>
      <c r="Q23" s="336"/>
      <c r="R23" s="336"/>
    </row>
    <row r="24" spans="1:18" ht="14.1" customHeight="1" x14ac:dyDescent="0.25">
      <c r="A24" s="340" t="s">
        <v>566</v>
      </c>
      <c r="B24" s="340"/>
      <c r="C24" s="340"/>
      <c r="D24" s="340"/>
      <c r="E24" s="340"/>
      <c r="F24" s="340"/>
      <c r="G24" s="340"/>
      <c r="H24" s="340"/>
      <c r="I24" s="361"/>
      <c r="J24" s="361"/>
      <c r="K24" s="336"/>
      <c r="L24" s="340"/>
      <c r="M24" s="340"/>
      <c r="N24" s="340"/>
      <c r="O24" s="336"/>
      <c r="P24" s="336"/>
      <c r="Q24" s="336"/>
      <c r="R24" s="336"/>
    </row>
    <row r="25" spans="1:18" ht="14.1" customHeight="1" x14ac:dyDescent="0.25">
      <c r="A25" s="340" t="s">
        <v>567</v>
      </c>
      <c r="B25" s="340"/>
      <c r="C25" s="340"/>
      <c r="D25" s="340"/>
      <c r="E25" s="340"/>
      <c r="F25" s="340"/>
      <c r="G25" s="340"/>
      <c r="H25" s="340"/>
      <c r="I25" s="361"/>
      <c r="J25" s="361"/>
      <c r="K25" s="336"/>
      <c r="L25" s="340"/>
      <c r="M25" s="340"/>
      <c r="N25" s="340"/>
      <c r="O25" s="336"/>
      <c r="P25" s="336"/>
      <c r="Q25" s="336"/>
      <c r="R25" s="336"/>
    </row>
    <row r="26" spans="1:18" ht="14.1" customHeight="1" x14ac:dyDescent="0.25">
      <c r="A26" s="340" t="s">
        <v>540</v>
      </c>
      <c r="B26" s="340"/>
      <c r="C26" s="340"/>
      <c r="D26" s="340"/>
      <c r="E26" s="340"/>
      <c r="F26" s="340"/>
      <c r="G26" s="340"/>
      <c r="H26" s="340"/>
      <c r="I26" s="361"/>
      <c r="J26" s="361"/>
      <c r="K26" s="336"/>
      <c r="L26" s="340"/>
      <c r="M26" s="340"/>
      <c r="N26" s="340"/>
      <c r="O26" s="336"/>
      <c r="P26" s="336"/>
      <c r="Q26" s="336"/>
      <c r="R26" s="336"/>
    </row>
    <row r="27" spans="1:18" ht="14.1" customHeight="1" x14ac:dyDescent="0.25">
      <c r="A27" s="340" t="s">
        <v>543</v>
      </c>
      <c r="B27" s="340"/>
      <c r="C27" s="340"/>
      <c r="D27" s="340"/>
      <c r="E27" s="340"/>
      <c r="F27" s="340"/>
      <c r="G27" s="340"/>
      <c r="H27" s="340"/>
      <c r="I27" s="361"/>
      <c r="J27" s="361"/>
      <c r="K27" s="336"/>
      <c r="L27" s="340"/>
      <c r="M27" s="340"/>
      <c r="N27" s="340"/>
      <c r="O27" s="336"/>
      <c r="P27" s="336"/>
      <c r="Q27" s="336"/>
      <c r="R27" s="336"/>
    </row>
    <row r="28" spans="1:18" ht="14.1" customHeight="1" x14ac:dyDescent="0.25">
      <c r="A28" s="340" t="s">
        <v>527</v>
      </c>
      <c r="B28" s="340"/>
      <c r="C28" s="340"/>
      <c r="D28" s="340"/>
      <c r="E28" s="340"/>
      <c r="F28" s="340"/>
      <c r="G28" s="340"/>
      <c r="H28" s="340"/>
      <c r="I28" s="361"/>
      <c r="J28" s="361"/>
      <c r="K28" s="336"/>
      <c r="L28" s="340"/>
      <c r="M28" s="340"/>
      <c r="N28" s="340"/>
      <c r="O28" s="336"/>
      <c r="P28" s="336"/>
      <c r="Q28" s="336"/>
      <c r="R28" s="336"/>
    </row>
    <row r="29" spans="1:18" ht="14.1" customHeight="1" x14ac:dyDescent="0.25">
      <c r="A29" s="340" t="s">
        <v>568</v>
      </c>
      <c r="B29" s="340"/>
      <c r="C29" s="340"/>
      <c r="D29" s="340"/>
      <c r="E29" s="340"/>
      <c r="F29" s="340"/>
      <c r="G29" s="340"/>
      <c r="H29" s="340"/>
      <c r="I29" s="361"/>
      <c r="J29" s="361"/>
      <c r="K29" s="336"/>
      <c r="L29" s="340"/>
      <c r="M29" s="340"/>
      <c r="N29" s="340"/>
      <c r="O29" s="336"/>
      <c r="P29" s="336"/>
      <c r="Q29" s="336"/>
      <c r="R29" s="336"/>
    </row>
    <row r="30" spans="1:18" ht="14.1" customHeight="1" x14ac:dyDescent="0.25">
      <c r="A30" s="340" t="s">
        <v>532</v>
      </c>
      <c r="B30" s="340"/>
      <c r="C30" s="340"/>
      <c r="D30" s="340"/>
      <c r="E30" s="340"/>
      <c r="F30" s="340"/>
      <c r="G30" s="340"/>
      <c r="H30" s="340"/>
      <c r="I30" s="361"/>
      <c r="J30" s="361"/>
      <c r="K30" s="336"/>
      <c r="L30" s="340"/>
      <c r="M30" s="340"/>
      <c r="N30" s="340"/>
      <c r="O30" s="336"/>
      <c r="P30" s="336"/>
      <c r="Q30" s="336"/>
      <c r="R30" s="336"/>
    </row>
    <row r="31" spans="1:18" ht="14.1" customHeight="1" x14ac:dyDescent="0.25">
      <c r="A31" s="340" t="s">
        <v>569</v>
      </c>
      <c r="B31" s="340"/>
      <c r="C31" s="340"/>
      <c r="D31" s="340"/>
      <c r="E31" s="340"/>
      <c r="F31" s="340"/>
      <c r="G31" s="340"/>
      <c r="H31" s="340"/>
      <c r="I31" s="361"/>
      <c r="J31" s="361"/>
      <c r="K31" s="336"/>
      <c r="L31" s="340"/>
      <c r="M31" s="340"/>
      <c r="N31" s="340"/>
      <c r="O31" s="336"/>
      <c r="P31" s="336"/>
      <c r="Q31" s="336"/>
      <c r="R31" s="336"/>
    </row>
    <row r="32" spans="1:18" ht="14.1" customHeight="1" x14ac:dyDescent="0.25">
      <c r="A32" s="340" t="s">
        <v>570</v>
      </c>
      <c r="B32" s="340"/>
      <c r="C32" s="340"/>
      <c r="D32" s="340"/>
      <c r="E32" s="340"/>
      <c r="F32" s="340"/>
      <c r="G32" s="340"/>
      <c r="H32" s="340"/>
      <c r="I32" s="361"/>
      <c r="J32" s="361"/>
      <c r="K32" s="336"/>
      <c r="L32" s="340"/>
      <c r="M32" s="340"/>
      <c r="N32" s="340"/>
      <c r="O32" s="336"/>
      <c r="P32" s="336"/>
      <c r="Q32" s="336"/>
      <c r="R32" s="336"/>
    </row>
    <row r="33" spans="1:18" ht="14.1" customHeight="1" x14ac:dyDescent="0.25">
      <c r="A33" s="340" t="s">
        <v>541</v>
      </c>
      <c r="B33" s="340"/>
      <c r="C33" s="340"/>
      <c r="D33" s="340"/>
      <c r="E33" s="340"/>
      <c r="F33" s="340"/>
      <c r="G33" s="340"/>
      <c r="H33" s="340"/>
      <c r="I33" s="361"/>
      <c r="J33" s="361"/>
      <c r="K33" s="336"/>
      <c r="L33" s="340"/>
      <c r="M33" s="340"/>
      <c r="N33" s="340"/>
      <c r="O33" s="336"/>
      <c r="P33" s="336"/>
      <c r="Q33" s="336"/>
      <c r="R33" s="336"/>
    </row>
    <row r="34" spans="1:18" ht="14.1" customHeight="1" x14ac:dyDescent="0.25">
      <c r="A34" s="340" t="s">
        <v>547</v>
      </c>
      <c r="B34" s="340"/>
      <c r="C34" s="340"/>
      <c r="D34" s="340"/>
      <c r="E34" s="340"/>
      <c r="F34" s="340"/>
      <c r="G34" s="340"/>
      <c r="H34" s="340"/>
      <c r="I34" s="361"/>
      <c r="J34" s="361"/>
      <c r="K34" s="336"/>
      <c r="L34" s="340"/>
      <c r="M34" s="340"/>
      <c r="N34" s="340"/>
      <c r="O34" s="336"/>
      <c r="P34" s="336"/>
      <c r="Q34" s="336"/>
      <c r="R34" s="336"/>
    </row>
    <row r="35" spans="1:18" ht="14.1" customHeight="1" x14ac:dyDescent="0.25">
      <c r="A35" s="340" t="s">
        <v>571</v>
      </c>
      <c r="B35" s="340"/>
      <c r="C35" s="340"/>
      <c r="D35" s="340"/>
      <c r="E35" s="340"/>
      <c r="F35" s="340"/>
      <c r="G35" s="340"/>
      <c r="H35" s="340"/>
      <c r="I35" s="361"/>
      <c r="J35" s="361"/>
      <c r="K35" s="336"/>
      <c r="L35" s="340"/>
      <c r="M35" s="340"/>
      <c r="N35" s="340"/>
      <c r="O35" s="336"/>
      <c r="P35" s="336"/>
      <c r="Q35" s="336"/>
      <c r="R35" s="336"/>
    </row>
    <row r="36" spans="1:18" ht="14.1" customHeight="1" x14ac:dyDescent="0.25">
      <c r="A36" s="340" t="s">
        <v>545</v>
      </c>
      <c r="B36" s="340"/>
      <c r="C36" s="340"/>
      <c r="D36" s="340"/>
      <c r="E36" s="340"/>
      <c r="F36" s="340"/>
      <c r="G36" s="340"/>
      <c r="H36" s="340"/>
      <c r="I36" s="361"/>
      <c r="J36" s="361"/>
      <c r="K36" s="336"/>
      <c r="L36" s="340"/>
      <c r="M36" s="340"/>
      <c r="N36" s="340"/>
      <c r="O36" s="336"/>
      <c r="P36" s="336"/>
      <c r="Q36" s="336"/>
      <c r="R36" s="336"/>
    </row>
    <row r="37" spans="1:18" ht="14.1" customHeight="1" x14ac:dyDescent="0.25">
      <c r="A37" s="340" t="s">
        <v>572</v>
      </c>
      <c r="B37" s="340"/>
      <c r="C37" s="340"/>
      <c r="D37" s="340"/>
      <c r="E37" s="340"/>
      <c r="F37" s="340"/>
      <c r="G37" s="340"/>
      <c r="H37" s="340"/>
      <c r="I37" s="361"/>
      <c r="J37" s="361"/>
      <c r="K37" s="336"/>
      <c r="L37" s="340"/>
      <c r="M37" s="340"/>
      <c r="N37" s="340"/>
      <c r="O37" s="336"/>
      <c r="P37" s="336"/>
      <c r="Q37" s="336"/>
      <c r="R37" s="336"/>
    </row>
    <row r="38" spans="1:18" ht="14.1" customHeight="1" x14ac:dyDescent="0.25">
      <c r="A38" s="340" t="s">
        <v>548</v>
      </c>
      <c r="B38" s="340"/>
      <c r="C38" s="340"/>
      <c r="D38" s="340"/>
      <c r="E38" s="340"/>
      <c r="F38" s="340"/>
      <c r="G38" s="340"/>
      <c r="H38" s="340"/>
      <c r="I38" s="361"/>
      <c r="J38" s="361"/>
      <c r="K38" s="336"/>
      <c r="L38" s="340"/>
      <c r="M38" s="340"/>
      <c r="N38" s="340"/>
      <c r="O38" s="336"/>
      <c r="P38" s="336"/>
      <c r="Q38" s="336"/>
      <c r="R38" s="336"/>
    </row>
    <row r="39" spans="1:18" ht="15.75" x14ac:dyDescent="0.25">
      <c r="A39" s="340" t="s">
        <v>524</v>
      </c>
      <c r="B39" s="340"/>
      <c r="C39" s="340"/>
      <c r="D39" s="340"/>
      <c r="E39" s="340"/>
      <c r="F39" s="340"/>
      <c r="G39" s="340"/>
      <c r="H39" s="340"/>
      <c r="I39" s="361"/>
      <c r="J39" s="361"/>
      <c r="K39" s="336"/>
      <c r="L39" s="340"/>
      <c r="M39" s="340"/>
      <c r="N39" s="340"/>
      <c r="O39" s="336"/>
      <c r="P39" s="336"/>
      <c r="Q39" s="336"/>
      <c r="R39" s="336"/>
    </row>
    <row r="40" spans="1:18" ht="15.75" x14ac:dyDescent="0.25">
      <c r="A40" s="340" t="s">
        <v>533</v>
      </c>
      <c r="B40" s="340"/>
      <c r="C40" s="340"/>
      <c r="D40" s="340"/>
      <c r="E40" s="340"/>
      <c r="F40" s="340"/>
      <c r="G40" s="340"/>
      <c r="H40" s="340"/>
      <c r="I40" s="361"/>
      <c r="J40" s="361"/>
      <c r="K40" s="336"/>
      <c r="L40" s="340"/>
      <c r="M40" s="340"/>
      <c r="N40" s="340"/>
      <c r="O40" s="336"/>
      <c r="P40" s="336"/>
      <c r="Q40" s="336"/>
      <c r="R40" s="336"/>
    </row>
    <row r="41" spans="1:18" ht="15.75" x14ac:dyDescent="0.25">
      <c r="A41" s="340" t="s">
        <v>523</v>
      </c>
      <c r="B41" s="340"/>
      <c r="C41" s="340"/>
      <c r="D41" s="340"/>
      <c r="E41" s="340"/>
      <c r="F41" s="340"/>
      <c r="G41" s="340"/>
      <c r="H41" s="340"/>
      <c r="I41" s="361"/>
      <c r="J41" s="361"/>
      <c r="K41" s="336"/>
      <c r="L41" s="340"/>
      <c r="M41" s="340"/>
      <c r="N41" s="340"/>
      <c r="O41" s="336"/>
      <c r="P41" s="336"/>
      <c r="Q41" s="336"/>
      <c r="R41" s="336"/>
    </row>
    <row r="42" spans="1:18" ht="15.75" x14ac:dyDescent="0.25">
      <c r="A42" s="340" t="s">
        <v>539</v>
      </c>
      <c r="B42" s="340"/>
      <c r="C42" s="340"/>
      <c r="D42" s="340"/>
      <c r="E42" s="340"/>
      <c r="F42" s="340"/>
      <c r="G42" s="340"/>
      <c r="H42" s="340"/>
      <c r="I42" s="361"/>
      <c r="J42" s="361"/>
      <c r="K42" s="336"/>
      <c r="L42" s="340"/>
      <c r="M42" s="340"/>
      <c r="N42" s="340"/>
      <c r="O42" s="336"/>
      <c r="P42" s="336"/>
      <c r="Q42" s="336"/>
      <c r="R42" s="336"/>
    </row>
    <row r="43" spans="1:18" ht="15.75" x14ac:dyDescent="0.25">
      <c r="A43" s="340" t="s">
        <v>573</v>
      </c>
      <c r="B43" s="340"/>
      <c r="C43" s="340"/>
      <c r="D43" s="340"/>
      <c r="E43" s="340"/>
      <c r="F43" s="340"/>
      <c r="G43" s="340"/>
      <c r="H43" s="340"/>
      <c r="I43" s="361"/>
      <c r="J43" s="361"/>
      <c r="K43" s="336"/>
      <c r="L43" s="340"/>
      <c r="M43" s="340"/>
      <c r="N43" s="340"/>
      <c r="O43" s="336"/>
      <c r="P43" s="336"/>
      <c r="Q43" s="336"/>
      <c r="R43" s="336"/>
    </row>
    <row r="44" spans="1:18" ht="15.75" x14ac:dyDescent="0.25">
      <c r="A44" s="340" t="s">
        <v>574</v>
      </c>
      <c r="B44" s="340"/>
      <c r="C44" s="340"/>
      <c r="D44" s="340"/>
      <c r="E44" s="340"/>
      <c r="F44" s="340"/>
      <c r="G44" s="340"/>
      <c r="H44" s="340"/>
      <c r="I44" s="361"/>
      <c r="J44" s="361"/>
      <c r="K44" s="336"/>
      <c r="L44" s="340"/>
      <c r="M44" s="340"/>
      <c r="N44" s="340"/>
      <c r="O44" s="336"/>
      <c r="P44" s="336"/>
      <c r="Q44" s="336"/>
      <c r="R44" s="336"/>
    </row>
    <row r="45" spans="1:18" ht="15.75" x14ac:dyDescent="0.25">
      <c r="A45" s="340" t="s">
        <v>575</v>
      </c>
      <c r="B45" s="340"/>
      <c r="C45" s="340"/>
      <c r="D45" s="340"/>
      <c r="E45" s="340"/>
      <c r="F45" s="340"/>
      <c r="G45" s="340"/>
      <c r="H45" s="340"/>
      <c r="I45" s="361"/>
      <c r="J45" s="361"/>
      <c r="K45" s="336"/>
      <c r="L45" s="340"/>
      <c r="M45" s="340"/>
      <c r="N45" s="340"/>
      <c r="O45" s="336"/>
      <c r="P45" s="336"/>
      <c r="Q45" s="336"/>
      <c r="R45" s="336"/>
    </row>
    <row r="46" spans="1:18" ht="15.75" x14ac:dyDescent="0.25">
      <c r="A46" s="340" t="s">
        <v>536</v>
      </c>
      <c r="B46" s="340"/>
      <c r="C46" s="340"/>
      <c r="D46" s="340"/>
      <c r="E46" s="340"/>
      <c r="F46" s="340"/>
      <c r="G46" s="340"/>
      <c r="H46" s="340"/>
      <c r="I46" s="361"/>
      <c r="J46" s="361"/>
      <c r="K46" s="336"/>
      <c r="L46" s="340"/>
      <c r="M46" s="340"/>
      <c r="N46" s="340"/>
      <c r="O46" s="336"/>
      <c r="P46" s="336"/>
      <c r="Q46" s="336"/>
      <c r="R46" s="336"/>
    </row>
    <row r="47" spans="1:18" ht="15.75" x14ac:dyDescent="0.25">
      <c r="A47" s="340" t="s">
        <v>576</v>
      </c>
      <c r="B47" s="340"/>
      <c r="C47" s="340"/>
      <c r="D47" s="340"/>
      <c r="E47" s="340"/>
      <c r="F47" s="340"/>
      <c r="G47" s="340"/>
      <c r="H47" s="340"/>
      <c r="I47" s="361"/>
      <c r="J47" s="361"/>
      <c r="K47" s="336"/>
      <c r="L47" s="340"/>
      <c r="M47" s="340"/>
      <c r="N47" s="340"/>
      <c r="O47" s="336"/>
      <c r="P47" s="336"/>
      <c r="Q47" s="336"/>
      <c r="R47" s="336"/>
    </row>
    <row r="48" spans="1:18" ht="15.75" x14ac:dyDescent="0.25">
      <c r="A48" s="340" t="s">
        <v>538</v>
      </c>
      <c r="B48" s="340"/>
      <c r="C48" s="340"/>
      <c r="D48" s="340"/>
      <c r="E48" s="340"/>
      <c r="F48" s="340"/>
      <c r="G48" s="340"/>
      <c r="H48" s="340"/>
      <c r="I48" s="361"/>
      <c r="J48" s="361"/>
      <c r="K48" s="336"/>
      <c r="L48" s="340"/>
      <c r="M48" s="340"/>
      <c r="N48" s="340"/>
      <c r="O48" s="336"/>
      <c r="P48" s="336"/>
      <c r="Q48" s="336"/>
      <c r="R48" s="336"/>
    </row>
    <row r="49" spans="1:18" ht="15.75" x14ac:dyDescent="0.25">
      <c r="A49" s="340" t="s">
        <v>528</v>
      </c>
      <c r="B49" s="340"/>
      <c r="C49" s="340"/>
      <c r="D49" s="340"/>
      <c r="E49" s="340"/>
      <c r="F49" s="340"/>
      <c r="G49" s="340"/>
      <c r="H49" s="340"/>
      <c r="I49" s="361"/>
      <c r="J49" s="361"/>
      <c r="K49" s="336"/>
      <c r="L49" s="340"/>
      <c r="M49" s="340"/>
      <c r="N49" s="340"/>
      <c r="O49" s="336"/>
      <c r="P49" s="336"/>
      <c r="Q49" s="336"/>
      <c r="R49" s="336"/>
    </row>
    <row r="50" spans="1:18" ht="15.75" x14ac:dyDescent="0.25">
      <c r="A50" s="340" t="s">
        <v>546</v>
      </c>
      <c r="B50" s="340"/>
      <c r="C50" s="340"/>
      <c r="D50" s="340"/>
      <c r="E50" s="340"/>
      <c r="F50" s="340"/>
      <c r="G50" s="340"/>
      <c r="H50" s="340"/>
      <c r="I50" s="361"/>
      <c r="J50" s="361"/>
      <c r="K50" s="336"/>
      <c r="L50" s="340"/>
      <c r="M50" s="340"/>
      <c r="N50" s="340"/>
      <c r="O50" s="336"/>
      <c r="P50" s="336"/>
      <c r="Q50" s="336"/>
      <c r="R50" s="336"/>
    </row>
    <row r="51" spans="1:18" ht="15.75" x14ac:dyDescent="0.25">
      <c r="A51" s="340" t="s">
        <v>577</v>
      </c>
      <c r="B51" s="340"/>
      <c r="C51" s="340"/>
      <c r="D51" s="340"/>
      <c r="E51" s="340"/>
      <c r="F51" s="340"/>
      <c r="G51" s="340"/>
      <c r="H51" s="340"/>
      <c r="I51" s="361"/>
      <c r="J51" s="361"/>
      <c r="K51" s="336"/>
      <c r="L51" s="340"/>
      <c r="M51" s="340"/>
      <c r="N51" s="340"/>
      <c r="O51" s="336"/>
      <c r="P51" s="336"/>
      <c r="Q51" s="336"/>
      <c r="R51" s="336"/>
    </row>
    <row r="52" spans="1:18" ht="15.75" x14ac:dyDescent="0.25">
      <c r="A52" s="340" t="s">
        <v>578</v>
      </c>
      <c r="B52" s="340"/>
      <c r="C52" s="340"/>
      <c r="D52" s="340"/>
      <c r="E52" s="340"/>
      <c r="F52" s="340"/>
      <c r="G52" s="340"/>
      <c r="H52" s="340"/>
      <c r="I52" s="361"/>
      <c r="J52" s="361"/>
      <c r="K52" s="336"/>
      <c r="L52" s="340"/>
      <c r="M52" s="340"/>
      <c r="N52" s="340"/>
      <c r="O52" s="336"/>
      <c r="P52" s="336"/>
      <c r="Q52" s="336"/>
      <c r="R52" s="336"/>
    </row>
    <row r="53" spans="1:18" ht="15.75" x14ac:dyDescent="0.25">
      <c r="A53" s="340" t="s">
        <v>579</v>
      </c>
      <c r="B53" s="340"/>
      <c r="C53" s="340"/>
      <c r="D53" s="340"/>
      <c r="E53" s="340"/>
      <c r="F53" s="340"/>
      <c r="G53" s="340"/>
      <c r="H53" s="340"/>
      <c r="I53" s="361"/>
      <c r="J53" s="361"/>
      <c r="K53" s="336"/>
      <c r="L53" s="340"/>
      <c r="M53" s="340"/>
      <c r="N53" s="340"/>
      <c r="O53" s="336"/>
      <c r="P53" s="336"/>
      <c r="Q53" s="336"/>
      <c r="R53" s="336"/>
    </row>
    <row r="54" spans="1:18" ht="15.75" x14ac:dyDescent="0.25">
      <c r="A54" s="340" t="s">
        <v>580</v>
      </c>
      <c r="B54" s="340"/>
      <c r="C54" s="340"/>
      <c r="D54" s="340"/>
      <c r="E54" s="340"/>
      <c r="F54" s="340"/>
      <c r="G54" s="340"/>
      <c r="H54" s="340"/>
      <c r="I54" s="361"/>
      <c r="J54" s="361"/>
      <c r="K54" s="336"/>
      <c r="L54" s="340"/>
      <c r="M54" s="340"/>
      <c r="N54" s="340"/>
      <c r="O54" s="336"/>
      <c r="P54" s="336"/>
      <c r="Q54" s="336"/>
      <c r="R54" s="336"/>
    </row>
    <row r="55" spans="1:18" ht="15.75" x14ac:dyDescent="0.25">
      <c r="A55" s="340" t="s">
        <v>525</v>
      </c>
      <c r="B55" s="340"/>
      <c r="C55" s="340"/>
      <c r="D55" s="340"/>
      <c r="E55" s="340"/>
      <c r="F55" s="340"/>
      <c r="G55" s="340"/>
      <c r="H55" s="340"/>
      <c r="I55" s="361"/>
      <c r="J55" s="361"/>
      <c r="K55" s="336"/>
      <c r="L55" s="340"/>
      <c r="M55" s="340"/>
      <c r="N55" s="340"/>
      <c r="O55" s="336"/>
      <c r="P55" s="336"/>
      <c r="Q55" s="336"/>
      <c r="R55" s="336"/>
    </row>
    <row r="56" spans="1:18" ht="15.75" x14ac:dyDescent="0.25">
      <c r="A56" s="340" t="s">
        <v>581</v>
      </c>
      <c r="B56" s="340"/>
      <c r="C56" s="340"/>
      <c r="D56" s="340"/>
      <c r="E56" s="340"/>
      <c r="F56" s="340"/>
      <c r="G56" s="340"/>
      <c r="H56" s="340"/>
      <c r="I56" s="361"/>
      <c r="J56" s="361"/>
      <c r="K56" s="336"/>
      <c r="L56" s="340"/>
      <c r="M56" s="340"/>
      <c r="N56" s="340"/>
      <c r="O56" s="336"/>
      <c r="P56" s="336"/>
      <c r="Q56" s="336"/>
      <c r="R56" s="336"/>
    </row>
    <row r="57" spans="1:18" ht="15.75" x14ac:dyDescent="0.25">
      <c r="A57" s="340" t="s">
        <v>542</v>
      </c>
      <c r="B57" s="340"/>
      <c r="C57" s="340"/>
      <c r="D57" s="340"/>
      <c r="E57" s="340"/>
      <c r="F57" s="340"/>
      <c r="G57" s="340"/>
      <c r="H57" s="340"/>
      <c r="I57" s="361"/>
      <c r="J57" s="361"/>
      <c r="K57" s="336"/>
      <c r="L57" s="340"/>
      <c r="M57" s="340"/>
      <c r="N57" s="340"/>
      <c r="O57" s="336"/>
      <c r="P57" s="336"/>
      <c r="Q57" s="336"/>
      <c r="R57" s="336"/>
    </row>
    <row r="58" spans="1:18" ht="15.75" x14ac:dyDescent="0.25">
      <c r="A58" s="340" t="s">
        <v>529</v>
      </c>
      <c r="B58" s="340"/>
      <c r="C58" s="340"/>
      <c r="D58" s="340"/>
      <c r="E58" s="340"/>
      <c r="F58" s="340"/>
      <c r="G58" s="340"/>
      <c r="H58" s="340"/>
      <c r="I58" s="361"/>
      <c r="J58" s="361"/>
      <c r="K58" s="336"/>
      <c r="L58" s="340"/>
      <c r="M58" s="340"/>
      <c r="N58" s="340"/>
      <c r="O58" s="336"/>
      <c r="P58" s="336"/>
      <c r="Q58" s="336"/>
      <c r="R58" s="336"/>
    </row>
    <row r="59" spans="1:18" ht="15.75" x14ac:dyDescent="0.25">
      <c r="A59" s="340" t="s">
        <v>535</v>
      </c>
      <c r="B59" s="340"/>
      <c r="C59" s="340"/>
      <c r="D59" s="340"/>
      <c r="E59" s="340"/>
      <c r="F59" s="340"/>
      <c r="G59" s="340"/>
      <c r="H59" s="340"/>
      <c r="I59" s="361"/>
      <c r="J59" s="361"/>
      <c r="K59" s="336"/>
      <c r="L59" s="340"/>
      <c r="M59" s="340"/>
      <c r="N59" s="340"/>
      <c r="O59" s="336"/>
      <c r="P59" s="336"/>
      <c r="Q59" s="336"/>
      <c r="R59" s="336"/>
    </row>
    <row r="60" spans="1:18" ht="15.75" x14ac:dyDescent="0.25">
      <c r="A60" s="340" t="s">
        <v>530</v>
      </c>
      <c r="B60" s="340"/>
      <c r="C60" s="340"/>
      <c r="D60" s="340"/>
      <c r="E60" s="340"/>
      <c r="F60" s="340"/>
      <c r="G60" s="340"/>
      <c r="H60" s="340"/>
      <c r="I60" s="361"/>
      <c r="J60" s="361"/>
      <c r="K60" s="336"/>
      <c r="L60" s="340"/>
      <c r="M60" s="340"/>
      <c r="N60" s="340"/>
      <c r="O60" s="336"/>
      <c r="P60" s="336"/>
      <c r="Q60" s="336"/>
      <c r="R60" s="336"/>
    </row>
    <row r="61" spans="1:18" x14ac:dyDescent="0.2">
      <c r="A61" s="336"/>
      <c r="B61" s="336"/>
      <c r="C61" s="336"/>
      <c r="D61" s="336"/>
      <c r="E61" s="336"/>
      <c r="F61" s="336"/>
      <c r="G61" s="336"/>
      <c r="H61" s="336"/>
      <c r="I61" s="341"/>
      <c r="J61" s="341"/>
      <c r="K61" s="336"/>
      <c r="L61" s="336"/>
      <c r="M61" s="336"/>
      <c r="N61" s="336"/>
      <c r="O61" s="336"/>
      <c r="P61" s="336"/>
      <c r="Q61" s="336"/>
      <c r="R61" s="336"/>
    </row>
    <row r="62" spans="1:18" x14ac:dyDescent="0.2">
      <c r="A62" s="368"/>
      <c r="B62" s="336"/>
      <c r="C62" s="336"/>
      <c r="D62" s="336"/>
      <c r="E62" s="336"/>
      <c r="F62" s="336"/>
      <c r="G62" s="336"/>
      <c r="H62" s="336"/>
      <c r="I62" s="341"/>
      <c r="J62" s="341"/>
      <c r="K62" s="336"/>
      <c r="L62" s="336"/>
      <c r="M62" s="336"/>
      <c r="N62" s="336"/>
      <c r="O62" s="336"/>
      <c r="P62" s="336"/>
      <c r="Q62" s="336"/>
      <c r="R62" s="336"/>
    </row>
    <row r="63" spans="1:18" x14ac:dyDescent="0.2">
      <c r="A63" s="368"/>
      <c r="B63" s="336"/>
      <c r="C63" s="336"/>
      <c r="D63" s="336"/>
      <c r="E63" s="336"/>
      <c r="F63" s="336"/>
      <c r="G63" s="336"/>
      <c r="H63" s="336"/>
      <c r="I63" s="341"/>
      <c r="J63" s="341"/>
      <c r="K63" s="336"/>
      <c r="L63" s="336"/>
      <c r="M63" s="336"/>
      <c r="N63" s="336"/>
      <c r="O63" s="336"/>
      <c r="P63" s="336"/>
      <c r="Q63" s="336"/>
      <c r="R63" s="336"/>
    </row>
    <row r="64" spans="1:18" x14ac:dyDescent="0.2">
      <c r="A64" s="368"/>
      <c r="B64" s="336"/>
      <c r="C64" s="336"/>
      <c r="D64" s="336"/>
      <c r="E64" s="336"/>
      <c r="F64" s="336"/>
      <c r="G64" s="336"/>
      <c r="H64" s="336"/>
      <c r="I64" s="341"/>
      <c r="J64" s="341"/>
      <c r="K64" s="336"/>
      <c r="L64" s="336"/>
      <c r="M64" s="336"/>
      <c r="N64" s="336"/>
      <c r="O64" s="336"/>
      <c r="P64" s="336"/>
      <c r="Q64" s="336"/>
      <c r="R64" s="336"/>
    </row>
    <row r="65" spans="1:18" x14ac:dyDescent="0.2">
      <c r="A65" s="368"/>
      <c r="B65" s="336"/>
      <c r="C65" s="336"/>
      <c r="D65" s="336"/>
      <c r="E65" s="336"/>
      <c r="F65" s="336"/>
      <c r="G65" s="336"/>
      <c r="H65" s="336"/>
      <c r="I65" s="341"/>
      <c r="J65" s="341"/>
      <c r="K65" s="336"/>
      <c r="L65" s="336"/>
      <c r="M65" s="336"/>
      <c r="N65" s="336"/>
      <c r="O65" s="336"/>
      <c r="P65" s="336"/>
      <c r="Q65" s="336"/>
      <c r="R65" s="336"/>
    </row>
    <row r="66" spans="1:18" x14ac:dyDescent="0.2">
      <c r="A66" s="369"/>
      <c r="B66" s="336"/>
      <c r="C66" s="336"/>
      <c r="D66" s="336"/>
      <c r="E66" s="336"/>
      <c r="F66" s="336"/>
      <c r="G66" s="336"/>
      <c r="H66" s="336"/>
      <c r="I66" s="341"/>
      <c r="J66" s="341"/>
      <c r="K66" s="336"/>
      <c r="L66" s="336"/>
      <c r="M66" s="336"/>
      <c r="N66" s="336"/>
      <c r="O66" s="336"/>
      <c r="P66" s="336"/>
      <c r="Q66" s="336"/>
      <c r="R66" s="336"/>
    </row>
    <row r="67" spans="1:18" x14ac:dyDescent="0.2">
      <c r="A67" s="368"/>
      <c r="B67" s="336"/>
      <c r="C67" s="336"/>
      <c r="D67" s="336"/>
      <c r="E67" s="336"/>
      <c r="F67" s="336"/>
      <c r="G67" s="336"/>
      <c r="H67" s="336"/>
      <c r="I67" s="341"/>
      <c r="J67" s="341"/>
      <c r="K67" s="336"/>
      <c r="L67" s="336"/>
      <c r="M67" s="336"/>
      <c r="N67" s="336"/>
      <c r="O67" s="336"/>
      <c r="P67" s="336"/>
      <c r="Q67" s="336"/>
      <c r="R67" s="336"/>
    </row>
    <row r="68" spans="1:18" x14ac:dyDescent="0.2">
      <c r="A68" s="368"/>
      <c r="B68" s="336"/>
      <c r="C68" s="336"/>
      <c r="D68" s="336"/>
      <c r="E68" s="336"/>
      <c r="F68" s="336"/>
      <c r="G68" s="336"/>
      <c r="H68" s="336"/>
      <c r="I68" s="341"/>
      <c r="J68" s="341"/>
      <c r="K68" s="336"/>
      <c r="L68" s="336"/>
      <c r="M68" s="336"/>
      <c r="N68" s="336"/>
      <c r="O68" s="336"/>
      <c r="P68" s="336"/>
      <c r="Q68" s="336"/>
      <c r="R68" s="336"/>
    </row>
    <row r="69" spans="1:18" x14ac:dyDescent="0.2">
      <c r="A69" s="368"/>
      <c r="B69" s="336"/>
      <c r="C69" s="336"/>
      <c r="D69" s="336"/>
      <c r="E69" s="336"/>
      <c r="F69" s="336"/>
      <c r="G69" s="336"/>
      <c r="H69" s="336"/>
      <c r="I69" s="341"/>
      <c r="J69" s="341"/>
      <c r="K69" s="336"/>
      <c r="L69" s="336"/>
      <c r="M69" s="336"/>
      <c r="N69" s="336"/>
      <c r="O69" s="336"/>
      <c r="P69" s="336"/>
      <c r="Q69" s="336"/>
      <c r="R69" s="336"/>
    </row>
    <row r="70" spans="1:18" x14ac:dyDescent="0.2">
      <c r="A70" s="368"/>
      <c r="B70" s="336"/>
      <c r="C70" s="336"/>
      <c r="D70" s="336"/>
      <c r="E70" s="336"/>
      <c r="F70" s="336"/>
      <c r="G70" s="336"/>
      <c r="H70" s="336"/>
      <c r="I70" s="341"/>
      <c r="J70" s="341"/>
      <c r="K70" s="336"/>
      <c r="L70" s="336"/>
      <c r="M70" s="336"/>
      <c r="N70" s="336"/>
      <c r="O70" s="336"/>
      <c r="P70" s="336"/>
      <c r="Q70" s="336"/>
      <c r="R70" s="336"/>
    </row>
    <row r="71" spans="1:18" x14ac:dyDescent="0.2">
      <c r="A71" s="368"/>
      <c r="B71" s="336"/>
      <c r="C71" s="336"/>
      <c r="D71" s="336"/>
      <c r="E71" s="336"/>
      <c r="F71" s="336"/>
      <c r="G71" s="336"/>
      <c r="H71" s="336"/>
      <c r="I71" s="341"/>
      <c r="J71" s="341"/>
      <c r="K71" s="336"/>
      <c r="L71" s="336"/>
      <c r="M71" s="336"/>
      <c r="N71" s="336"/>
      <c r="O71" s="336"/>
      <c r="P71" s="336"/>
      <c r="Q71" s="336"/>
      <c r="R71" s="336"/>
    </row>
    <row r="72" spans="1:18" x14ac:dyDescent="0.2">
      <c r="A72" s="368"/>
      <c r="B72" s="336"/>
      <c r="C72" s="336"/>
      <c r="D72" s="336"/>
      <c r="E72" s="336"/>
      <c r="F72" s="336"/>
      <c r="G72" s="336"/>
      <c r="H72" s="336"/>
      <c r="I72" s="341"/>
      <c r="J72" s="341"/>
      <c r="K72" s="336"/>
      <c r="L72" s="336"/>
      <c r="M72" s="336"/>
      <c r="N72" s="336"/>
      <c r="O72" s="336"/>
      <c r="P72" s="336"/>
      <c r="Q72" s="336"/>
      <c r="R72" s="336"/>
    </row>
    <row r="73" spans="1:18" x14ac:dyDescent="0.2">
      <c r="A73" s="369"/>
      <c r="B73" s="336"/>
      <c r="C73" s="336"/>
      <c r="D73" s="336"/>
      <c r="E73" s="336"/>
      <c r="F73" s="336"/>
      <c r="G73" s="336"/>
      <c r="H73" s="336"/>
      <c r="I73" s="341"/>
      <c r="J73" s="341"/>
      <c r="K73" s="336"/>
      <c r="L73" s="336"/>
      <c r="M73" s="336"/>
      <c r="N73" s="336"/>
      <c r="O73" s="336"/>
      <c r="P73" s="336"/>
      <c r="Q73" s="336"/>
      <c r="R73" s="336"/>
    </row>
    <row r="74" spans="1:18" x14ac:dyDescent="0.2">
      <c r="A74" s="368"/>
      <c r="B74" s="336"/>
      <c r="C74" s="336"/>
      <c r="D74" s="336"/>
      <c r="E74" s="336"/>
      <c r="F74" s="336"/>
      <c r="G74" s="336"/>
      <c r="H74" s="336"/>
      <c r="I74" s="341"/>
      <c r="J74" s="341"/>
      <c r="K74" s="336"/>
      <c r="L74" s="336"/>
      <c r="M74" s="336"/>
      <c r="N74" s="336"/>
      <c r="O74" s="336"/>
      <c r="P74" s="336"/>
      <c r="Q74" s="336"/>
      <c r="R74" s="336"/>
    </row>
    <row r="75" spans="1:18" x14ac:dyDescent="0.2">
      <c r="A75" s="368"/>
      <c r="B75" s="336"/>
      <c r="C75" s="336"/>
      <c r="D75" s="336"/>
      <c r="E75" s="336"/>
      <c r="F75" s="336"/>
      <c r="G75" s="336"/>
      <c r="H75" s="336"/>
      <c r="I75" s="341"/>
      <c r="J75" s="341"/>
      <c r="K75" s="336"/>
      <c r="L75" s="336"/>
      <c r="M75" s="336"/>
      <c r="N75" s="336"/>
      <c r="O75" s="336"/>
      <c r="P75" s="336"/>
      <c r="Q75" s="336"/>
      <c r="R75" s="336"/>
    </row>
    <row r="76" spans="1:18" x14ac:dyDescent="0.2">
      <c r="A76" s="368"/>
      <c r="B76" s="336"/>
      <c r="C76" s="336"/>
      <c r="D76" s="336"/>
      <c r="E76" s="336"/>
      <c r="F76" s="336"/>
      <c r="G76" s="336"/>
      <c r="H76" s="336"/>
      <c r="I76" s="341"/>
      <c r="J76" s="341"/>
      <c r="K76" s="336"/>
      <c r="L76" s="336"/>
      <c r="M76" s="336"/>
      <c r="N76" s="336"/>
      <c r="O76" s="336"/>
      <c r="P76" s="336"/>
      <c r="Q76" s="336"/>
      <c r="R76" s="336"/>
    </row>
    <row r="77" spans="1:18" x14ac:dyDescent="0.2">
      <c r="A77" s="369"/>
      <c r="B77" s="336"/>
      <c r="C77" s="336"/>
      <c r="D77" s="336"/>
      <c r="E77" s="336"/>
      <c r="F77" s="336"/>
      <c r="G77" s="336"/>
      <c r="H77" s="336"/>
      <c r="I77" s="341"/>
      <c r="J77" s="341"/>
      <c r="K77" s="336"/>
      <c r="L77" s="336"/>
      <c r="M77" s="336"/>
      <c r="N77" s="336"/>
      <c r="O77" s="336"/>
      <c r="P77" s="336"/>
      <c r="Q77" s="336"/>
      <c r="R77" s="336"/>
    </row>
    <row r="78" spans="1:18" x14ac:dyDescent="0.2">
      <c r="A78" s="368"/>
      <c r="B78" s="336"/>
      <c r="C78" s="336"/>
      <c r="D78" s="336"/>
      <c r="E78" s="336"/>
      <c r="F78" s="336"/>
      <c r="G78" s="336"/>
      <c r="H78" s="336"/>
      <c r="I78" s="341"/>
      <c r="J78" s="341"/>
      <c r="K78" s="336"/>
      <c r="L78" s="336"/>
      <c r="M78" s="336"/>
      <c r="N78" s="336"/>
      <c r="O78" s="336"/>
      <c r="P78" s="336"/>
      <c r="Q78" s="336"/>
      <c r="R78" s="336"/>
    </row>
    <row r="79" spans="1:18" x14ac:dyDescent="0.2">
      <c r="A79" s="368"/>
      <c r="B79" s="336"/>
      <c r="C79" s="336"/>
      <c r="D79" s="336"/>
      <c r="E79" s="336"/>
      <c r="F79" s="336"/>
      <c r="G79" s="336"/>
      <c r="H79" s="336"/>
      <c r="I79" s="341"/>
      <c r="J79" s="341"/>
      <c r="K79" s="336"/>
      <c r="L79" s="336"/>
      <c r="M79" s="336"/>
      <c r="N79" s="336"/>
      <c r="O79" s="336"/>
      <c r="P79" s="336"/>
      <c r="Q79" s="336"/>
      <c r="R79" s="336"/>
    </row>
    <row r="80" spans="1:18" x14ac:dyDescent="0.2">
      <c r="A80" s="368"/>
      <c r="B80" s="336"/>
      <c r="C80" s="336"/>
      <c r="D80" s="336"/>
      <c r="E80" s="336"/>
      <c r="F80" s="336"/>
      <c r="G80" s="336"/>
      <c r="H80" s="336"/>
      <c r="I80" s="341"/>
      <c r="J80" s="341"/>
      <c r="K80" s="336"/>
      <c r="L80" s="336"/>
      <c r="M80" s="336"/>
      <c r="N80" s="336"/>
      <c r="O80" s="336"/>
      <c r="P80" s="336"/>
      <c r="Q80" s="336"/>
      <c r="R80" s="336"/>
    </row>
    <row r="81" spans="1:18" x14ac:dyDescent="0.2">
      <c r="A81" s="368"/>
      <c r="B81" s="336"/>
      <c r="C81" s="336"/>
      <c r="D81" s="336"/>
      <c r="E81" s="336"/>
      <c r="F81" s="336"/>
      <c r="G81" s="336"/>
      <c r="H81" s="336"/>
      <c r="I81" s="341"/>
      <c r="J81" s="341"/>
      <c r="K81" s="336"/>
      <c r="L81" s="336"/>
      <c r="M81" s="336"/>
      <c r="N81" s="336"/>
      <c r="O81" s="336"/>
      <c r="P81" s="336"/>
      <c r="Q81" s="336"/>
      <c r="R81" s="336"/>
    </row>
    <row r="82" spans="1:18" x14ac:dyDescent="0.2">
      <c r="A82" s="368"/>
      <c r="B82" s="336"/>
      <c r="C82" s="336"/>
      <c r="D82" s="336"/>
      <c r="E82" s="336"/>
      <c r="F82" s="336"/>
      <c r="G82" s="336"/>
      <c r="H82" s="336"/>
      <c r="I82" s="341"/>
      <c r="J82" s="341"/>
      <c r="K82" s="336"/>
      <c r="L82" s="336"/>
      <c r="M82" s="336"/>
      <c r="N82" s="336"/>
      <c r="O82" s="336"/>
      <c r="P82" s="336"/>
      <c r="Q82" s="336"/>
      <c r="R82" s="336"/>
    </row>
    <row r="83" spans="1:18" x14ac:dyDescent="0.2">
      <c r="A83" s="368"/>
      <c r="B83" s="336"/>
      <c r="C83" s="336"/>
      <c r="D83" s="336"/>
      <c r="E83" s="336"/>
      <c r="F83" s="336"/>
      <c r="G83" s="336"/>
      <c r="H83" s="336"/>
      <c r="I83" s="341"/>
      <c r="J83" s="341"/>
      <c r="K83" s="336"/>
      <c r="L83" s="336"/>
      <c r="M83" s="336"/>
      <c r="N83" s="336"/>
      <c r="O83" s="336"/>
      <c r="P83" s="336"/>
      <c r="Q83" s="336"/>
      <c r="R83" s="336"/>
    </row>
    <row r="84" spans="1:18" x14ac:dyDescent="0.2">
      <c r="A84" s="368"/>
      <c r="B84" s="336"/>
      <c r="C84" s="336"/>
      <c r="D84" s="336"/>
      <c r="E84" s="336"/>
      <c r="F84" s="336"/>
      <c r="G84" s="336"/>
      <c r="H84" s="336"/>
      <c r="I84" s="341"/>
      <c r="J84" s="341"/>
      <c r="K84" s="336"/>
      <c r="L84" s="336"/>
      <c r="M84" s="336"/>
      <c r="N84" s="336"/>
      <c r="O84" s="336"/>
      <c r="P84" s="336"/>
      <c r="Q84" s="336"/>
      <c r="R84" s="336"/>
    </row>
    <row r="85" spans="1:18" x14ac:dyDescent="0.2">
      <c r="A85" s="368"/>
      <c r="B85" s="336"/>
      <c r="C85" s="336"/>
      <c r="D85" s="336"/>
      <c r="E85" s="336"/>
      <c r="F85" s="336"/>
      <c r="G85" s="336"/>
      <c r="H85" s="336"/>
      <c r="I85" s="341"/>
      <c r="J85" s="341"/>
      <c r="K85" s="336"/>
      <c r="L85" s="336"/>
      <c r="M85" s="336"/>
      <c r="N85" s="336"/>
      <c r="O85" s="336"/>
      <c r="P85" s="336"/>
      <c r="Q85" s="336"/>
      <c r="R85" s="336"/>
    </row>
    <row r="86" spans="1:18" x14ac:dyDescent="0.2">
      <c r="A86" s="368"/>
      <c r="B86" s="336"/>
      <c r="C86" s="336"/>
      <c r="D86" s="336"/>
      <c r="E86" s="336"/>
      <c r="F86" s="336"/>
      <c r="G86" s="336"/>
      <c r="H86" s="336"/>
      <c r="I86" s="341"/>
      <c r="J86" s="341"/>
      <c r="K86" s="336"/>
      <c r="L86" s="336"/>
      <c r="M86" s="336"/>
      <c r="N86" s="336"/>
      <c r="O86" s="336"/>
      <c r="P86" s="336"/>
      <c r="Q86" s="336"/>
      <c r="R86" s="336"/>
    </row>
    <row r="87" spans="1:18" x14ac:dyDescent="0.2">
      <c r="A87" s="368"/>
      <c r="B87" s="336"/>
      <c r="C87" s="336"/>
      <c r="D87" s="336"/>
      <c r="E87" s="336"/>
      <c r="F87" s="336"/>
      <c r="G87" s="336"/>
      <c r="H87" s="336"/>
      <c r="I87" s="341"/>
      <c r="J87" s="341"/>
      <c r="K87" s="336"/>
      <c r="L87" s="336"/>
      <c r="M87" s="336"/>
      <c r="N87" s="336"/>
      <c r="O87" s="336"/>
      <c r="P87" s="336"/>
      <c r="Q87" s="336"/>
      <c r="R87" s="336"/>
    </row>
    <row r="88" spans="1:18" x14ac:dyDescent="0.2">
      <c r="A88" s="368"/>
      <c r="B88" s="336"/>
      <c r="C88" s="336"/>
      <c r="D88" s="336"/>
      <c r="E88" s="336"/>
      <c r="F88" s="336"/>
      <c r="G88" s="336"/>
      <c r="H88" s="336"/>
      <c r="I88" s="341"/>
      <c r="J88" s="341"/>
      <c r="K88" s="336"/>
      <c r="L88" s="336"/>
      <c r="M88" s="336"/>
      <c r="N88" s="336"/>
      <c r="O88" s="336"/>
      <c r="P88" s="336"/>
      <c r="Q88" s="336"/>
      <c r="R88" s="336"/>
    </row>
    <row r="89" spans="1:18" x14ac:dyDescent="0.2">
      <c r="A89" s="368"/>
      <c r="B89" s="336"/>
      <c r="C89" s="336"/>
      <c r="D89" s="336"/>
      <c r="E89" s="336"/>
      <c r="F89" s="336"/>
      <c r="G89" s="336"/>
      <c r="H89" s="336"/>
      <c r="I89" s="341"/>
      <c r="J89" s="341"/>
      <c r="K89" s="336"/>
      <c r="L89" s="336"/>
      <c r="M89" s="336"/>
      <c r="N89" s="336"/>
      <c r="O89" s="336"/>
      <c r="P89" s="336"/>
      <c r="Q89" s="336"/>
      <c r="R89" s="336"/>
    </row>
    <row r="90" spans="1:18" x14ac:dyDescent="0.2">
      <c r="A90" s="368"/>
      <c r="B90" s="336"/>
      <c r="C90" s="336"/>
      <c r="D90" s="336"/>
      <c r="E90" s="336"/>
      <c r="F90" s="336"/>
      <c r="G90" s="336"/>
      <c r="H90" s="336"/>
      <c r="I90" s="341"/>
      <c r="J90" s="341"/>
      <c r="K90" s="336"/>
      <c r="L90" s="336"/>
      <c r="M90" s="336"/>
      <c r="N90" s="336"/>
      <c r="O90" s="336"/>
      <c r="P90" s="336"/>
      <c r="Q90" s="336"/>
      <c r="R90" s="336"/>
    </row>
    <row r="91" spans="1:18" x14ac:dyDescent="0.2">
      <c r="A91" s="368"/>
      <c r="B91" s="336"/>
      <c r="C91" s="336"/>
      <c r="D91" s="336"/>
      <c r="E91" s="336"/>
      <c r="F91" s="336"/>
      <c r="G91" s="336"/>
      <c r="H91" s="336"/>
      <c r="I91" s="341"/>
      <c r="J91" s="341"/>
      <c r="K91" s="336"/>
      <c r="L91" s="336"/>
      <c r="M91" s="336"/>
      <c r="N91" s="336"/>
      <c r="O91" s="336"/>
      <c r="P91" s="336"/>
      <c r="Q91" s="336"/>
      <c r="R91" s="336"/>
    </row>
    <row r="92" spans="1:18" x14ac:dyDescent="0.2">
      <c r="A92" s="368"/>
      <c r="B92" s="336"/>
      <c r="C92" s="336"/>
      <c r="D92" s="336"/>
      <c r="E92" s="336"/>
      <c r="F92" s="336"/>
      <c r="G92" s="336"/>
      <c r="H92" s="336"/>
      <c r="I92" s="341"/>
      <c r="J92" s="341"/>
      <c r="K92" s="336"/>
      <c r="L92" s="336"/>
      <c r="M92" s="336"/>
      <c r="N92" s="336"/>
      <c r="O92" s="336"/>
      <c r="P92" s="336"/>
      <c r="Q92" s="336"/>
      <c r="R92" s="336"/>
    </row>
    <row r="93" spans="1:18" x14ac:dyDescent="0.2">
      <c r="A93" s="368"/>
      <c r="B93" s="336"/>
      <c r="C93" s="336"/>
      <c r="D93" s="336"/>
      <c r="E93" s="336"/>
      <c r="F93" s="336"/>
      <c r="G93" s="336"/>
      <c r="H93" s="336"/>
      <c r="I93" s="341"/>
      <c r="J93" s="341"/>
      <c r="K93" s="336"/>
      <c r="L93" s="336"/>
      <c r="M93" s="336"/>
      <c r="N93" s="336"/>
      <c r="O93" s="336"/>
      <c r="P93" s="336"/>
      <c r="Q93" s="336"/>
      <c r="R93" s="336"/>
    </row>
    <row r="94" spans="1:18" x14ac:dyDescent="0.2">
      <c r="A94" s="368"/>
      <c r="B94" s="336"/>
      <c r="C94" s="336"/>
      <c r="D94" s="336"/>
      <c r="E94" s="336"/>
      <c r="F94" s="336"/>
      <c r="G94" s="336"/>
      <c r="H94" s="336"/>
      <c r="I94" s="341"/>
      <c r="J94" s="341"/>
      <c r="K94" s="336"/>
      <c r="L94" s="336"/>
      <c r="M94" s="336"/>
      <c r="N94" s="336"/>
      <c r="O94" s="336"/>
      <c r="P94" s="336"/>
      <c r="Q94" s="336"/>
      <c r="R94" s="336"/>
    </row>
    <row r="95" spans="1:18" x14ac:dyDescent="0.2">
      <c r="A95" s="368"/>
      <c r="B95" s="336"/>
      <c r="C95" s="336"/>
      <c r="D95" s="336"/>
      <c r="E95" s="336"/>
      <c r="F95" s="336"/>
      <c r="G95" s="336"/>
      <c r="H95" s="336"/>
      <c r="I95" s="341"/>
      <c r="J95" s="341"/>
      <c r="K95" s="336"/>
      <c r="L95" s="336"/>
      <c r="M95" s="336"/>
      <c r="N95" s="336"/>
      <c r="O95" s="336"/>
      <c r="P95" s="336"/>
      <c r="Q95" s="336"/>
      <c r="R95" s="336"/>
    </row>
    <row r="96" spans="1:18" x14ac:dyDescent="0.2">
      <c r="A96" s="368"/>
      <c r="B96" s="336"/>
      <c r="C96" s="336"/>
      <c r="D96" s="336"/>
      <c r="E96" s="336"/>
      <c r="F96" s="336"/>
      <c r="G96" s="336"/>
      <c r="H96" s="336"/>
      <c r="I96" s="341"/>
      <c r="J96" s="341"/>
      <c r="K96" s="336"/>
      <c r="L96" s="336"/>
      <c r="M96" s="336"/>
      <c r="N96" s="336"/>
      <c r="O96" s="336"/>
      <c r="P96" s="336"/>
      <c r="Q96" s="336"/>
      <c r="R96" s="336"/>
    </row>
    <row r="97" spans="1:18" x14ac:dyDescent="0.2">
      <c r="A97" s="368"/>
      <c r="B97" s="336"/>
      <c r="C97" s="336"/>
      <c r="D97" s="336"/>
      <c r="E97" s="336"/>
      <c r="F97" s="336"/>
      <c r="G97" s="336"/>
      <c r="H97" s="336"/>
      <c r="I97" s="341"/>
      <c r="J97" s="341"/>
      <c r="K97" s="336"/>
      <c r="L97" s="336"/>
      <c r="M97" s="336"/>
      <c r="N97" s="336"/>
      <c r="O97" s="336"/>
      <c r="P97" s="336"/>
      <c r="Q97" s="336"/>
      <c r="R97" s="336"/>
    </row>
    <row r="98" spans="1:18" x14ac:dyDescent="0.2">
      <c r="A98" s="368"/>
      <c r="B98" s="336"/>
      <c r="C98" s="336"/>
      <c r="D98" s="336"/>
      <c r="E98" s="336"/>
      <c r="F98" s="336"/>
      <c r="G98" s="336"/>
      <c r="H98" s="336"/>
      <c r="I98" s="341"/>
      <c r="J98" s="341"/>
      <c r="K98" s="336"/>
      <c r="L98" s="336"/>
      <c r="M98" s="336"/>
      <c r="N98" s="336"/>
      <c r="O98" s="336"/>
      <c r="P98" s="336"/>
      <c r="Q98" s="336"/>
      <c r="R98" s="336"/>
    </row>
    <row r="99" spans="1:18" x14ac:dyDescent="0.2">
      <c r="A99" s="368"/>
      <c r="B99" s="336"/>
      <c r="C99" s="336"/>
      <c r="D99" s="336"/>
      <c r="E99" s="336"/>
      <c r="F99" s="336"/>
      <c r="G99" s="336"/>
      <c r="H99" s="336"/>
      <c r="I99" s="341"/>
      <c r="J99" s="341"/>
      <c r="K99" s="336"/>
      <c r="L99" s="336"/>
      <c r="M99" s="336"/>
      <c r="N99" s="336"/>
      <c r="O99" s="336"/>
      <c r="P99" s="336"/>
      <c r="Q99" s="336"/>
      <c r="R99" s="336"/>
    </row>
    <row r="100" spans="1:18" x14ac:dyDescent="0.2">
      <c r="A100" s="368"/>
      <c r="B100" s="336"/>
      <c r="C100" s="336"/>
      <c r="D100" s="336"/>
      <c r="E100" s="336"/>
      <c r="F100" s="336"/>
      <c r="G100" s="336"/>
      <c r="H100" s="336"/>
      <c r="I100" s="341"/>
      <c r="J100" s="341"/>
      <c r="K100" s="336"/>
      <c r="L100" s="336"/>
      <c r="M100" s="336"/>
      <c r="N100" s="336"/>
      <c r="O100" s="336"/>
      <c r="P100" s="336"/>
      <c r="Q100" s="336"/>
      <c r="R100" s="336"/>
    </row>
    <row r="101" spans="1:18" x14ac:dyDescent="0.2">
      <c r="A101" s="368"/>
      <c r="B101" s="336"/>
      <c r="C101" s="336"/>
      <c r="D101" s="336"/>
      <c r="E101" s="336"/>
      <c r="F101" s="336"/>
      <c r="G101" s="336"/>
      <c r="H101" s="336"/>
      <c r="I101" s="341"/>
      <c r="J101" s="341"/>
      <c r="K101" s="336"/>
      <c r="L101" s="336"/>
      <c r="M101" s="336"/>
      <c r="N101" s="336"/>
      <c r="O101" s="336"/>
      <c r="P101" s="336"/>
      <c r="Q101" s="336"/>
      <c r="R101" s="336"/>
    </row>
    <row r="102" spans="1:18" x14ac:dyDescent="0.2">
      <c r="A102" s="368"/>
      <c r="B102" s="336"/>
      <c r="C102" s="336"/>
      <c r="D102" s="336"/>
      <c r="E102" s="336"/>
      <c r="F102" s="336"/>
      <c r="G102" s="336"/>
      <c r="H102" s="336"/>
      <c r="I102" s="341"/>
      <c r="J102" s="341"/>
      <c r="K102" s="336"/>
      <c r="L102" s="336"/>
      <c r="M102" s="336"/>
      <c r="N102" s="336"/>
      <c r="O102" s="336"/>
      <c r="P102" s="336"/>
      <c r="Q102" s="336"/>
      <c r="R102" s="336"/>
    </row>
    <row r="103" spans="1:18" x14ac:dyDescent="0.2">
      <c r="A103" s="368"/>
      <c r="B103" s="336"/>
      <c r="C103" s="336"/>
      <c r="D103" s="336"/>
      <c r="E103" s="336"/>
      <c r="F103" s="336"/>
      <c r="G103" s="336"/>
      <c r="H103" s="336"/>
      <c r="I103" s="341"/>
      <c r="J103" s="341"/>
      <c r="K103" s="336"/>
      <c r="L103" s="336"/>
      <c r="M103" s="336"/>
      <c r="N103" s="336"/>
      <c r="O103" s="336"/>
      <c r="P103" s="336"/>
      <c r="Q103" s="336"/>
      <c r="R103" s="336"/>
    </row>
    <row r="104" spans="1:18" x14ac:dyDescent="0.2">
      <c r="A104" s="368"/>
      <c r="B104" s="336"/>
      <c r="C104" s="336"/>
      <c r="D104" s="336"/>
      <c r="E104" s="336"/>
      <c r="F104" s="336"/>
      <c r="G104" s="336"/>
      <c r="H104" s="336"/>
      <c r="I104" s="341"/>
      <c r="J104" s="341"/>
      <c r="K104" s="336"/>
      <c r="L104" s="336"/>
      <c r="M104" s="336"/>
      <c r="N104" s="336"/>
      <c r="O104" s="336"/>
      <c r="P104" s="336"/>
      <c r="Q104" s="336"/>
      <c r="R104" s="336"/>
    </row>
    <row r="105" spans="1:18" x14ac:dyDescent="0.2">
      <c r="A105" s="368"/>
      <c r="B105" s="336"/>
      <c r="C105" s="336"/>
      <c r="D105" s="336"/>
      <c r="E105" s="336"/>
      <c r="F105" s="336"/>
      <c r="G105" s="336"/>
      <c r="H105" s="336"/>
      <c r="I105" s="341"/>
      <c r="J105" s="341"/>
      <c r="K105" s="336"/>
      <c r="L105" s="336"/>
      <c r="M105" s="336"/>
      <c r="N105" s="336"/>
      <c r="O105" s="336"/>
      <c r="P105" s="336"/>
      <c r="Q105" s="336"/>
      <c r="R105" s="336"/>
    </row>
    <row r="106" spans="1:18" x14ac:dyDescent="0.2">
      <c r="A106" s="368"/>
      <c r="B106" s="336"/>
      <c r="C106" s="336"/>
      <c r="D106" s="336"/>
      <c r="E106" s="336"/>
      <c r="F106" s="336"/>
      <c r="G106" s="336"/>
      <c r="H106" s="336"/>
      <c r="I106" s="341"/>
      <c r="J106" s="341"/>
      <c r="K106" s="336"/>
      <c r="L106" s="336"/>
      <c r="M106" s="336"/>
      <c r="N106" s="336"/>
      <c r="O106" s="336"/>
      <c r="P106" s="336"/>
      <c r="Q106" s="336"/>
      <c r="R106" s="336"/>
    </row>
    <row r="107" spans="1:18" x14ac:dyDescent="0.2">
      <c r="A107" s="368"/>
      <c r="B107" s="336"/>
      <c r="C107" s="336"/>
      <c r="D107" s="336"/>
      <c r="E107" s="336"/>
      <c r="F107" s="336"/>
      <c r="G107" s="336"/>
      <c r="H107" s="336"/>
      <c r="I107" s="341"/>
      <c r="J107" s="341"/>
      <c r="K107" s="336"/>
      <c r="L107" s="336"/>
      <c r="M107" s="336"/>
      <c r="N107" s="336"/>
      <c r="O107" s="336"/>
      <c r="P107" s="336"/>
      <c r="Q107" s="336"/>
      <c r="R107" s="336"/>
    </row>
    <row r="108" spans="1:18" x14ac:dyDescent="0.2">
      <c r="A108" s="368"/>
      <c r="B108" s="336"/>
      <c r="C108" s="336"/>
      <c r="D108" s="336"/>
      <c r="E108" s="336"/>
      <c r="F108" s="336"/>
      <c r="G108" s="336"/>
      <c r="H108" s="336"/>
      <c r="I108" s="341"/>
      <c r="J108" s="341"/>
      <c r="K108" s="336"/>
      <c r="L108" s="336"/>
      <c r="M108" s="336"/>
      <c r="N108" s="336"/>
      <c r="O108" s="336"/>
      <c r="P108" s="336"/>
      <c r="Q108" s="336"/>
      <c r="R108" s="336"/>
    </row>
    <row r="109" spans="1:18" x14ac:dyDescent="0.2">
      <c r="A109" s="368"/>
      <c r="B109" s="336"/>
      <c r="C109" s="336"/>
      <c r="D109" s="336"/>
      <c r="E109" s="336"/>
      <c r="F109" s="336"/>
      <c r="G109" s="336"/>
      <c r="H109" s="336"/>
      <c r="I109" s="341"/>
      <c r="J109" s="341"/>
      <c r="K109" s="336"/>
      <c r="L109" s="336"/>
      <c r="M109" s="336"/>
      <c r="N109" s="336"/>
      <c r="O109" s="336"/>
      <c r="P109" s="336"/>
      <c r="Q109" s="336"/>
      <c r="R109" s="336"/>
    </row>
    <row r="110" spans="1:18" x14ac:dyDescent="0.2">
      <c r="A110" s="368"/>
      <c r="B110" s="336"/>
      <c r="C110" s="336"/>
      <c r="D110" s="336"/>
      <c r="E110" s="336"/>
      <c r="F110" s="336"/>
      <c r="G110" s="336"/>
      <c r="H110" s="336"/>
      <c r="I110" s="341"/>
      <c r="J110" s="341"/>
      <c r="K110" s="336"/>
      <c r="L110" s="336"/>
      <c r="M110" s="336"/>
      <c r="N110" s="336"/>
      <c r="O110" s="336"/>
      <c r="P110" s="336"/>
      <c r="Q110" s="336"/>
      <c r="R110" s="336"/>
    </row>
    <row r="111" spans="1:18" x14ac:dyDescent="0.2">
      <c r="A111" s="368"/>
      <c r="B111" s="336"/>
      <c r="C111" s="336"/>
      <c r="D111" s="336"/>
      <c r="E111" s="336"/>
      <c r="F111" s="336"/>
      <c r="G111" s="336"/>
      <c r="H111" s="336"/>
      <c r="I111" s="341"/>
      <c r="J111" s="341"/>
      <c r="K111" s="336"/>
      <c r="L111" s="336"/>
      <c r="M111" s="336"/>
      <c r="N111" s="336"/>
      <c r="O111" s="336"/>
      <c r="P111" s="336"/>
      <c r="Q111" s="336"/>
      <c r="R111" s="336"/>
    </row>
    <row r="112" spans="1:18" x14ac:dyDescent="0.2">
      <c r="A112" s="368"/>
      <c r="B112" s="336"/>
      <c r="C112" s="336"/>
      <c r="D112" s="336"/>
      <c r="E112" s="336"/>
      <c r="F112" s="336"/>
      <c r="G112" s="336"/>
      <c r="H112" s="336"/>
      <c r="I112" s="341"/>
      <c r="J112" s="341"/>
      <c r="K112" s="336"/>
      <c r="L112" s="336"/>
      <c r="M112" s="336"/>
      <c r="N112" s="336"/>
      <c r="O112" s="336"/>
      <c r="P112" s="336"/>
      <c r="Q112" s="336"/>
      <c r="R112" s="336"/>
    </row>
    <row r="113" spans="1:18" x14ac:dyDescent="0.2">
      <c r="A113" s="368"/>
      <c r="B113" s="336"/>
      <c r="C113" s="336"/>
      <c r="D113" s="336"/>
      <c r="E113" s="336"/>
      <c r="F113" s="336"/>
      <c r="G113" s="336"/>
      <c r="H113" s="336"/>
      <c r="I113" s="341"/>
      <c r="J113" s="341"/>
      <c r="K113" s="336"/>
      <c r="L113" s="336"/>
      <c r="M113" s="336"/>
      <c r="N113" s="336"/>
      <c r="O113" s="336"/>
      <c r="P113" s="336"/>
      <c r="Q113" s="336"/>
      <c r="R113" s="336"/>
    </row>
    <row r="114" spans="1:18" x14ac:dyDescent="0.2">
      <c r="A114" s="368"/>
      <c r="B114" s="336"/>
      <c r="C114" s="336"/>
      <c r="D114" s="336"/>
      <c r="E114" s="336"/>
      <c r="F114" s="336"/>
      <c r="G114" s="336"/>
      <c r="H114" s="336"/>
      <c r="I114" s="341"/>
      <c r="J114" s="341"/>
      <c r="K114" s="336"/>
      <c r="L114" s="336"/>
      <c r="M114" s="336"/>
      <c r="N114" s="336"/>
      <c r="O114" s="336"/>
      <c r="P114" s="336"/>
      <c r="Q114" s="336"/>
      <c r="R114" s="336"/>
    </row>
    <row r="115" spans="1:18" x14ac:dyDescent="0.2">
      <c r="A115" s="368"/>
      <c r="B115" s="336"/>
      <c r="C115" s="336"/>
      <c r="D115" s="336"/>
      <c r="E115" s="336"/>
      <c r="F115" s="336"/>
      <c r="G115" s="336"/>
      <c r="H115" s="336"/>
      <c r="I115" s="341"/>
      <c r="J115" s="341"/>
      <c r="K115" s="336"/>
      <c r="L115" s="336"/>
      <c r="M115" s="336"/>
      <c r="N115" s="336"/>
      <c r="O115" s="336"/>
      <c r="P115" s="336"/>
      <c r="Q115" s="336"/>
      <c r="R115" s="336"/>
    </row>
    <row r="116" spans="1:18" x14ac:dyDescent="0.2">
      <c r="A116" s="368"/>
      <c r="B116" s="336"/>
      <c r="C116" s="336"/>
      <c r="D116" s="336"/>
      <c r="E116" s="336"/>
      <c r="F116" s="336"/>
      <c r="G116" s="336"/>
      <c r="H116" s="336"/>
      <c r="I116" s="341"/>
      <c r="J116" s="341"/>
      <c r="K116" s="336"/>
      <c r="L116" s="336"/>
      <c r="M116" s="336"/>
      <c r="N116" s="336"/>
      <c r="O116" s="336"/>
      <c r="P116" s="336"/>
      <c r="Q116" s="336"/>
      <c r="R116" s="336"/>
    </row>
    <row r="117" spans="1:18" x14ac:dyDescent="0.2">
      <c r="A117" s="368"/>
      <c r="B117" s="336"/>
      <c r="C117" s="336"/>
      <c r="D117" s="336"/>
      <c r="E117" s="336"/>
      <c r="F117" s="336"/>
      <c r="G117" s="336"/>
      <c r="H117" s="336"/>
      <c r="I117" s="341"/>
      <c r="J117" s="341"/>
      <c r="K117" s="336"/>
      <c r="L117" s="336"/>
      <c r="M117" s="336"/>
      <c r="N117" s="336"/>
      <c r="O117" s="336"/>
      <c r="P117" s="336"/>
      <c r="Q117" s="336"/>
      <c r="R117" s="336"/>
    </row>
    <row r="118" spans="1:18" x14ac:dyDescent="0.2">
      <c r="A118" s="368"/>
      <c r="B118" s="336"/>
      <c r="C118" s="336"/>
      <c r="D118" s="336"/>
      <c r="E118" s="336"/>
      <c r="F118" s="336"/>
      <c r="G118" s="336"/>
      <c r="H118" s="336"/>
      <c r="I118" s="341"/>
      <c r="J118" s="341"/>
      <c r="K118" s="336"/>
      <c r="L118" s="336"/>
      <c r="M118" s="336"/>
      <c r="N118" s="336"/>
      <c r="O118" s="336"/>
      <c r="P118" s="336"/>
      <c r="Q118" s="336"/>
      <c r="R118" s="336"/>
    </row>
    <row r="119" spans="1:18" x14ac:dyDescent="0.2">
      <c r="A119" s="368"/>
      <c r="B119" s="336"/>
      <c r="C119" s="336"/>
      <c r="D119" s="336"/>
      <c r="E119" s="336"/>
      <c r="F119" s="336"/>
      <c r="G119" s="336"/>
      <c r="H119" s="336"/>
      <c r="I119" s="341"/>
      <c r="J119" s="341"/>
      <c r="K119" s="336"/>
      <c r="L119" s="336"/>
      <c r="M119" s="336"/>
      <c r="N119" s="336"/>
      <c r="O119" s="336"/>
      <c r="P119" s="336"/>
      <c r="Q119" s="336"/>
      <c r="R119" s="336"/>
    </row>
    <row r="120" spans="1:18" x14ac:dyDescent="0.2">
      <c r="A120" s="368"/>
      <c r="B120" s="336"/>
      <c r="C120" s="336"/>
      <c r="D120" s="336"/>
      <c r="E120" s="336"/>
      <c r="F120" s="336"/>
      <c r="G120" s="336"/>
      <c r="H120" s="336"/>
      <c r="I120" s="341"/>
      <c r="J120" s="341"/>
      <c r="K120" s="336"/>
      <c r="L120" s="336"/>
      <c r="M120" s="336"/>
      <c r="N120" s="336"/>
      <c r="O120" s="336"/>
      <c r="P120" s="336"/>
      <c r="Q120" s="336"/>
      <c r="R120" s="336"/>
    </row>
    <row r="121" spans="1:18" x14ac:dyDescent="0.2">
      <c r="A121" s="368"/>
      <c r="B121" s="336"/>
      <c r="C121" s="336"/>
      <c r="D121" s="336"/>
      <c r="E121" s="336"/>
      <c r="F121" s="336"/>
      <c r="G121" s="336"/>
      <c r="H121" s="336"/>
      <c r="I121" s="341"/>
      <c r="J121" s="341"/>
      <c r="K121" s="336"/>
      <c r="L121" s="336"/>
      <c r="M121" s="336"/>
      <c r="N121" s="336"/>
      <c r="O121" s="336"/>
      <c r="P121" s="336"/>
      <c r="Q121" s="336"/>
      <c r="R121" s="336"/>
    </row>
    <row r="122" spans="1:18" x14ac:dyDescent="0.2">
      <c r="A122" s="368"/>
      <c r="B122" s="336"/>
      <c r="C122" s="336"/>
      <c r="D122" s="336"/>
      <c r="E122" s="336"/>
      <c r="F122" s="336"/>
      <c r="G122" s="336"/>
      <c r="H122" s="336"/>
      <c r="I122" s="341"/>
      <c r="J122" s="341"/>
      <c r="K122" s="336"/>
      <c r="L122" s="336"/>
      <c r="M122" s="336"/>
      <c r="N122" s="336"/>
      <c r="O122" s="336"/>
      <c r="P122" s="336"/>
      <c r="Q122" s="336"/>
      <c r="R122" s="336"/>
    </row>
    <row r="123" spans="1:18" x14ac:dyDescent="0.2">
      <c r="A123" s="368"/>
      <c r="B123" s="336"/>
      <c r="C123" s="336"/>
      <c r="D123" s="336"/>
      <c r="E123" s="336"/>
      <c r="F123" s="336"/>
      <c r="G123" s="336"/>
      <c r="H123" s="336"/>
      <c r="I123" s="341"/>
      <c r="J123" s="341"/>
      <c r="K123" s="336"/>
      <c r="L123" s="336"/>
      <c r="M123" s="336"/>
      <c r="N123" s="336"/>
      <c r="O123" s="336"/>
      <c r="P123" s="336"/>
      <c r="Q123" s="336"/>
      <c r="R123" s="336"/>
    </row>
    <row r="124" spans="1:18" x14ac:dyDescent="0.2">
      <c r="A124" s="368"/>
      <c r="B124" s="336"/>
      <c r="C124" s="336"/>
      <c r="D124" s="336"/>
      <c r="E124" s="336"/>
      <c r="F124" s="336"/>
      <c r="G124" s="336"/>
      <c r="H124" s="336"/>
      <c r="I124" s="341"/>
      <c r="J124" s="341"/>
      <c r="K124" s="336"/>
      <c r="L124" s="336"/>
      <c r="M124" s="336"/>
      <c r="N124" s="336"/>
      <c r="O124" s="336"/>
      <c r="P124" s="336"/>
      <c r="Q124" s="336"/>
      <c r="R124" s="336"/>
    </row>
    <row r="125" spans="1:18" x14ac:dyDescent="0.2">
      <c r="A125" s="368"/>
      <c r="B125" s="336"/>
      <c r="C125" s="336"/>
      <c r="D125" s="336"/>
      <c r="E125" s="336"/>
      <c r="F125" s="336"/>
      <c r="G125" s="336"/>
      <c r="H125" s="336"/>
      <c r="I125" s="341"/>
      <c r="J125" s="341"/>
      <c r="K125" s="336"/>
      <c r="L125" s="336"/>
      <c r="M125" s="336"/>
      <c r="N125" s="336"/>
      <c r="O125" s="336"/>
      <c r="P125" s="336"/>
      <c r="Q125" s="336"/>
      <c r="R125" s="336"/>
    </row>
    <row r="126" spans="1:18" x14ac:dyDescent="0.2">
      <c r="A126" s="368"/>
      <c r="B126" s="336"/>
      <c r="C126" s="336"/>
      <c r="D126" s="336"/>
      <c r="E126" s="336"/>
      <c r="F126" s="336"/>
      <c r="G126" s="336"/>
      <c r="H126" s="336"/>
      <c r="I126" s="341"/>
      <c r="J126" s="341"/>
      <c r="K126" s="336"/>
      <c r="L126" s="336"/>
      <c r="M126" s="336"/>
      <c r="N126" s="336"/>
      <c r="O126" s="336"/>
      <c r="P126" s="336"/>
      <c r="Q126" s="336"/>
      <c r="R126" s="336"/>
    </row>
    <row r="127" spans="1:18" x14ac:dyDescent="0.2">
      <c r="A127" s="368"/>
      <c r="B127" s="336"/>
      <c r="C127" s="336"/>
      <c r="D127" s="336"/>
      <c r="E127" s="336"/>
      <c r="F127" s="336"/>
      <c r="G127" s="336"/>
      <c r="H127" s="336"/>
      <c r="I127" s="341"/>
      <c r="J127" s="341"/>
      <c r="K127" s="336"/>
      <c r="L127" s="336"/>
      <c r="M127" s="336"/>
      <c r="N127" s="336"/>
      <c r="O127" s="336"/>
      <c r="P127" s="336"/>
      <c r="Q127" s="336"/>
      <c r="R127" s="336"/>
    </row>
    <row r="128" spans="1:18" x14ac:dyDescent="0.2">
      <c r="A128" s="368"/>
      <c r="B128" s="336"/>
      <c r="C128" s="336"/>
      <c r="D128" s="336"/>
      <c r="E128" s="336"/>
      <c r="F128" s="336"/>
      <c r="G128" s="336"/>
      <c r="H128" s="336"/>
      <c r="I128" s="341"/>
      <c r="J128" s="341"/>
      <c r="K128" s="336"/>
      <c r="L128" s="336"/>
      <c r="M128" s="336"/>
      <c r="N128" s="336"/>
      <c r="O128" s="336"/>
      <c r="P128" s="336"/>
      <c r="Q128" s="336"/>
      <c r="R128" s="336"/>
    </row>
    <row r="129" spans="1:18" x14ac:dyDescent="0.2">
      <c r="A129" s="368"/>
      <c r="B129" s="336"/>
      <c r="C129" s="336"/>
      <c r="D129" s="336"/>
      <c r="E129" s="336"/>
      <c r="F129" s="336"/>
      <c r="G129" s="336"/>
      <c r="H129" s="336"/>
      <c r="I129" s="341"/>
      <c r="J129" s="341"/>
      <c r="K129" s="336"/>
      <c r="L129" s="336"/>
      <c r="M129" s="336"/>
      <c r="N129" s="336"/>
      <c r="O129" s="336"/>
      <c r="P129" s="336"/>
      <c r="Q129" s="336"/>
      <c r="R129" s="336"/>
    </row>
    <row r="130" spans="1:18" x14ac:dyDescent="0.2">
      <c r="A130" s="368"/>
      <c r="B130" s="336"/>
      <c r="C130" s="336"/>
      <c r="D130" s="336"/>
      <c r="E130" s="336"/>
      <c r="F130" s="336"/>
      <c r="G130" s="336"/>
      <c r="H130" s="336"/>
      <c r="I130" s="341"/>
      <c r="J130" s="341"/>
      <c r="K130" s="336"/>
      <c r="L130" s="336"/>
      <c r="M130" s="336"/>
      <c r="N130" s="336"/>
      <c r="O130" s="336"/>
      <c r="P130" s="336"/>
      <c r="Q130" s="336"/>
      <c r="R130" s="336"/>
    </row>
    <row r="131" spans="1:18" x14ac:dyDescent="0.2">
      <c r="A131" s="368"/>
      <c r="B131" s="336"/>
      <c r="C131" s="336"/>
      <c r="D131" s="336"/>
      <c r="E131" s="336"/>
      <c r="F131" s="336"/>
      <c r="G131" s="336"/>
      <c r="H131" s="336"/>
      <c r="I131" s="341"/>
      <c r="J131" s="341"/>
      <c r="K131" s="336"/>
      <c r="L131" s="336"/>
      <c r="M131" s="336"/>
      <c r="N131" s="336"/>
      <c r="O131" s="336"/>
      <c r="P131" s="336"/>
      <c r="Q131" s="336"/>
      <c r="R131" s="336"/>
    </row>
    <row r="132" spans="1:18" x14ac:dyDescent="0.2">
      <c r="A132" s="368"/>
      <c r="B132" s="336"/>
      <c r="C132" s="336"/>
      <c r="D132" s="336"/>
      <c r="E132" s="336"/>
      <c r="F132" s="336"/>
      <c r="G132" s="336"/>
      <c r="H132" s="336"/>
      <c r="I132" s="341"/>
      <c r="J132" s="341"/>
      <c r="K132" s="336"/>
      <c r="L132" s="336"/>
      <c r="M132" s="336"/>
      <c r="N132" s="336"/>
      <c r="O132" s="336"/>
      <c r="P132" s="336"/>
      <c r="Q132" s="336"/>
      <c r="R132" s="336"/>
    </row>
    <row r="133" spans="1:18" x14ac:dyDescent="0.2">
      <c r="A133" s="368"/>
      <c r="B133" s="336"/>
      <c r="C133" s="336"/>
      <c r="D133" s="336"/>
      <c r="E133" s="336"/>
      <c r="F133" s="336"/>
      <c r="G133" s="336"/>
      <c r="H133" s="336"/>
      <c r="I133" s="341"/>
      <c r="J133" s="341"/>
      <c r="K133" s="336"/>
      <c r="L133" s="336"/>
      <c r="M133" s="336"/>
      <c r="N133" s="336"/>
      <c r="O133" s="336"/>
      <c r="P133" s="336"/>
      <c r="Q133" s="336"/>
      <c r="R133" s="336"/>
    </row>
    <row r="134" spans="1:18" x14ac:dyDescent="0.2">
      <c r="A134" s="368"/>
      <c r="B134" s="336"/>
      <c r="C134" s="336"/>
      <c r="D134" s="336"/>
      <c r="E134" s="336"/>
      <c r="F134" s="336"/>
      <c r="G134" s="336"/>
      <c r="H134" s="336"/>
      <c r="I134" s="341"/>
      <c r="J134" s="341"/>
      <c r="K134" s="336"/>
      <c r="L134" s="336"/>
      <c r="M134" s="336"/>
      <c r="N134" s="336"/>
      <c r="O134" s="336"/>
      <c r="P134" s="336"/>
      <c r="Q134" s="336"/>
      <c r="R134" s="336"/>
    </row>
    <row r="135" spans="1:18" x14ac:dyDescent="0.2">
      <c r="A135" s="368"/>
      <c r="B135" s="336"/>
      <c r="C135" s="336"/>
      <c r="D135" s="336"/>
      <c r="E135" s="336"/>
      <c r="F135" s="336"/>
      <c r="G135" s="336"/>
      <c r="H135" s="336"/>
      <c r="I135" s="341"/>
      <c r="J135" s="341"/>
      <c r="K135" s="336"/>
      <c r="L135" s="336"/>
      <c r="M135" s="336"/>
      <c r="N135" s="336"/>
      <c r="O135" s="336"/>
      <c r="P135" s="336"/>
      <c r="Q135" s="336"/>
      <c r="R135" s="336"/>
    </row>
    <row r="136" spans="1:18" x14ac:dyDescent="0.2">
      <c r="A136" s="368"/>
      <c r="B136" s="336"/>
      <c r="C136" s="336"/>
      <c r="D136" s="336"/>
      <c r="E136" s="336"/>
      <c r="F136" s="336"/>
      <c r="G136" s="336"/>
      <c r="H136" s="336"/>
      <c r="I136" s="341"/>
      <c r="J136" s="341"/>
      <c r="K136" s="336"/>
      <c r="L136" s="336"/>
      <c r="M136" s="336"/>
      <c r="N136" s="336"/>
      <c r="O136" s="336"/>
      <c r="P136" s="336"/>
      <c r="Q136" s="336"/>
      <c r="R136" s="336"/>
    </row>
    <row r="137" spans="1:18" x14ac:dyDescent="0.2">
      <c r="A137" s="368"/>
      <c r="B137" s="336"/>
      <c r="C137" s="336"/>
      <c r="D137" s="336"/>
      <c r="E137" s="336"/>
      <c r="F137" s="336"/>
      <c r="G137" s="336"/>
      <c r="H137" s="336"/>
      <c r="I137" s="341"/>
      <c r="J137" s="341"/>
      <c r="K137" s="336"/>
      <c r="L137" s="336"/>
      <c r="M137" s="336"/>
      <c r="N137" s="336"/>
      <c r="O137" s="336"/>
      <c r="P137" s="336"/>
      <c r="Q137" s="336"/>
      <c r="R137" s="336"/>
    </row>
    <row r="138" spans="1:18" x14ac:dyDescent="0.2">
      <c r="A138" s="368"/>
      <c r="B138" s="336"/>
      <c r="C138" s="336"/>
      <c r="D138" s="336"/>
      <c r="E138" s="336"/>
      <c r="F138" s="336"/>
      <c r="G138" s="336"/>
      <c r="H138" s="336"/>
      <c r="I138" s="341"/>
      <c r="J138" s="341"/>
      <c r="K138" s="336"/>
      <c r="L138" s="336"/>
      <c r="M138" s="336"/>
      <c r="N138" s="336"/>
      <c r="O138" s="336"/>
      <c r="P138" s="336"/>
      <c r="Q138" s="336"/>
      <c r="R138" s="336"/>
    </row>
    <row r="139" spans="1:18" x14ac:dyDescent="0.2">
      <c r="A139" s="368"/>
      <c r="B139" s="336"/>
      <c r="C139" s="336"/>
      <c r="D139" s="336"/>
      <c r="E139" s="336"/>
      <c r="F139" s="336"/>
      <c r="G139" s="336"/>
      <c r="H139" s="336"/>
      <c r="I139" s="341"/>
      <c r="J139" s="341"/>
      <c r="K139" s="336"/>
      <c r="L139" s="336"/>
      <c r="M139" s="336"/>
      <c r="N139" s="336"/>
      <c r="O139" s="336"/>
      <c r="P139" s="336"/>
      <c r="Q139" s="336"/>
      <c r="R139" s="336"/>
    </row>
    <row r="140" spans="1:18" x14ac:dyDescent="0.2">
      <c r="A140" s="368"/>
      <c r="B140" s="336"/>
      <c r="C140" s="336"/>
      <c r="D140" s="336"/>
      <c r="E140" s="336"/>
      <c r="F140" s="336"/>
      <c r="G140" s="336"/>
      <c r="H140" s="336"/>
      <c r="I140" s="341"/>
      <c r="J140" s="341"/>
      <c r="K140" s="336"/>
      <c r="L140" s="336"/>
      <c r="M140" s="336"/>
      <c r="N140" s="336"/>
      <c r="O140" s="336"/>
      <c r="P140" s="336"/>
      <c r="Q140" s="336"/>
      <c r="R140" s="336"/>
    </row>
    <row r="141" spans="1:18" x14ac:dyDescent="0.2">
      <c r="A141" s="368"/>
      <c r="B141" s="336"/>
      <c r="C141" s="336"/>
      <c r="D141" s="336"/>
      <c r="E141" s="336"/>
      <c r="F141" s="336"/>
      <c r="G141" s="336"/>
      <c r="H141" s="336"/>
      <c r="I141" s="341"/>
      <c r="J141" s="341"/>
      <c r="K141" s="336"/>
      <c r="L141" s="336"/>
      <c r="M141" s="336"/>
      <c r="N141" s="336"/>
      <c r="O141" s="336"/>
      <c r="P141" s="336"/>
      <c r="Q141" s="336"/>
      <c r="R141" s="336"/>
    </row>
    <row r="142" spans="1:18" x14ac:dyDescent="0.2">
      <c r="A142" s="368"/>
      <c r="B142" s="336"/>
      <c r="C142" s="336"/>
      <c r="D142" s="336"/>
      <c r="E142" s="336"/>
      <c r="F142" s="336"/>
      <c r="G142" s="336"/>
      <c r="H142" s="336"/>
      <c r="I142" s="341"/>
      <c r="J142" s="341"/>
      <c r="K142" s="336"/>
      <c r="L142" s="336"/>
      <c r="M142" s="336"/>
      <c r="N142" s="336"/>
      <c r="O142" s="336"/>
      <c r="P142" s="336"/>
      <c r="Q142" s="336"/>
      <c r="R142" s="336"/>
    </row>
    <row r="143" spans="1:18" x14ac:dyDescent="0.2">
      <c r="A143" s="368"/>
      <c r="B143" s="336"/>
      <c r="C143" s="336"/>
      <c r="D143" s="336"/>
      <c r="E143" s="336"/>
      <c r="F143" s="336"/>
      <c r="G143" s="336"/>
      <c r="H143" s="336"/>
      <c r="I143" s="341"/>
      <c r="J143" s="341"/>
      <c r="K143" s="336"/>
      <c r="L143" s="336"/>
      <c r="M143" s="336"/>
      <c r="N143" s="336"/>
      <c r="O143" s="336"/>
      <c r="P143" s="336"/>
      <c r="Q143" s="336"/>
      <c r="R143" s="336"/>
    </row>
    <row r="144" spans="1:18" x14ac:dyDescent="0.2">
      <c r="A144" s="368"/>
      <c r="B144" s="336"/>
      <c r="C144" s="336"/>
      <c r="D144" s="336"/>
      <c r="E144" s="336"/>
      <c r="F144" s="336"/>
      <c r="G144" s="336"/>
      <c r="H144" s="336"/>
      <c r="I144" s="341"/>
      <c r="J144" s="341"/>
      <c r="K144" s="336"/>
      <c r="L144" s="336"/>
      <c r="M144" s="336"/>
      <c r="N144" s="336"/>
      <c r="O144" s="336"/>
      <c r="P144" s="336"/>
      <c r="Q144" s="336"/>
      <c r="R144" s="336"/>
    </row>
    <row r="145" spans="1:18" x14ac:dyDescent="0.2">
      <c r="A145" s="368"/>
      <c r="B145" s="336"/>
      <c r="C145" s="336"/>
      <c r="D145" s="336"/>
      <c r="E145" s="336"/>
      <c r="F145" s="336"/>
      <c r="G145" s="336"/>
      <c r="H145" s="336"/>
      <c r="I145" s="341"/>
      <c r="J145" s="341"/>
      <c r="K145" s="336"/>
      <c r="L145" s="336"/>
      <c r="M145" s="336"/>
      <c r="N145" s="336"/>
      <c r="O145" s="336"/>
      <c r="P145" s="336"/>
      <c r="Q145" s="336"/>
      <c r="R145" s="336"/>
    </row>
    <row r="146" spans="1:18" x14ac:dyDescent="0.2">
      <c r="A146" s="368"/>
      <c r="B146" s="336"/>
      <c r="C146" s="336"/>
      <c r="D146" s="336"/>
      <c r="E146" s="336"/>
      <c r="F146" s="336"/>
      <c r="G146" s="336"/>
      <c r="H146" s="336"/>
      <c r="I146" s="341"/>
      <c r="J146" s="341"/>
      <c r="K146" s="336"/>
      <c r="L146" s="336"/>
      <c r="M146" s="336"/>
      <c r="N146" s="336"/>
      <c r="O146" s="336"/>
      <c r="P146" s="336"/>
      <c r="Q146" s="336"/>
      <c r="R146" s="336"/>
    </row>
    <row r="147" spans="1:18" x14ac:dyDescent="0.2">
      <c r="A147" s="368"/>
      <c r="B147" s="336"/>
      <c r="C147" s="336"/>
      <c r="D147" s="336"/>
      <c r="E147" s="336"/>
      <c r="F147" s="336"/>
      <c r="G147" s="336"/>
      <c r="H147" s="336"/>
      <c r="I147" s="341"/>
      <c r="J147" s="341"/>
      <c r="K147" s="336"/>
      <c r="L147" s="336"/>
      <c r="M147" s="336"/>
      <c r="N147" s="336"/>
      <c r="O147" s="336"/>
      <c r="P147" s="336"/>
      <c r="Q147" s="336"/>
      <c r="R147" s="336"/>
    </row>
    <row r="148" spans="1:18" x14ac:dyDescent="0.2">
      <c r="A148" s="368"/>
      <c r="B148" s="336"/>
      <c r="C148" s="336"/>
      <c r="D148" s="336"/>
      <c r="E148" s="336"/>
      <c r="F148" s="336"/>
      <c r="G148" s="336"/>
      <c r="H148" s="336"/>
      <c r="I148" s="341"/>
      <c r="J148" s="341"/>
      <c r="K148" s="336"/>
      <c r="L148" s="336"/>
      <c r="M148" s="336"/>
      <c r="N148" s="336"/>
      <c r="O148" s="336"/>
      <c r="P148" s="336"/>
      <c r="Q148" s="336"/>
      <c r="R148" s="336"/>
    </row>
    <row r="149" spans="1:18" x14ac:dyDescent="0.2">
      <c r="A149" s="368"/>
      <c r="B149" s="336"/>
      <c r="C149" s="336"/>
      <c r="D149" s="336"/>
      <c r="E149" s="336"/>
      <c r="F149" s="336"/>
      <c r="G149" s="336"/>
      <c r="H149" s="336"/>
      <c r="I149" s="341"/>
      <c r="J149" s="341"/>
      <c r="K149" s="336"/>
      <c r="L149" s="336"/>
      <c r="M149" s="336"/>
      <c r="N149" s="336"/>
      <c r="O149" s="336"/>
      <c r="P149" s="336"/>
      <c r="Q149" s="336"/>
      <c r="R149" s="336"/>
    </row>
    <row r="150" spans="1:18" x14ac:dyDescent="0.2">
      <c r="A150" s="368"/>
      <c r="B150" s="336"/>
      <c r="C150" s="336"/>
      <c r="D150" s="336"/>
      <c r="E150" s="336"/>
      <c r="F150" s="336"/>
      <c r="G150" s="336"/>
      <c r="H150" s="336"/>
      <c r="I150" s="341"/>
      <c r="J150" s="341"/>
      <c r="K150" s="336"/>
      <c r="L150" s="336"/>
      <c r="M150" s="336"/>
      <c r="N150" s="336"/>
      <c r="O150" s="336"/>
      <c r="P150" s="336"/>
      <c r="Q150" s="336"/>
      <c r="R150" s="336"/>
    </row>
    <row r="151" spans="1:18" x14ac:dyDescent="0.2">
      <c r="A151" s="368"/>
      <c r="B151" s="336"/>
      <c r="C151" s="336"/>
      <c r="D151" s="336"/>
      <c r="E151" s="336"/>
      <c r="F151" s="336"/>
      <c r="G151" s="336"/>
      <c r="H151" s="336"/>
      <c r="I151" s="341"/>
      <c r="J151" s="341"/>
      <c r="K151" s="336"/>
      <c r="L151" s="336"/>
      <c r="M151" s="336"/>
      <c r="N151" s="336"/>
      <c r="O151" s="336"/>
      <c r="P151" s="336"/>
      <c r="Q151" s="336"/>
      <c r="R151" s="336"/>
    </row>
    <row r="152" spans="1:18" x14ac:dyDescent="0.2">
      <c r="A152" s="368"/>
      <c r="B152" s="336"/>
      <c r="C152" s="336"/>
      <c r="D152" s="336"/>
      <c r="E152" s="336"/>
      <c r="F152" s="336"/>
      <c r="G152" s="336"/>
      <c r="H152" s="336"/>
      <c r="I152" s="341"/>
      <c r="J152" s="341"/>
      <c r="K152" s="336"/>
      <c r="L152" s="336"/>
      <c r="M152" s="336"/>
      <c r="N152" s="336"/>
      <c r="O152" s="336"/>
      <c r="P152" s="336"/>
      <c r="Q152" s="336"/>
      <c r="R152" s="336"/>
    </row>
    <row r="153" spans="1:18" x14ac:dyDescent="0.2">
      <c r="A153" s="368"/>
      <c r="B153" s="336"/>
      <c r="C153" s="336"/>
      <c r="D153" s="336"/>
      <c r="E153" s="336"/>
      <c r="F153" s="336"/>
      <c r="G153" s="336"/>
      <c r="H153" s="336"/>
      <c r="I153" s="341"/>
      <c r="J153" s="341"/>
      <c r="K153" s="336"/>
      <c r="L153" s="336"/>
      <c r="M153" s="336"/>
      <c r="N153" s="336"/>
      <c r="O153" s="336"/>
      <c r="P153" s="336"/>
      <c r="Q153" s="336"/>
      <c r="R153" s="336"/>
    </row>
    <row r="154" spans="1:18" x14ac:dyDescent="0.2">
      <c r="A154" s="368"/>
      <c r="B154" s="336"/>
      <c r="C154" s="336"/>
      <c r="D154" s="336"/>
      <c r="E154" s="336"/>
      <c r="F154" s="336"/>
      <c r="G154" s="336"/>
      <c r="H154" s="336"/>
      <c r="I154" s="341"/>
      <c r="J154" s="341"/>
      <c r="K154" s="336"/>
      <c r="L154" s="336"/>
      <c r="M154" s="336"/>
      <c r="N154" s="336"/>
      <c r="O154" s="336"/>
      <c r="P154" s="336"/>
      <c r="Q154" s="336"/>
      <c r="R154" s="336"/>
    </row>
    <row r="155" spans="1:18" x14ac:dyDescent="0.2">
      <c r="A155" s="368"/>
      <c r="B155" s="336"/>
      <c r="C155" s="336"/>
      <c r="D155" s="336"/>
      <c r="E155" s="336"/>
      <c r="F155" s="336"/>
      <c r="G155" s="336"/>
      <c r="H155" s="336"/>
      <c r="I155" s="341"/>
      <c r="J155" s="341"/>
      <c r="K155" s="336"/>
      <c r="L155" s="336"/>
      <c r="M155" s="336"/>
      <c r="N155" s="336"/>
      <c r="O155" s="336"/>
      <c r="P155" s="336"/>
      <c r="Q155" s="336"/>
      <c r="R155" s="336"/>
    </row>
    <row r="156" spans="1:18" x14ac:dyDescent="0.2">
      <c r="A156" s="368"/>
      <c r="B156" s="336"/>
      <c r="C156" s="336"/>
      <c r="D156" s="336"/>
      <c r="E156" s="336"/>
      <c r="F156" s="336"/>
      <c r="G156" s="336"/>
      <c r="H156" s="336"/>
      <c r="I156" s="341"/>
      <c r="J156" s="341"/>
      <c r="K156" s="336"/>
      <c r="L156" s="336"/>
      <c r="M156" s="336"/>
      <c r="N156" s="336"/>
      <c r="O156" s="336"/>
      <c r="P156" s="336"/>
      <c r="Q156" s="336"/>
      <c r="R156" s="336"/>
    </row>
    <row r="157" spans="1:18" x14ac:dyDescent="0.2">
      <c r="A157" s="368"/>
      <c r="B157" s="336"/>
      <c r="C157" s="336"/>
      <c r="D157" s="336"/>
      <c r="E157" s="336"/>
      <c r="F157" s="336"/>
      <c r="G157" s="336"/>
      <c r="H157" s="336"/>
      <c r="I157" s="341"/>
      <c r="J157" s="341"/>
      <c r="K157" s="336"/>
      <c r="L157" s="336"/>
      <c r="M157" s="336"/>
      <c r="N157" s="336"/>
      <c r="O157" s="336"/>
      <c r="P157" s="336"/>
      <c r="Q157" s="336"/>
      <c r="R157" s="336"/>
    </row>
    <row r="158" spans="1:18" x14ac:dyDescent="0.2">
      <c r="A158" s="368"/>
      <c r="B158" s="336"/>
      <c r="C158" s="336"/>
      <c r="D158" s="336"/>
      <c r="E158" s="336"/>
      <c r="F158" s="336"/>
      <c r="G158" s="336"/>
      <c r="H158" s="336"/>
      <c r="I158" s="341"/>
      <c r="J158" s="341"/>
      <c r="K158" s="336"/>
      <c r="L158" s="336"/>
      <c r="M158" s="336"/>
      <c r="N158" s="336"/>
      <c r="O158" s="336"/>
      <c r="P158" s="336"/>
      <c r="Q158" s="336"/>
      <c r="R158" s="336"/>
    </row>
    <row r="159" spans="1:18" x14ac:dyDescent="0.2">
      <c r="A159" s="368"/>
      <c r="B159" s="336"/>
      <c r="C159" s="336"/>
      <c r="D159" s="336"/>
      <c r="E159" s="336"/>
      <c r="F159" s="336"/>
      <c r="G159" s="336"/>
      <c r="H159" s="336"/>
      <c r="I159" s="341"/>
      <c r="J159" s="341"/>
      <c r="K159" s="336"/>
      <c r="L159" s="336"/>
      <c r="M159" s="336"/>
      <c r="N159" s="336"/>
      <c r="O159" s="336"/>
      <c r="P159" s="336"/>
      <c r="Q159" s="336"/>
      <c r="R159" s="336"/>
    </row>
    <row r="160" spans="1:18" x14ac:dyDescent="0.2">
      <c r="A160" s="368"/>
      <c r="B160" s="336"/>
      <c r="C160" s="336"/>
      <c r="D160" s="336"/>
      <c r="E160" s="336"/>
      <c r="F160" s="336"/>
      <c r="G160" s="336"/>
      <c r="H160" s="336"/>
      <c r="I160" s="341"/>
      <c r="J160" s="341"/>
      <c r="K160" s="336"/>
      <c r="L160" s="336"/>
      <c r="M160" s="336"/>
      <c r="N160" s="336"/>
      <c r="O160" s="336"/>
      <c r="P160" s="336"/>
      <c r="Q160" s="336"/>
      <c r="R160" s="336"/>
    </row>
    <row r="161" spans="1:18" x14ac:dyDescent="0.2">
      <c r="A161" s="368"/>
      <c r="B161" s="336"/>
      <c r="C161" s="336"/>
      <c r="D161" s="336"/>
      <c r="E161" s="336"/>
      <c r="F161" s="336"/>
      <c r="G161" s="336"/>
      <c r="H161" s="336"/>
      <c r="I161" s="341"/>
      <c r="J161" s="341"/>
      <c r="K161" s="336"/>
      <c r="L161" s="336"/>
      <c r="M161" s="336"/>
      <c r="N161" s="336"/>
      <c r="O161" s="336"/>
      <c r="P161" s="336"/>
      <c r="Q161" s="336"/>
      <c r="R161" s="336"/>
    </row>
    <row r="162" spans="1:18" x14ac:dyDescent="0.2">
      <c r="A162" s="368"/>
      <c r="B162" s="336"/>
      <c r="C162" s="336"/>
      <c r="D162" s="336"/>
      <c r="E162" s="336"/>
      <c r="F162" s="336"/>
      <c r="G162" s="336"/>
      <c r="H162" s="336"/>
      <c r="I162" s="341"/>
      <c r="J162" s="341"/>
      <c r="K162" s="336"/>
      <c r="L162" s="336"/>
      <c r="M162" s="336"/>
      <c r="N162" s="336"/>
      <c r="O162" s="336"/>
      <c r="P162" s="336"/>
      <c r="Q162" s="336"/>
      <c r="R162" s="336"/>
    </row>
    <row r="163" spans="1:18" x14ac:dyDescent="0.2">
      <c r="A163" s="368"/>
      <c r="B163" s="336"/>
      <c r="C163" s="336"/>
      <c r="D163" s="336"/>
      <c r="E163" s="336"/>
      <c r="F163" s="336"/>
      <c r="G163" s="336"/>
      <c r="H163" s="336"/>
      <c r="I163" s="341"/>
      <c r="J163" s="341"/>
      <c r="K163" s="336"/>
      <c r="L163" s="336"/>
      <c r="M163" s="336"/>
      <c r="N163" s="336"/>
      <c r="O163" s="336"/>
      <c r="P163" s="336"/>
      <c r="Q163" s="336"/>
      <c r="R163" s="336"/>
    </row>
    <row r="164" spans="1:18" x14ac:dyDescent="0.2">
      <c r="A164" s="368"/>
      <c r="B164" s="336"/>
      <c r="C164" s="336"/>
      <c r="D164" s="336"/>
      <c r="E164" s="336"/>
      <c r="F164" s="336"/>
      <c r="G164" s="336"/>
      <c r="H164" s="336"/>
      <c r="I164" s="341"/>
      <c r="J164" s="341"/>
      <c r="K164" s="336"/>
      <c r="L164" s="336"/>
      <c r="M164" s="336"/>
      <c r="N164" s="336"/>
      <c r="O164" s="336"/>
      <c r="P164" s="336"/>
      <c r="Q164" s="336"/>
      <c r="R164" s="336"/>
    </row>
    <row r="165" spans="1:18" x14ac:dyDescent="0.2">
      <c r="A165" s="368"/>
      <c r="B165" s="336"/>
      <c r="C165" s="336"/>
      <c r="D165" s="336"/>
      <c r="E165" s="336"/>
      <c r="F165" s="336"/>
      <c r="G165" s="336"/>
      <c r="H165" s="336"/>
      <c r="I165" s="341"/>
      <c r="J165" s="341"/>
      <c r="K165" s="336"/>
      <c r="L165" s="336"/>
      <c r="M165" s="336"/>
      <c r="N165" s="336"/>
      <c r="O165" s="336"/>
      <c r="P165" s="336"/>
      <c r="Q165" s="336"/>
      <c r="R165" s="336"/>
    </row>
    <row r="166" spans="1:18" x14ac:dyDescent="0.2">
      <c r="A166" s="368"/>
      <c r="B166" s="336"/>
      <c r="C166" s="336"/>
      <c r="D166" s="336"/>
      <c r="E166" s="336"/>
      <c r="F166" s="336"/>
      <c r="G166" s="336"/>
      <c r="H166" s="336"/>
      <c r="I166" s="341"/>
      <c r="J166" s="341"/>
      <c r="K166" s="336"/>
      <c r="L166" s="336"/>
      <c r="M166" s="336"/>
      <c r="N166" s="336"/>
      <c r="O166" s="336"/>
      <c r="P166" s="336"/>
      <c r="Q166" s="336"/>
      <c r="R166" s="336"/>
    </row>
    <row r="167" spans="1:18" x14ac:dyDescent="0.2">
      <c r="A167" s="368"/>
      <c r="B167" s="336"/>
      <c r="C167" s="336"/>
      <c r="D167" s="336"/>
      <c r="E167" s="336"/>
      <c r="F167" s="336"/>
      <c r="G167" s="336"/>
      <c r="H167" s="336"/>
      <c r="I167" s="341"/>
      <c r="J167" s="341"/>
      <c r="K167" s="336"/>
      <c r="L167" s="336"/>
      <c r="M167" s="336"/>
      <c r="N167" s="336"/>
      <c r="O167" s="336"/>
      <c r="P167" s="336"/>
      <c r="Q167" s="336"/>
      <c r="R167" s="336"/>
    </row>
    <row r="168" spans="1:18" x14ac:dyDescent="0.2">
      <c r="A168" s="368"/>
      <c r="B168" s="336"/>
      <c r="C168" s="336"/>
      <c r="D168" s="336"/>
      <c r="E168" s="336"/>
      <c r="F168" s="336"/>
      <c r="G168" s="336"/>
      <c r="H168" s="336"/>
      <c r="I168" s="341"/>
      <c r="J168" s="341"/>
      <c r="K168" s="336"/>
      <c r="L168" s="336"/>
      <c r="M168" s="336"/>
      <c r="N168" s="336"/>
      <c r="O168" s="336"/>
      <c r="P168" s="336"/>
      <c r="Q168" s="336"/>
      <c r="R168" s="336"/>
    </row>
    <row r="169" spans="1:18" x14ac:dyDescent="0.2">
      <c r="A169" s="368"/>
      <c r="B169" s="336"/>
      <c r="C169" s="336"/>
      <c r="D169" s="336"/>
      <c r="E169" s="336"/>
      <c r="F169" s="336"/>
      <c r="G169" s="336"/>
      <c r="H169" s="336"/>
      <c r="I169" s="341"/>
      <c r="J169" s="341"/>
      <c r="K169" s="336"/>
      <c r="L169" s="336"/>
      <c r="M169" s="336"/>
      <c r="N169" s="336"/>
      <c r="O169" s="336"/>
      <c r="P169" s="336"/>
      <c r="Q169" s="336"/>
      <c r="R169" s="336"/>
    </row>
    <row r="170" spans="1:18" x14ac:dyDescent="0.2">
      <c r="A170" s="368"/>
      <c r="B170" s="336"/>
      <c r="C170" s="336"/>
      <c r="D170" s="336"/>
      <c r="E170" s="336"/>
      <c r="F170" s="336"/>
      <c r="G170" s="336"/>
      <c r="H170" s="336"/>
      <c r="I170" s="341"/>
      <c r="J170" s="341"/>
      <c r="K170" s="336"/>
      <c r="L170" s="336"/>
      <c r="M170" s="336"/>
      <c r="N170" s="336"/>
      <c r="O170" s="336"/>
      <c r="P170" s="336"/>
      <c r="Q170" s="336"/>
      <c r="R170" s="336"/>
    </row>
    <row r="171" spans="1:18" x14ac:dyDescent="0.2">
      <c r="A171" s="368"/>
      <c r="B171" s="336"/>
      <c r="C171" s="336"/>
      <c r="D171" s="336"/>
      <c r="E171" s="336"/>
      <c r="F171" s="336"/>
      <c r="G171" s="336"/>
      <c r="H171" s="336"/>
      <c r="I171" s="341"/>
      <c r="J171" s="341"/>
      <c r="K171" s="336"/>
      <c r="L171" s="336"/>
      <c r="M171" s="336"/>
      <c r="N171" s="336"/>
      <c r="O171" s="336"/>
      <c r="P171" s="336"/>
      <c r="Q171" s="336"/>
      <c r="R171" s="336"/>
    </row>
    <row r="172" spans="1:18" x14ac:dyDescent="0.2">
      <c r="A172" s="368"/>
      <c r="B172" s="336"/>
      <c r="C172" s="336"/>
      <c r="D172" s="336"/>
      <c r="E172" s="336"/>
      <c r="F172" s="336"/>
      <c r="G172" s="336"/>
      <c r="H172" s="336"/>
      <c r="I172" s="341"/>
      <c r="J172" s="341"/>
      <c r="K172" s="336"/>
      <c r="L172" s="336"/>
      <c r="M172" s="336"/>
      <c r="N172" s="336"/>
      <c r="O172" s="336"/>
      <c r="P172" s="336"/>
      <c r="Q172" s="336"/>
      <c r="R172" s="336"/>
    </row>
    <row r="173" spans="1:18" x14ac:dyDescent="0.2">
      <c r="A173" s="368"/>
      <c r="B173" s="336"/>
      <c r="C173" s="336"/>
      <c r="D173" s="336"/>
      <c r="E173" s="336"/>
      <c r="F173" s="336"/>
      <c r="G173" s="336"/>
      <c r="H173" s="336"/>
      <c r="I173" s="341"/>
      <c r="J173" s="341"/>
      <c r="K173" s="336"/>
      <c r="L173" s="336"/>
      <c r="M173" s="336"/>
      <c r="N173" s="336"/>
      <c r="O173" s="336"/>
      <c r="P173" s="336"/>
      <c r="Q173" s="336"/>
      <c r="R173" s="336"/>
    </row>
    <row r="174" spans="1:18" x14ac:dyDescent="0.2">
      <c r="A174" s="368"/>
      <c r="B174" s="336"/>
      <c r="C174" s="336"/>
      <c r="D174" s="336"/>
      <c r="E174" s="336"/>
      <c r="F174" s="336"/>
      <c r="G174" s="336"/>
      <c r="H174" s="336"/>
      <c r="I174" s="341"/>
      <c r="J174" s="341"/>
      <c r="K174" s="336"/>
      <c r="L174" s="336"/>
      <c r="M174" s="336"/>
      <c r="N174" s="336"/>
      <c r="O174" s="336"/>
      <c r="P174" s="336"/>
      <c r="Q174" s="336"/>
      <c r="R174" s="336"/>
    </row>
    <row r="175" spans="1:18" x14ac:dyDescent="0.2">
      <c r="A175" s="368"/>
      <c r="B175" s="336"/>
      <c r="C175" s="336"/>
      <c r="D175" s="336"/>
      <c r="E175" s="336"/>
      <c r="F175" s="336"/>
      <c r="G175" s="336"/>
      <c r="H175" s="336"/>
      <c r="I175" s="341"/>
      <c r="J175" s="341"/>
      <c r="K175" s="336"/>
      <c r="L175" s="336"/>
      <c r="M175" s="336"/>
      <c r="N175" s="336"/>
      <c r="O175" s="336"/>
      <c r="P175" s="336"/>
      <c r="Q175" s="336"/>
      <c r="R175" s="336"/>
    </row>
    <row r="176" spans="1:18" x14ac:dyDescent="0.2">
      <c r="A176" s="368"/>
      <c r="B176" s="336"/>
      <c r="C176" s="336"/>
      <c r="D176" s="336"/>
      <c r="E176" s="336"/>
      <c r="F176" s="336"/>
      <c r="G176" s="336"/>
      <c r="H176" s="336"/>
      <c r="I176" s="341"/>
      <c r="J176" s="341"/>
      <c r="K176" s="336"/>
      <c r="L176" s="336"/>
      <c r="M176" s="336"/>
      <c r="N176" s="336"/>
      <c r="O176" s="336"/>
      <c r="P176" s="336"/>
      <c r="Q176" s="336"/>
      <c r="R176" s="336"/>
    </row>
    <row r="177" spans="1:18" x14ac:dyDescent="0.2">
      <c r="A177" s="368"/>
      <c r="B177" s="336"/>
      <c r="C177" s="336"/>
      <c r="D177" s="336"/>
      <c r="E177" s="336"/>
      <c r="F177" s="336"/>
      <c r="G177" s="336"/>
      <c r="H177" s="336"/>
      <c r="I177" s="341"/>
      <c r="J177" s="341"/>
      <c r="K177" s="336"/>
      <c r="L177" s="336"/>
      <c r="M177" s="336"/>
      <c r="N177" s="336"/>
      <c r="O177" s="336"/>
      <c r="P177" s="336"/>
      <c r="Q177" s="336"/>
      <c r="R177" s="336"/>
    </row>
    <row r="178" spans="1:18" x14ac:dyDescent="0.2">
      <c r="A178" s="368"/>
      <c r="B178" s="336"/>
      <c r="C178" s="336"/>
      <c r="D178" s="336"/>
      <c r="E178" s="336"/>
      <c r="F178" s="336"/>
      <c r="G178" s="336"/>
      <c r="H178" s="336"/>
      <c r="I178" s="341"/>
      <c r="J178" s="341"/>
      <c r="K178" s="336"/>
      <c r="L178" s="336"/>
      <c r="M178" s="336"/>
      <c r="N178" s="336"/>
      <c r="O178" s="336"/>
      <c r="P178" s="336"/>
      <c r="Q178" s="336"/>
      <c r="R178" s="336"/>
    </row>
    <row r="179" spans="1:18" x14ac:dyDescent="0.2">
      <c r="A179" s="368"/>
      <c r="B179" s="336"/>
      <c r="C179" s="336"/>
      <c r="D179" s="336"/>
      <c r="E179" s="336"/>
      <c r="F179" s="336"/>
      <c r="G179" s="336"/>
      <c r="H179" s="336"/>
      <c r="I179" s="341"/>
      <c r="J179" s="341"/>
      <c r="K179" s="336"/>
      <c r="L179" s="336"/>
      <c r="M179" s="336"/>
      <c r="N179" s="336"/>
      <c r="O179" s="336"/>
      <c r="P179" s="336"/>
      <c r="Q179" s="336"/>
      <c r="R179" s="336"/>
    </row>
    <row r="180" spans="1:18" x14ac:dyDescent="0.2">
      <c r="A180" s="368"/>
      <c r="B180" s="336"/>
      <c r="C180" s="336"/>
      <c r="D180" s="336"/>
      <c r="E180" s="336"/>
      <c r="F180" s="336"/>
      <c r="G180" s="336"/>
      <c r="H180" s="336"/>
      <c r="I180" s="341"/>
      <c r="J180" s="341"/>
      <c r="K180" s="336"/>
      <c r="L180" s="336"/>
      <c r="M180" s="336"/>
      <c r="N180" s="336"/>
      <c r="O180" s="336"/>
      <c r="P180" s="336"/>
      <c r="Q180" s="336"/>
      <c r="R180" s="336"/>
    </row>
    <row r="181" spans="1:18" x14ac:dyDescent="0.2">
      <c r="A181" s="368"/>
      <c r="B181" s="336"/>
      <c r="C181" s="336"/>
      <c r="D181" s="336"/>
      <c r="E181" s="336"/>
      <c r="F181" s="336"/>
      <c r="G181" s="336"/>
      <c r="H181" s="336"/>
      <c r="I181" s="341"/>
      <c r="J181" s="341"/>
      <c r="K181" s="336"/>
      <c r="L181" s="336"/>
      <c r="M181" s="336"/>
      <c r="N181" s="336"/>
      <c r="O181" s="336"/>
      <c r="P181" s="336"/>
      <c r="Q181" s="336"/>
      <c r="R181" s="336"/>
    </row>
    <row r="182" spans="1:18" x14ac:dyDescent="0.2">
      <c r="A182" s="368"/>
      <c r="B182" s="336"/>
      <c r="C182" s="336"/>
      <c r="D182" s="336"/>
      <c r="E182" s="336"/>
      <c r="F182" s="336"/>
      <c r="G182" s="336"/>
      <c r="H182" s="336"/>
      <c r="I182" s="341"/>
      <c r="J182" s="341"/>
      <c r="K182" s="336"/>
      <c r="L182" s="336"/>
      <c r="M182" s="336"/>
      <c r="N182" s="336"/>
      <c r="O182" s="336"/>
      <c r="P182" s="336"/>
      <c r="Q182" s="336"/>
      <c r="R182" s="336"/>
    </row>
    <row r="183" spans="1:18" x14ac:dyDescent="0.2">
      <c r="A183" s="368"/>
      <c r="B183" s="336"/>
      <c r="C183" s="336"/>
      <c r="D183" s="336"/>
      <c r="E183" s="336"/>
      <c r="F183" s="336"/>
      <c r="G183" s="336"/>
      <c r="H183" s="336"/>
      <c r="I183" s="341"/>
      <c r="J183" s="341"/>
      <c r="K183" s="336"/>
      <c r="L183" s="336"/>
      <c r="M183" s="336"/>
      <c r="N183" s="336"/>
      <c r="O183" s="336"/>
      <c r="P183" s="336"/>
      <c r="Q183" s="336"/>
      <c r="R183" s="336"/>
    </row>
    <row r="184" spans="1:18" x14ac:dyDescent="0.2">
      <c r="A184" s="368"/>
      <c r="B184" s="336"/>
      <c r="C184" s="336"/>
      <c r="D184" s="336"/>
      <c r="E184" s="336"/>
      <c r="F184" s="336"/>
      <c r="G184" s="336"/>
      <c r="H184" s="336"/>
      <c r="I184" s="341"/>
      <c r="J184" s="341"/>
      <c r="K184" s="336"/>
      <c r="L184" s="336"/>
      <c r="M184" s="336"/>
      <c r="N184" s="336"/>
      <c r="O184" s="336"/>
      <c r="P184" s="336"/>
      <c r="Q184" s="336"/>
      <c r="R184" s="336"/>
    </row>
    <row r="185" spans="1:18" x14ac:dyDescent="0.2">
      <c r="A185" s="368"/>
      <c r="B185" s="336"/>
      <c r="C185" s="336"/>
      <c r="D185" s="336"/>
      <c r="E185" s="336"/>
      <c r="F185" s="336"/>
      <c r="G185" s="336"/>
      <c r="H185" s="336"/>
      <c r="I185" s="341"/>
      <c r="J185" s="341"/>
      <c r="K185" s="336"/>
      <c r="L185" s="336"/>
      <c r="M185" s="336"/>
      <c r="N185" s="336"/>
      <c r="O185" s="336"/>
      <c r="P185" s="336"/>
      <c r="Q185" s="336"/>
      <c r="R185" s="336"/>
    </row>
    <row r="186" spans="1:18" x14ac:dyDescent="0.2">
      <c r="A186" s="368"/>
      <c r="B186" s="336"/>
      <c r="C186" s="336"/>
      <c r="D186" s="336"/>
      <c r="E186" s="336"/>
      <c r="F186" s="336"/>
      <c r="G186" s="336"/>
      <c r="H186" s="336"/>
      <c r="I186" s="341"/>
      <c r="J186" s="341"/>
      <c r="K186" s="336"/>
      <c r="L186" s="336"/>
      <c r="M186" s="336"/>
      <c r="N186" s="336"/>
      <c r="O186" s="336"/>
      <c r="P186" s="336"/>
      <c r="Q186" s="336"/>
      <c r="R186" s="336"/>
    </row>
    <row r="187" spans="1:18" x14ac:dyDescent="0.2">
      <c r="A187" s="368"/>
      <c r="B187" s="336"/>
      <c r="C187" s="336"/>
      <c r="D187" s="336"/>
      <c r="E187" s="336"/>
      <c r="F187" s="336"/>
      <c r="G187" s="336"/>
      <c r="H187" s="336"/>
      <c r="I187" s="341"/>
      <c r="J187" s="341"/>
      <c r="K187" s="336"/>
      <c r="L187" s="336"/>
      <c r="M187" s="336"/>
      <c r="N187" s="336"/>
      <c r="O187" s="336"/>
      <c r="P187" s="336"/>
      <c r="Q187" s="336"/>
      <c r="R187" s="336"/>
    </row>
    <row r="188" spans="1:18" x14ac:dyDescent="0.2">
      <c r="A188" s="368"/>
      <c r="B188" s="336"/>
      <c r="C188" s="336"/>
      <c r="D188" s="336"/>
      <c r="E188" s="336"/>
      <c r="F188" s="336"/>
      <c r="G188" s="336"/>
      <c r="H188" s="336"/>
      <c r="I188" s="341"/>
      <c r="J188" s="341"/>
      <c r="K188" s="336"/>
      <c r="L188" s="336"/>
      <c r="M188" s="336"/>
      <c r="N188" s="336"/>
      <c r="O188" s="336"/>
      <c r="P188" s="336"/>
      <c r="Q188" s="336"/>
      <c r="R188" s="336"/>
    </row>
    <row r="189" spans="1:18" x14ac:dyDescent="0.2">
      <c r="A189" s="368"/>
      <c r="B189" s="336"/>
      <c r="C189" s="336"/>
      <c r="D189" s="336"/>
      <c r="E189" s="336"/>
      <c r="F189" s="336"/>
      <c r="G189" s="336"/>
      <c r="H189" s="336"/>
      <c r="I189" s="341"/>
      <c r="J189" s="341"/>
      <c r="K189" s="336"/>
      <c r="L189" s="336"/>
      <c r="M189" s="336"/>
      <c r="N189" s="336"/>
      <c r="O189" s="336"/>
      <c r="P189" s="336"/>
      <c r="Q189" s="336"/>
      <c r="R189" s="336"/>
    </row>
    <row r="190" spans="1:18" x14ac:dyDescent="0.2">
      <c r="A190" s="368"/>
      <c r="B190" s="336"/>
      <c r="C190" s="336"/>
      <c r="D190" s="336"/>
      <c r="E190" s="336"/>
      <c r="F190" s="336"/>
      <c r="G190" s="336"/>
      <c r="H190" s="336"/>
      <c r="I190" s="341"/>
      <c r="J190" s="341"/>
      <c r="K190" s="336"/>
      <c r="L190" s="336"/>
      <c r="M190" s="336"/>
      <c r="N190" s="336"/>
      <c r="O190" s="336"/>
      <c r="P190" s="336"/>
      <c r="Q190" s="336"/>
      <c r="R190" s="336"/>
    </row>
    <row r="191" spans="1:18" x14ac:dyDescent="0.2">
      <c r="A191" s="368"/>
      <c r="B191" s="336"/>
      <c r="C191" s="336"/>
      <c r="D191" s="336"/>
      <c r="E191" s="336"/>
      <c r="F191" s="336"/>
      <c r="G191" s="336"/>
      <c r="H191" s="336"/>
      <c r="I191" s="341"/>
      <c r="J191" s="341"/>
      <c r="K191" s="336"/>
      <c r="L191" s="336"/>
      <c r="M191" s="336"/>
      <c r="N191" s="336"/>
      <c r="O191" s="336"/>
      <c r="P191" s="336"/>
      <c r="Q191" s="336"/>
      <c r="R191" s="336"/>
    </row>
    <row r="192" spans="1:18" x14ac:dyDescent="0.2">
      <c r="A192" s="368"/>
      <c r="B192" s="336"/>
      <c r="C192" s="336"/>
      <c r="D192" s="336"/>
      <c r="E192" s="336"/>
      <c r="F192" s="336"/>
      <c r="G192" s="336"/>
      <c r="H192" s="336"/>
      <c r="I192" s="341"/>
      <c r="J192" s="341"/>
      <c r="K192" s="336"/>
      <c r="L192" s="336"/>
      <c r="M192" s="336"/>
      <c r="N192" s="336"/>
      <c r="O192" s="336"/>
      <c r="P192" s="336"/>
      <c r="Q192" s="336"/>
      <c r="R192" s="336"/>
    </row>
    <row r="193" spans="1:18" x14ac:dyDescent="0.2">
      <c r="A193" s="368"/>
      <c r="B193" s="336"/>
      <c r="C193" s="336"/>
      <c r="D193" s="336"/>
      <c r="E193" s="336"/>
      <c r="F193" s="336"/>
      <c r="G193" s="336"/>
      <c r="H193" s="336"/>
      <c r="I193" s="341"/>
      <c r="J193" s="341"/>
      <c r="K193" s="336"/>
      <c r="L193" s="336"/>
      <c r="M193" s="336"/>
      <c r="N193" s="336"/>
      <c r="O193" s="336"/>
      <c r="P193" s="336"/>
      <c r="Q193" s="336"/>
      <c r="R193" s="336"/>
    </row>
    <row r="194" spans="1:18" x14ac:dyDescent="0.2">
      <c r="A194" s="368"/>
      <c r="B194" s="336"/>
      <c r="C194" s="336"/>
      <c r="D194" s="336"/>
      <c r="E194" s="336"/>
      <c r="F194" s="336"/>
      <c r="G194" s="336"/>
      <c r="H194" s="336"/>
      <c r="I194" s="341"/>
      <c r="J194" s="341"/>
      <c r="K194" s="336"/>
      <c r="L194" s="336"/>
      <c r="M194" s="336"/>
      <c r="N194" s="336"/>
      <c r="O194" s="336"/>
      <c r="P194" s="336"/>
      <c r="Q194" s="336"/>
      <c r="R194" s="336"/>
    </row>
    <row r="195" spans="1:18" x14ac:dyDescent="0.2">
      <c r="A195" s="368"/>
      <c r="B195" s="336"/>
      <c r="C195" s="336"/>
      <c r="D195" s="336"/>
      <c r="E195" s="336"/>
      <c r="F195" s="336"/>
      <c r="G195" s="336"/>
      <c r="H195" s="336"/>
      <c r="I195" s="341"/>
      <c r="J195" s="341"/>
      <c r="K195" s="336"/>
      <c r="L195" s="336"/>
      <c r="M195" s="336"/>
      <c r="N195" s="336"/>
      <c r="O195" s="336"/>
      <c r="P195" s="336"/>
      <c r="Q195" s="336"/>
      <c r="R195" s="336"/>
    </row>
    <row r="196" spans="1:18" x14ac:dyDescent="0.2">
      <c r="A196" s="368"/>
      <c r="B196" s="336"/>
      <c r="C196" s="336"/>
      <c r="D196" s="336"/>
      <c r="E196" s="336"/>
      <c r="F196" s="336"/>
      <c r="G196" s="336"/>
      <c r="H196" s="336"/>
      <c r="I196" s="341"/>
      <c r="J196" s="341"/>
      <c r="K196" s="336"/>
      <c r="L196" s="336"/>
      <c r="M196" s="336"/>
      <c r="N196" s="336"/>
      <c r="O196" s="336"/>
      <c r="P196" s="336"/>
      <c r="Q196" s="336"/>
      <c r="R196" s="336"/>
    </row>
    <row r="197" spans="1:18" x14ac:dyDescent="0.2">
      <c r="A197" s="368"/>
      <c r="B197" s="336"/>
      <c r="C197" s="336"/>
      <c r="D197" s="336"/>
      <c r="E197" s="336"/>
      <c r="F197" s="336"/>
      <c r="G197" s="336"/>
      <c r="H197" s="336"/>
      <c r="I197" s="341"/>
      <c r="J197" s="341"/>
      <c r="K197" s="336"/>
      <c r="L197" s="336"/>
      <c r="M197" s="336"/>
      <c r="N197" s="336"/>
      <c r="O197" s="336"/>
      <c r="P197" s="336"/>
      <c r="Q197" s="336"/>
      <c r="R197" s="336"/>
    </row>
    <row r="198" spans="1:18" x14ac:dyDescent="0.2">
      <c r="A198" s="368"/>
      <c r="B198" s="336"/>
      <c r="C198" s="336"/>
      <c r="D198" s="336"/>
      <c r="E198" s="336"/>
      <c r="F198" s="336"/>
      <c r="G198" s="336"/>
      <c r="H198" s="336"/>
      <c r="I198" s="341"/>
      <c r="J198" s="341"/>
      <c r="K198" s="336"/>
      <c r="L198" s="336"/>
      <c r="M198" s="336"/>
      <c r="N198" s="336"/>
      <c r="O198" s="336"/>
      <c r="P198" s="336"/>
      <c r="Q198" s="336"/>
      <c r="R198" s="336"/>
    </row>
    <row r="199" spans="1:18" x14ac:dyDescent="0.2">
      <c r="A199" s="368"/>
      <c r="B199" s="336"/>
      <c r="C199" s="336"/>
      <c r="D199" s="336"/>
      <c r="E199" s="336"/>
      <c r="F199" s="336"/>
      <c r="G199" s="336"/>
      <c r="H199" s="336"/>
      <c r="I199" s="341"/>
      <c r="J199" s="341"/>
      <c r="K199" s="336"/>
      <c r="L199" s="336"/>
      <c r="M199" s="336"/>
      <c r="N199" s="336"/>
      <c r="O199" s="336"/>
      <c r="P199" s="336"/>
      <c r="Q199" s="336"/>
      <c r="R199" s="336"/>
    </row>
    <row r="200" spans="1:18" x14ac:dyDescent="0.2">
      <c r="A200" s="368"/>
      <c r="B200" s="336"/>
      <c r="C200" s="336"/>
      <c r="D200" s="336"/>
      <c r="E200" s="336"/>
      <c r="F200" s="336"/>
      <c r="G200" s="336"/>
      <c r="H200" s="336"/>
      <c r="I200" s="341"/>
      <c r="J200" s="341"/>
      <c r="K200" s="336"/>
      <c r="L200" s="336"/>
      <c r="M200" s="336"/>
      <c r="N200" s="336"/>
      <c r="O200" s="336"/>
      <c r="P200" s="336"/>
      <c r="Q200" s="336"/>
      <c r="R200" s="336"/>
    </row>
    <row r="201" spans="1:18" x14ac:dyDescent="0.2">
      <c r="A201" s="368"/>
      <c r="B201" s="336"/>
      <c r="C201" s="336"/>
      <c r="D201" s="336"/>
      <c r="E201" s="336"/>
      <c r="F201" s="336"/>
      <c r="G201" s="336"/>
      <c r="H201" s="336"/>
      <c r="I201" s="341"/>
      <c r="J201" s="341"/>
      <c r="K201" s="336"/>
      <c r="L201" s="336"/>
      <c r="M201" s="336"/>
      <c r="N201" s="336"/>
      <c r="O201" s="336"/>
      <c r="P201" s="336"/>
      <c r="Q201" s="336"/>
      <c r="R201" s="336"/>
    </row>
    <row r="202" spans="1:18" x14ac:dyDescent="0.2">
      <c r="A202" s="368"/>
      <c r="B202" s="336"/>
      <c r="C202" s="336"/>
      <c r="D202" s="336"/>
      <c r="E202" s="336"/>
      <c r="F202" s="336"/>
      <c r="G202" s="336"/>
      <c r="H202" s="336"/>
      <c r="I202" s="341"/>
      <c r="J202" s="341"/>
      <c r="K202" s="336"/>
      <c r="L202" s="336"/>
      <c r="M202" s="336"/>
      <c r="N202" s="336"/>
      <c r="O202" s="336"/>
      <c r="P202" s="336"/>
      <c r="Q202" s="336"/>
      <c r="R202" s="336"/>
    </row>
    <row r="203" spans="1:18" x14ac:dyDescent="0.2">
      <c r="A203" s="368"/>
      <c r="B203" s="336"/>
      <c r="C203" s="336"/>
      <c r="D203" s="336"/>
      <c r="E203" s="336"/>
      <c r="F203" s="336"/>
      <c r="G203" s="336"/>
      <c r="H203" s="336"/>
      <c r="I203" s="341"/>
      <c r="J203" s="341"/>
      <c r="K203" s="336"/>
      <c r="L203" s="336"/>
      <c r="M203" s="336"/>
      <c r="N203" s="336"/>
      <c r="O203" s="336"/>
      <c r="P203" s="336"/>
      <c r="Q203" s="336"/>
      <c r="R203" s="336"/>
    </row>
    <row r="204" spans="1:18" x14ac:dyDescent="0.2">
      <c r="A204" s="368"/>
      <c r="B204" s="336"/>
      <c r="C204" s="336"/>
      <c r="D204" s="336"/>
      <c r="E204" s="336"/>
      <c r="F204" s="336"/>
      <c r="G204" s="336"/>
      <c r="H204" s="336"/>
      <c r="I204" s="341"/>
      <c r="J204" s="341"/>
      <c r="K204" s="336"/>
      <c r="L204" s="336"/>
      <c r="M204" s="336"/>
      <c r="N204" s="336"/>
      <c r="O204" s="336"/>
      <c r="P204" s="336"/>
      <c r="Q204" s="336"/>
      <c r="R204" s="336"/>
    </row>
    <row r="205" spans="1:18" x14ac:dyDescent="0.2">
      <c r="A205" s="368"/>
      <c r="B205" s="336"/>
      <c r="C205" s="336"/>
      <c r="D205" s="336"/>
      <c r="E205" s="336"/>
      <c r="F205" s="336"/>
      <c r="G205" s="336"/>
      <c r="H205" s="336"/>
      <c r="I205" s="341"/>
      <c r="J205" s="341"/>
      <c r="K205" s="336"/>
      <c r="L205" s="336"/>
      <c r="M205" s="336"/>
      <c r="N205" s="336"/>
      <c r="O205" s="336"/>
      <c r="P205" s="336"/>
      <c r="Q205" s="336"/>
      <c r="R205" s="336"/>
    </row>
    <row r="206" spans="1:18" x14ac:dyDescent="0.2">
      <c r="A206" s="368"/>
      <c r="B206" s="336"/>
      <c r="C206" s="336"/>
      <c r="D206" s="336"/>
      <c r="E206" s="336"/>
      <c r="F206" s="336"/>
      <c r="G206" s="336"/>
      <c r="H206" s="336"/>
      <c r="I206" s="341"/>
      <c r="J206" s="341"/>
      <c r="K206" s="336"/>
      <c r="L206" s="336"/>
      <c r="M206" s="336"/>
      <c r="N206" s="336"/>
      <c r="O206" s="336"/>
      <c r="P206" s="336"/>
      <c r="Q206" s="336"/>
      <c r="R206" s="336"/>
    </row>
    <row r="207" spans="1:18" x14ac:dyDescent="0.2">
      <c r="A207" s="368"/>
      <c r="B207" s="336"/>
      <c r="C207" s="336"/>
      <c r="D207" s="336"/>
      <c r="E207" s="336"/>
      <c r="F207" s="336"/>
      <c r="G207" s="336"/>
      <c r="H207" s="336"/>
      <c r="I207" s="341"/>
      <c r="J207" s="341"/>
      <c r="K207" s="336"/>
      <c r="L207" s="336"/>
      <c r="M207" s="336"/>
      <c r="N207" s="336"/>
      <c r="O207" s="336"/>
      <c r="P207" s="336"/>
      <c r="Q207" s="336"/>
      <c r="R207" s="336"/>
    </row>
    <row r="208" spans="1:18" x14ac:dyDescent="0.2">
      <c r="A208" s="368"/>
      <c r="B208" s="336"/>
      <c r="C208" s="336"/>
      <c r="D208" s="336"/>
      <c r="E208" s="336"/>
      <c r="F208" s="336"/>
      <c r="G208" s="336"/>
      <c r="H208" s="336"/>
      <c r="I208" s="341"/>
      <c r="J208" s="341"/>
      <c r="K208" s="336"/>
      <c r="L208" s="336"/>
      <c r="M208" s="336"/>
      <c r="N208" s="336"/>
      <c r="O208" s="336"/>
      <c r="P208" s="336"/>
      <c r="Q208" s="336"/>
      <c r="R208" s="336"/>
    </row>
    <row r="209" spans="1:18" x14ac:dyDescent="0.2">
      <c r="A209" s="368"/>
      <c r="B209" s="336"/>
      <c r="C209" s="336"/>
      <c r="D209" s="336"/>
      <c r="E209" s="336"/>
      <c r="F209" s="336"/>
      <c r="G209" s="336"/>
      <c r="H209" s="336"/>
      <c r="I209" s="341"/>
      <c r="J209" s="341"/>
      <c r="K209" s="336"/>
      <c r="L209" s="336"/>
      <c r="M209" s="336"/>
      <c r="N209" s="336"/>
      <c r="O209" s="336"/>
      <c r="P209" s="336"/>
      <c r="Q209" s="336"/>
      <c r="R209" s="336"/>
    </row>
    <row r="210" spans="1:18" x14ac:dyDescent="0.2">
      <c r="A210" s="368"/>
      <c r="B210" s="336"/>
      <c r="C210" s="336"/>
      <c r="D210" s="336"/>
      <c r="E210" s="336"/>
      <c r="F210" s="336"/>
      <c r="G210" s="336"/>
      <c r="H210" s="336"/>
      <c r="I210" s="341"/>
      <c r="J210" s="341"/>
      <c r="K210" s="336"/>
      <c r="L210" s="336"/>
      <c r="M210" s="336"/>
      <c r="N210" s="336"/>
      <c r="O210" s="336"/>
      <c r="P210" s="336"/>
      <c r="Q210" s="336"/>
      <c r="R210" s="336"/>
    </row>
    <row r="211" spans="1:18" x14ac:dyDescent="0.2">
      <c r="A211" s="368"/>
      <c r="B211" s="336"/>
      <c r="C211" s="336"/>
      <c r="D211" s="336"/>
      <c r="E211" s="336"/>
      <c r="F211" s="336"/>
      <c r="G211" s="336"/>
      <c r="H211" s="336"/>
      <c r="I211" s="341"/>
      <c r="J211" s="341"/>
      <c r="K211" s="336"/>
      <c r="L211" s="336"/>
      <c r="M211" s="336"/>
      <c r="N211" s="336"/>
      <c r="O211" s="336"/>
      <c r="P211" s="336"/>
      <c r="Q211" s="336"/>
      <c r="R211" s="336"/>
    </row>
    <row r="212" spans="1:18" x14ac:dyDescent="0.2">
      <c r="A212" s="368"/>
      <c r="B212" s="336"/>
      <c r="C212" s="336"/>
      <c r="D212" s="336"/>
      <c r="E212" s="336"/>
      <c r="F212" s="336"/>
      <c r="G212" s="336"/>
      <c r="H212" s="336"/>
      <c r="I212" s="341"/>
      <c r="J212" s="341"/>
      <c r="K212" s="336"/>
      <c r="L212" s="336"/>
      <c r="M212" s="336"/>
      <c r="N212" s="336"/>
      <c r="O212" s="336"/>
      <c r="P212" s="336"/>
      <c r="Q212" s="336"/>
      <c r="R212" s="336"/>
    </row>
    <row r="213" spans="1:18" x14ac:dyDescent="0.2">
      <c r="A213" s="368"/>
      <c r="B213" s="336"/>
      <c r="C213" s="336"/>
      <c r="D213" s="336"/>
      <c r="E213" s="336"/>
      <c r="F213" s="336"/>
      <c r="G213" s="336"/>
      <c r="H213" s="336"/>
      <c r="I213" s="341"/>
      <c r="J213" s="341"/>
      <c r="K213" s="336"/>
      <c r="L213" s="336"/>
      <c r="M213" s="336"/>
      <c r="N213" s="336"/>
      <c r="O213" s="336"/>
      <c r="P213" s="336"/>
      <c r="Q213" s="336"/>
      <c r="R213" s="336"/>
    </row>
    <row r="214" spans="1:18" x14ac:dyDescent="0.2">
      <c r="A214" s="368"/>
      <c r="B214" s="336"/>
      <c r="C214" s="336"/>
      <c r="D214" s="336"/>
      <c r="E214" s="336"/>
      <c r="F214" s="336"/>
      <c r="G214" s="336"/>
      <c r="H214" s="336"/>
      <c r="I214" s="341"/>
      <c r="J214" s="341"/>
      <c r="K214" s="336"/>
      <c r="L214" s="336"/>
      <c r="M214" s="336"/>
      <c r="N214" s="336"/>
      <c r="O214" s="336"/>
      <c r="P214" s="336"/>
      <c r="Q214" s="336"/>
      <c r="R214" s="336"/>
    </row>
    <row r="215" spans="1:18" x14ac:dyDescent="0.2">
      <c r="A215" s="368"/>
      <c r="B215" s="336"/>
      <c r="C215" s="336"/>
      <c r="D215" s="336"/>
      <c r="E215" s="336"/>
      <c r="F215" s="336"/>
      <c r="G215" s="336"/>
      <c r="H215" s="336"/>
      <c r="I215" s="341"/>
      <c r="J215" s="341"/>
      <c r="K215" s="336"/>
      <c r="L215" s="336"/>
      <c r="M215" s="336"/>
      <c r="N215" s="336"/>
      <c r="O215" s="336"/>
      <c r="P215" s="336"/>
      <c r="Q215" s="336"/>
      <c r="R215" s="336"/>
    </row>
    <row r="216" spans="1:18" x14ac:dyDescent="0.2">
      <c r="A216" s="368"/>
      <c r="B216" s="336"/>
      <c r="C216" s="336"/>
      <c r="D216" s="336"/>
      <c r="E216" s="336"/>
      <c r="F216" s="336"/>
      <c r="G216" s="336"/>
      <c r="H216" s="336"/>
      <c r="I216" s="341"/>
      <c r="J216" s="341"/>
      <c r="K216" s="336"/>
      <c r="L216" s="336"/>
      <c r="M216" s="336"/>
      <c r="N216" s="336"/>
      <c r="O216" s="336"/>
      <c r="P216" s="336"/>
      <c r="Q216" s="336"/>
      <c r="R216" s="336"/>
    </row>
    <row r="217" spans="1:18" x14ac:dyDescent="0.2">
      <c r="A217" s="368"/>
      <c r="B217" s="336"/>
      <c r="C217" s="336"/>
      <c r="D217" s="336"/>
      <c r="E217" s="336"/>
      <c r="F217" s="336"/>
      <c r="G217" s="336"/>
      <c r="H217" s="336"/>
      <c r="I217" s="341"/>
      <c r="J217" s="341"/>
      <c r="K217" s="336"/>
      <c r="L217" s="336"/>
      <c r="M217" s="336"/>
      <c r="N217" s="336"/>
      <c r="O217" s="336"/>
      <c r="P217" s="336"/>
      <c r="Q217" s="336"/>
      <c r="R217" s="336"/>
    </row>
    <row r="218" spans="1:18" x14ac:dyDescent="0.2">
      <c r="A218" s="368"/>
      <c r="B218" s="336"/>
      <c r="C218" s="336"/>
      <c r="D218" s="336"/>
      <c r="E218" s="336"/>
      <c r="F218" s="336"/>
      <c r="G218" s="336"/>
      <c r="H218" s="336"/>
      <c r="I218" s="341"/>
      <c r="J218" s="341"/>
      <c r="K218" s="336"/>
      <c r="L218" s="336"/>
      <c r="M218" s="336"/>
      <c r="N218" s="336"/>
      <c r="O218" s="336"/>
      <c r="P218" s="336"/>
      <c r="Q218" s="336"/>
      <c r="R218" s="336"/>
    </row>
    <row r="219" spans="1:18" x14ac:dyDescent="0.2">
      <c r="A219" s="368"/>
      <c r="B219" s="336"/>
      <c r="C219" s="336"/>
      <c r="D219" s="336"/>
      <c r="E219" s="336"/>
      <c r="F219" s="336"/>
      <c r="G219" s="336"/>
      <c r="H219" s="336"/>
      <c r="I219" s="341"/>
      <c r="J219" s="341"/>
      <c r="K219" s="336"/>
      <c r="L219" s="336"/>
      <c r="M219" s="336"/>
      <c r="N219" s="336"/>
      <c r="O219" s="336"/>
      <c r="P219" s="336"/>
      <c r="Q219" s="336"/>
      <c r="R219" s="336"/>
    </row>
    <row r="220" spans="1:18" x14ac:dyDescent="0.2">
      <c r="A220" s="368"/>
      <c r="B220" s="336"/>
      <c r="C220" s="336"/>
      <c r="D220" s="336"/>
      <c r="E220" s="336"/>
      <c r="F220" s="336"/>
      <c r="G220" s="336"/>
      <c r="H220" s="336"/>
      <c r="I220" s="341"/>
      <c r="J220" s="341"/>
      <c r="K220" s="336"/>
      <c r="L220" s="336"/>
      <c r="M220" s="336"/>
      <c r="N220" s="336"/>
      <c r="O220" s="336"/>
      <c r="P220" s="336"/>
      <c r="Q220" s="336"/>
      <c r="R220" s="336"/>
    </row>
    <row r="221" spans="1:18" x14ac:dyDescent="0.2">
      <c r="A221" s="368"/>
      <c r="B221" s="336"/>
      <c r="C221" s="336"/>
      <c r="D221" s="336"/>
      <c r="E221" s="336"/>
      <c r="F221" s="336"/>
      <c r="G221" s="336"/>
      <c r="H221" s="336"/>
      <c r="I221" s="341"/>
      <c r="J221" s="341"/>
      <c r="K221" s="336"/>
      <c r="L221" s="336"/>
      <c r="M221" s="336"/>
      <c r="N221" s="336"/>
      <c r="O221" s="336"/>
      <c r="P221" s="336"/>
      <c r="Q221" s="336"/>
      <c r="R221" s="336"/>
    </row>
    <row r="222" spans="1:18" x14ac:dyDescent="0.2">
      <c r="A222" s="368"/>
      <c r="B222" s="336"/>
      <c r="C222" s="336"/>
      <c r="D222" s="336"/>
      <c r="E222" s="336"/>
      <c r="F222" s="336"/>
      <c r="G222" s="336"/>
      <c r="H222" s="336"/>
      <c r="I222" s="341"/>
      <c r="J222" s="341"/>
      <c r="K222" s="336"/>
      <c r="L222" s="336"/>
      <c r="M222" s="336"/>
      <c r="N222" s="336"/>
      <c r="O222" s="336"/>
      <c r="P222" s="336"/>
      <c r="Q222" s="336"/>
      <c r="R222" s="336"/>
    </row>
    <row r="223" spans="1:18" x14ac:dyDescent="0.2">
      <c r="A223" s="368"/>
      <c r="B223" s="336"/>
      <c r="C223" s="336"/>
      <c r="D223" s="336"/>
      <c r="E223" s="336"/>
      <c r="F223" s="336"/>
      <c r="G223" s="336"/>
      <c r="H223" s="336"/>
      <c r="I223" s="341"/>
      <c r="J223" s="341"/>
      <c r="K223" s="336"/>
      <c r="L223" s="336"/>
      <c r="M223" s="336"/>
      <c r="N223" s="336"/>
      <c r="O223" s="336"/>
      <c r="P223" s="336"/>
      <c r="Q223" s="336"/>
      <c r="R223" s="336"/>
    </row>
    <row r="224" spans="1:18" x14ac:dyDescent="0.2">
      <c r="A224" s="368"/>
      <c r="B224" s="336"/>
      <c r="C224" s="336"/>
      <c r="D224" s="336"/>
      <c r="E224" s="336"/>
      <c r="F224" s="336"/>
      <c r="G224" s="336"/>
      <c r="H224" s="336"/>
      <c r="I224" s="341"/>
      <c r="J224" s="341"/>
      <c r="K224" s="336"/>
      <c r="L224" s="336"/>
      <c r="M224" s="336"/>
      <c r="N224" s="336"/>
      <c r="O224" s="336"/>
      <c r="P224" s="336"/>
      <c r="Q224" s="336"/>
      <c r="R224" s="336"/>
    </row>
    <row r="225" spans="1:18" x14ac:dyDescent="0.2">
      <c r="A225" s="368"/>
      <c r="B225" s="336"/>
      <c r="C225" s="336"/>
      <c r="D225" s="336"/>
      <c r="E225" s="336"/>
      <c r="F225" s="336"/>
      <c r="G225" s="336"/>
      <c r="H225" s="336"/>
      <c r="I225" s="341"/>
      <c r="J225" s="341"/>
      <c r="K225" s="336"/>
      <c r="L225" s="336"/>
      <c r="M225" s="336"/>
      <c r="N225" s="336"/>
      <c r="O225" s="336"/>
      <c r="P225" s="336"/>
      <c r="Q225" s="336"/>
      <c r="R225" s="336"/>
    </row>
    <row r="226" spans="1:18" x14ac:dyDescent="0.2">
      <c r="A226" s="368"/>
      <c r="B226" s="336"/>
      <c r="C226" s="336"/>
      <c r="D226" s="336"/>
      <c r="E226" s="336"/>
      <c r="F226" s="336"/>
      <c r="G226" s="336"/>
      <c r="H226" s="336"/>
      <c r="I226" s="341"/>
      <c r="J226" s="341"/>
      <c r="K226" s="336"/>
      <c r="L226" s="336"/>
      <c r="M226" s="336"/>
      <c r="N226" s="336"/>
      <c r="O226" s="336"/>
      <c r="P226" s="336"/>
      <c r="Q226" s="336"/>
      <c r="R226" s="336"/>
    </row>
    <row r="227" spans="1:18" x14ac:dyDescent="0.2">
      <c r="A227" s="368"/>
      <c r="B227" s="336"/>
      <c r="C227" s="336"/>
      <c r="D227" s="336"/>
      <c r="E227" s="336"/>
      <c r="F227" s="336"/>
      <c r="G227" s="336"/>
      <c r="H227" s="336"/>
      <c r="I227" s="341"/>
      <c r="J227" s="341"/>
      <c r="K227" s="336"/>
      <c r="L227" s="336"/>
      <c r="M227" s="336"/>
      <c r="N227" s="336"/>
      <c r="O227" s="336"/>
      <c r="P227" s="336"/>
      <c r="Q227" s="336"/>
      <c r="R227" s="336"/>
    </row>
    <row r="228" spans="1:18" x14ac:dyDescent="0.2">
      <c r="A228" s="368"/>
      <c r="B228" s="336"/>
      <c r="C228" s="336"/>
      <c r="D228" s="336"/>
      <c r="E228" s="336"/>
      <c r="F228" s="336"/>
      <c r="G228" s="336"/>
      <c r="H228" s="336"/>
      <c r="I228" s="341"/>
      <c r="J228" s="341"/>
      <c r="K228" s="336"/>
      <c r="L228" s="336"/>
      <c r="M228" s="336"/>
      <c r="N228" s="336"/>
      <c r="O228" s="336"/>
      <c r="P228" s="336"/>
      <c r="Q228" s="336"/>
      <c r="R228" s="336"/>
    </row>
    <row r="229" spans="1:18" x14ac:dyDescent="0.2">
      <c r="A229" s="368"/>
      <c r="B229" s="336"/>
      <c r="C229" s="336"/>
      <c r="D229" s="336"/>
      <c r="E229" s="336"/>
      <c r="F229" s="336"/>
      <c r="G229" s="336"/>
      <c r="H229" s="336"/>
      <c r="I229" s="341"/>
      <c r="J229" s="341"/>
      <c r="K229" s="336"/>
      <c r="L229" s="336"/>
      <c r="M229" s="336"/>
      <c r="N229" s="336"/>
      <c r="O229" s="336"/>
      <c r="P229" s="336"/>
      <c r="Q229" s="336"/>
      <c r="R229" s="336"/>
    </row>
    <row r="230" spans="1:18" x14ac:dyDescent="0.2">
      <c r="A230" s="368"/>
      <c r="B230" s="336"/>
      <c r="C230" s="336"/>
      <c r="D230" s="336"/>
      <c r="E230" s="336"/>
      <c r="F230" s="336"/>
      <c r="G230" s="336"/>
      <c r="H230" s="336"/>
      <c r="I230" s="341"/>
      <c r="J230" s="341"/>
      <c r="K230" s="336"/>
      <c r="L230" s="336"/>
      <c r="M230" s="336"/>
      <c r="N230" s="336"/>
      <c r="O230" s="336"/>
      <c r="P230" s="336"/>
      <c r="Q230" s="336"/>
      <c r="R230" s="336"/>
    </row>
    <row r="231" spans="1:18" x14ac:dyDescent="0.2">
      <c r="A231" s="368"/>
      <c r="B231" s="336"/>
      <c r="C231" s="336"/>
      <c r="D231" s="336"/>
      <c r="E231" s="336"/>
      <c r="F231" s="336"/>
      <c r="G231" s="336"/>
      <c r="H231" s="336"/>
      <c r="I231" s="341"/>
      <c r="J231" s="341"/>
      <c r="K231" s="336"/>
      <c r="L231" s="336"/>
      <c r="M231" s="336"/>
      <c r="N231" s="336"/>
      <c r="O231" s="336"/>
      <c r="P231" s="336"/>
      <c r="Q231" s="336"/>
      <c r="R231" s="336"/>
    </row>
    <row r="232" spans="1:18" x14ac:dyDescent="0.2">
      <c r="A232" s="368"/>
      <c r="B232" s="336"/>
      <c r="C232" s="336"/>
      <c r="D232" s="336"/>
      <c r="E232" s="336"/>
      <c r="F232" s="336"/>
      <c r="G232" s="336"/>
      <c r="H232" s="336"/>
      <c r="I232" s="341"/>
      <c r="J232" s="341"/>
      <c r="K232" s="336"/>
      <c r="L232" s="336"/>
      <c r="M232" s="336"/>
      <c r="N232" s="336"/>
      <c r="O232" s="336"/>
      <c r="P232" s="336"/>
      <c r="Q232" s="336"/>
      <c r="R232" s="336"/>
    </row>
    <row r="233" spans="1:18" x14ac:dyDescent="0.2">
      <c r="A233" s="368"/>
      <c r="B233" s="336"/>
      <c r="C233" s="336"/>
      <c r="D233" s="336"/>
      <c r="E233" s="336"/>
      <c r="F233" s="336"/>
      <c r="G233" s="336"/>
      <c r="H233" s="336"/>
      <c r="I233" s="341"/>
      <c r="J233" s="341"/>
      <c r="K233" s="336"/>
      <c r="L233" s="336"/>
      <c r="M233" s="336"/>
      <c r="N233" s="336"/>
      <c r="O233" s="336"/>
      <c r="P233" s="336"/>
      <c r="Q233" s="336"/>
      <c r="R233" s="336"/>
    </row>
    <row r="234" spans="1:18" x14ac:dyDescent="0.2">
      <c r="A234" s="368"/>
      <c r="B234" s="336"/>
      <c r="C234" s="336"/>
      <c r="D234" s="336"/>
      <c r="E234" s="336"/>
      <c r="F234" s="336"/>
      <c r="G234" s="336"/>
      <c r="H234" s="336"/>
      <c r="I234" s="341"/>
      <c r="J234" s="341"/>
      <c r="K234" s="336"/>
      <c r="L234" s="336"/>
      <c r="M234" s="336"/>
      <c r="N234" s="336"/>
      <c r="O234" s="336"/>
      <c r="P234" s="336"/>
      <c r="Q234" s="336"/>
      <c r="R234" s="336"/>
    </row>
    <row r="235" spans="1:18" x14ac:dyDescent="0.2">
      <c r="A235" s="368"/>
      <c r="B235" s="336"/>
      <c r="C235" s="336"/>
      <c r="D235" s="336"/>
      <c r="E235" s="336"/>
      <c r="F235" s="336"/>
      <c r="G235" s="336"/>
      <c r="H235" s="336"/>
      <c r="I235" s="341"/>
      <c r="J235" s="341"/>
      <c r="K235" s="336"/>
      <c r="L235" s="336"/>
      <c r="M235" s="336"/>
      <c r="N235" s="336"/>
      <c r="O235" s="336"/>
      <c r="P235" s="336"/>
      <c r="Q235" s="336"/>
      <c r="R235" s="336"/>
    </row>
    <row r="236" spans="1:18" x14ac:dyDescent="0.2">
      <c r="A236" s="368"/>
      <c r="B236" s="336"/>
      <c r="C236" s="336"/>
      <c r="D236" s="336"/>
      <c r="E236" s="336"/>
      <c r="F236" s="336"/>
      <c r="G236" s="336"/>
      <c r="H236" s="336"/>
      <c r="I236" s="341"/>
      <c r="J236" s="341"/>
      <c r="K236" s="336"/>
      <c r="L236" s="336"/>
      <c r="M236" s="336"/>
      <c r="N236" s="336"/>
      <c r="O236" s="336"/>
      <c r="P236" s="336"/>
      <c r="Q236" s="336"/>
      <c r="R236" s="336"/>
    </row>
    <row r="237" spans="1:18" x14ac:dyDescent="0.2">
      <c r="A237" s="368"/>
      <c r="B237" s="336"/>
      <c r="C237" s="336"/>
      <c r="D237" s="336"/>
      <c r="E237" s="336"/>
      <c r="F237" s="336"/>
      <c r="G237" s="336"/>
      <c r="H237" s="336"/>
      <c r="I237" s="341"/>
      <c r="J237" s="341"/>
      <c r="K237" s="336"/>
      <c r="L237" s="336"/>
      <c r="M237" s="336"/>
      <c r="N237" s="336"/>
      <c r="O237" s="336"/>
      <c r="P237" s="336"/>
      <c r="Q237" s="336"/>
      <c r="R237" s="336"/>
    </row>
    <row r="238" spans="1:18" x14ac:dyDescent="0.2">
      <c r="A238" s="368"/>
      <c r="B238" s="336"/>
      <c r="C238" s="336"/>
      <c r="D238" s="336"/>
      <c r="E238" s="336"/>
      <c r="F238" s="336"/>
      <c r="G238" s="336"/>
      <c r="H238" s="336"/>
      <c r="I238" s="341"/>
      <c r="J238" s="341"/>
      <c r="K238" s="336"/>
      <c r="L238" s="336"/>
      <c r="M238" s="336"/>
      <c r="N238" s="336"/>
      <c r="O238" s="336"/>
      <c r="P238" s="336"/>
      <c r="Q238" s="336"/>
      <c r="R238" s="336"/>
    </row>
    <row r="239" spans="1:18" x14ac:dyDescent="0.2">
      <c r="A239" s="368"/>
      <c r="B239" s="336"/>
      <c r="C239" s="336"/>
      <c r="D239" s="336"/>
      <c r="E239" s="336"/>
      <c r="F239" s="336"/>
      <c r="G239" s="336"/>
      <c r="H239" s="336"/>
      <c r="I239" s="341"/>
      <c r="J239" s="341"/>
      <c r="K239" s="336"/>
      <c r="L239" s="336"/>
      <c r="M239" s="336"/>
      <c r="N239" s="336"/>
      <c r="O239" s="336"/>
      <c r="P239" s="336"/>
      <c r="Q239" s="336"/>
      <c r="R239" s="336"/>
    </row>
    <row r="240" spans="1:18" x14ac:dyDescent="0.2">
      <c r="A240" s="368"/>
      <c r="B240" s="336"/>
      <c r="C240" s="336"/>
      <c r="D240" s="336"/>
      <c r="E240" s="336"/>
      <c r="F240" s="336"/>
      <c r="G240" s="336"/>
      <c r="H240" s="336"/>
      <c r="I240" s="341"/>
      <c r="J240" s="341"/>
      <c r="K240" s="336"/>
      <c r="L240" s="336"/>
      <c r="M240" s="336"/>
      <c r="N240" s="336"/>
      <c r="O240" s="336"/>
      <c r="P240" s="336"/>
      <c r="Q240" s="336"/>
      <c r="R240" s="336"/>
    </row>
    <row r="241" spans="1:18" x14ac:dyDescent="0.2">
      <c r="A241" s="368"/>
      <c r="B241" s="336"/>
      <c r="C241" s="336"/>
      <c r="D241" s="336"/>
      <c r="E241" s="336"/>
      <c r="F241" s="336"/>
      <c r="G241" s="336"/>
      <c r="H241" s="336"/>
      <c r="I241" s="341"/>
      <c r="J241" s="341"/>
      <c r="K241" s="336"/>
      <c r="L241" s="336"/>
      <c r="M241" s="336"/>
      <c r="N241" s="336"/>
      <c r="O241" s="336"/>
      <c r="P241" s="336"/>
      <c r="Q241" s="336"/>
      <c r="R241" s="336"/>
    </row>
    <row r="242" spans="1:18" x14ac:dyDescent="0.2">
      <c r="A242" s="368"/>
      <c r="B242" s="336"/>
      <c r="C242" s="336"/>
      <c r="D242" s="336"/>
      <c r="E242" s="336"/>
      <c r="F242" s="336"/>
      <c r="G242" s="336"/>
      <c r="H242" s="336"/>
      <c r="I242" s="341"/>
      <c r="J242" s="341"/>
      <c r="K242" s="336"/>
      <c r="L242" s="336"/>
      <c r="M242" s="336"/>
      <c r="N242" s="336"/>
      <c r="O242" s="336"/>
      <c r="P242" s="336"/>
      <c r="Q242" s="336"/>
      <c r="R242" s="336"/>
    </row>
    <row r="243" spans="1:18" x14ac:dyDescent="0.2">
      <c r="A243" s="368"/>
      <c r="B243" s="336"/>
      <c r="C243" s="336"/>
      <c r="D243" s="336"/>
      <c r="E243" s="336"/>
      <c r="F243" s="336"/>
      <c r="G243" s="336"/>
      <c r="H243" s="336"/>
      <c r="I243" s="341"/>
      <c r="J243" s="341"/>
      <c r="K243" s="336"/>
      <c r="L243" s="336"/>
      <c r="M243" s="336"/>
      <c r="N243" s="336"/>
      <c r="O243" s="336"/>
      <c r="P243" s="336"/>
      <c r="Q243" s="336"/>
      <c r="R243" s="336"/>
    </row>
    <row r="244" spans="1:18" x14ac:dyDescent="0.2">
      <c r="A244" s="368"/>
      <c r="B244" s="336"/>
      <c r="C244" s="336"/>
      <c r="D244" s="336"/>
      <c r="E244" s="336"/>
      <c r="F244" s="336"/>
      <c r="G244" s="336"/>
      <c r="H244" s="336"/>
      <c r="I244" s="341"/>
      <c r="J244" s="341"/>
      <c r="K244" s="336"/>
      <c r="L244" s="336"/>
      <c r="M244" s="336"/>
      <c r="N244" s="336"/>
      <c r="O244" s="336"/>
      <c r="P244" s="336"/>
      <c r="Q244" s="336"/>
      <c r="R244" s="336"/>
    </row>
    <row r="245" spans="1:18" x14ac:dyDescent="0.2">
      <c r="A245" s="368"/>
      <c r="B245" s="336"/>
      <c r="C245" s="336"/>
      <c r="D245" s="336"/>
      <c r="E245" s="336"/>
      <c r="F245" s="336"/>
      <c r="G245" s="336"/>
      <c r="H245" s="336"/>
      <c r="I245" s="341"/>
      <c r="J245" s="341"/>
      <c r="K245" s="336"/>
      <c r="L245" s="336"/>
      <c r="M245" s="336"/>
      <c r="N245" s="336"/>
      <c r="O245" s="336"/>
      <c r="P245" s="336"/>
      <c r="Q245" s="336"/>
      <c r="R245" s="336"/>
    </row>
    <row r="246" spans="1:18" x14ac:dyDescent="0.2">
      <c r="A246" s="368"/>
      <c r="B246" s="336"/>
      <c r="C246" s="336"/>
      <c r="D246" s="336"/>
      <c r="E246" s="336"/>
      <c r="F246" s="336"/>
      <c r="G246" s="336"/>
      <c r="H246" s="336"/>
      <c r="I246" s="341"/>
      <c r="J246" s="341"/>
      <c r="K246" s="336"/>
      <c r="L246" s="336"/>
      <c r="M246" s="336"/>
      <c r="N246" s="336"/>
      <c r="O246" s="336"/>
      <c r="P246" s="336"/>
      <c r="Q246" s="336"/>
      <c r="R246" s="336"/>
    </row>
    <row r="247" spans="1:18" x14ac:dyDescent="0.2">
      <c r="A247" s="368"/>
      <c r="B247" s="336"/>
      <c r="C247" s="336"/>
      <c r="D247" s="336"/>
      <c r="E247" s="336"/>
      <c r="F247" s="336"/>
      <c r="G247" s="336"/>
      <c r="H247" s="336"/>
      <c r="I247" s="341"/>
      <c r="J247" s="341"/>
      <c r="K247" s="336"/>
      <c r="L247" s="336"/>
      <c r="M247" s="336"/>
      <c r="N247" s="336"/>
      <c r="O247" s="336"/>
      <c r="P247" s="336"/>
      <c r="Q247" s="336"/>
      <c r="R247" s="336"/>
    </row>
    <row r="248" spans="1:18" x14ac:dyDescent="0.2">
      <c r="A248" s="368"/>
      <c r="B248" s="336"/>
      <c r="C248" s="336"/>
      <c r="D248" s="336"/>
      <c r="E248" s="336"/>
      <c r="F248" s="336"/>
      <c r="G248" s="336"/>
      <c r="H248" s="336"/>
      <c r="I248" s="341"/>
      <c r="J248" s="341"/>
      <c r="K248" s="336"/>
      <c r="L248" s="336"/>
      <c r="M248" s="336"/>
      <c r="N248" s="336"/>
      <c r="O248" s="336"/>
      <c r="P248" s="336"/>
      <c r="Q248" s="336"/>
      <c r="R248" s="336"/>
    </row>
    <row r="249" spans="1:18" x14ac:dyDescent="0.2">
      <c r="A249" s="368"/>
      <c r="B249" s="336"/>
      <c r="C249" s="336"/>
      <c r="D249" s="336"/>
      <c r="E249" s="336"/>
      <c r="F249" s="336"/>
      <c r="G249" s="336"/>
      <c r="H249" s="336"/>
      <c r="I249" s="341"/>
      <c r="J249" s="341"/>
      <c r="K249" s="336"/>
      <c r="L249" s="336"/>
      <c r="M249" s="336"/>
      <c r="N249" s="336"/>
      <c r="O249" s="336"/>
      <c r="P249" s="336"/>
      <c r="Q249" s="336"/>
      <c r="R249" s="336"/>
    </row>
    <row r="250" spans="1:18" x14ac:dyDescent="0.2">
      <c r="A250" s="368"/>
      <c r="B250" s="336"/>
      <c r="C250" s="336"/>
      <c r="D250" s="336"/>
      <c r="E250" s="336"/>
      <c r="F250" s="336"/>
      <c r="G250" s="336"/>
      <c r="H250" s="336"/>
      <c r="I250" s="341"/>
      <c r="J250" s="341"/>
      <c r="K250" s="336"/>
      <c r="L250" s="336"/>
      <c r="M250" s="336"/>
      <c r="N250" s="336"/>
      <c r="O250" s="336"/>
      <c r="P250" s="336"/>
      <c r="Q250" s="336"/>
      <c r="R250" s="336"/>
    </row>
    <row r="251" spans="1:18" x14ac:dyDescent="0.2">
      <c r="A251" s="368"/>
      <c r="B251" s="336"/>
      <c r="C251" s="336"/>
      <c r="D251" s="336"/>
      <c r="E251" s="336"/>
      <c r="F251" s="336"/>
      <c r="G251" s="336"/>
      <c r="H251" s="336"/>
      <c r="I251" s="341"/>
      <c r="J251" s="341"/>
      <c r="K251" s="336"/>
      <c r="L251" s="336"/>
      <c r="M251" s="336"/>
      <c r="N251" s="336"/>
      <c r="O251" s="336"/>
      <c r="P251" s="336"/>
      <c r="Q251" s="336"/>
      <c r="R251" s="336"/>
    </row>
    <row r="252" spans="1:18" x14ac:dyDescent="0.2">
      <c r="A252" s="368"/>
      <c r="B252" s="336"/>
      <c r="C252" s="336"/>
      <c r="D252" s="336"/>
      <c r="E252" s="336"/>
      <c r="F252" s="336"/>
      <c r="G252" s="336"/>
      <c r="H252" s="336"/>
      <c r="I252" s="341"/>
      <c r="J252" s="341"/>
      <c r="K252" s="336"/>
      <c r="L252" s="336"/>
      <c r="M252" s="336"/>
      <c r="N252" s="336"/>
      <c r="O252" s="336"/>
      <c r="P252" s="336"/>
      <c r="Q252" s="336"/>
      <c r="R252" s="336"/>
    </row>
    <row r="253" spans="1:18" x14ac:dyDescent="0.2">
      <c r="A253" s="368"/>
      <c r="B253" s="336"/>
      <c r="C253" s="336"/>
      <c r="D253" s="336"/>
      <c r="E253" s="336"/>
      <c r="F253" s="336"/>
      <c r="G253" s="336"/>
      <c r="H253" s="336"/>
      <c r="I253" s="341"/>
      <c r="J253" s="341"/>
      <c r="K253" s="336"/>
      <c r="L253" s="336"/>
      <c r="M253" s="336"/>
      <c r="N253" s="336"/>
      <c r="O253" s="336"/>
      <c r="P253" s="336"/>
      <c r="Q253" s="336"/>
      <c r="R253" s="336"/>
    </row>
    <row r="254" spans="1:18" x14ac:dyDescent="0.2">
      <c r="A254" s="368"/>
      <c r="B254" s="336"/>
      <c r="C254" s="336"/>
      <c r="D254" s="336"/>
      <c r="E254" s="336"/>
      <c r="F254" s="336"/>
      <c r="G254" s="336"/>
      <c r="H254" s="336"/>
      <c r="I254" s="341"/>
      <c r="J254" s="341"/>
      <c r="K254" s="336"/>
      <c r="L254" s="336"/>
      <c r="M254" s="336"/>
      <c r="N254" s="336"/>
      <c r="O254" s="336"/>
      <c r="P254" s="336"/>
      <c r="Q254" s="336"/>
      <c r="R254" s="336"/>
    </row>
    <row r="255" spans="1:18" x14ac:dyDescent="0.2">
      <c r="A255" s="368"/>
      <c r="B255" s="336"/>
      <c r="C255" s="336"/>
      <c r="D255" s="336"/>
      <c r="E255" s="336"/>
      <c r="F255" s="336"/>
      <c r="G255" s="336"/>
      <c r="H255" s="336"/>
      <c r="I255" s="341"/>
      <c r="J255" s="341"/>
      <c r="K255" s="336"/>
      <c r="L255" s="336"/>
      <c r="M255" s="336"/>
      <c r="N255" s="336"/>
      <c r="O255" s="336"/>
      <c r="P255" s="336"/>
      <c r="Q255" s="336"/>
      <c r="R255" s="336"/>
    </row>
    <row r="256" spans="1:18" x14ac:dyDescent="0.2">
      <c r="A256" s="368"/>
      <c r="B256" s="336"/>
      <c r="C256" s="336"/>
      <c r="D256" s="336"/>
      <c r="E256" s="336"/>
      <c r="F256" s="336"/>
      <c r="G256" s="336"/>
      <c r="H256" s="336"/>
      <c r="I256" s="341"/>
      <c r="J256" s="341"/>
      <c r="K256" s="336"/>
      <c r="L256" s="336"/>
      <c r="M256" s="336"/>
      <c r="N256" s="336"/>
      <c r="O256" s="336"/>
      <c r="P256" s="336"/>
      <c r="Q256" s="336"/>
      <c r="R256" s="336"/>
    </row>
    <row r="257" spans="1:18" x14ac:dyDescent="0.2">
      <c r="A257" s="368"/>
      <c r="B257" s="336"/>
      <c r="C257" s="336"/>
      <c r="D257" s="336"/>
      <c r="E257" s="336"/>
      <c r="F257" s="336"/>
      <c r="G257" s="336"/>
      <c r="H257" s="336"/>
      <c r="I257" s="341"/>
      <c r="J257" s="341"/>
      <c r="K257" s="336"/>
      <c r="L257" s="336"/>
      <c r="M257" s="336"/>
      <c r="N257" s="336"/>
      <c r="O257" s="336"/>
      <c r="P257" s="336"/>
      <c r="Q257" s="336"/>
      <c r="R257" s="336"/>
    </row>
    <row r="258" spans="1:18" x14ac:dyDescent="0.2">
      <c r="A258" s="368"/>
      <c r="B258" s="336"/>
      <c r="C258" s="336"/>
      <c r="D258" s="336"/>
      <c r="E258" s="336"/>
      <c r="F258" s="336"/>
      <c r="G258" s="336"/>
      <c r="H258" s="336"/>
      <c r="I258" s="341"/>
      <c r="J258" s="341"/>
      <c r="K258" s="336"/>
      <c r="L258" s="336"/>
      <c r="M258" s="336"/>
      <c r="N258" s="336"/>
      <c r="O258" s="336"/>
      <c r="P258" s="336"/>
      <c r="Q258" s="336"/>
      <c r="R258" s="336"/>
    </row>
    <row r="259" spans="1:18" x14ac:dyDescent="0.2">
      <c r="A259" s="368"/>
      <c r="B259" s="336"/>
      <c r="C259" s="336"/>
      <c r="D259" s="336"/>
      <c r="E259" s="336"/>
      <c r="F259" s="336"/>
      <c r="G259" s="336"/>
      <c r="H259" s="336"/>
      <c r="I259" s="341"/>
      <c r="J259" s="341"/>
      <c r="K259" s="336"/>
      <c r="L259" s="336"/>
      <c r="M259" s="336"/>
      <c r="N259" s="336"/>
      <c r="O259" s="336"/>
      <c r="P259" s="336"/>
      <c r="Q259" s="336"/>
      <c r="R259" s="336"/>
    </row>
    <row r="260" spans="1:18" x14ac:dyDescent="0.2">
      <c r="A260" s="368"/>
      <c r="B260" s="336"/>
      <c r="C260" s="336"/>
      <c r="D260" s="336"/>
      <c r="E260" s="336"/>
      <c r="F260" s="336"/>
      <c r="G260" s="336"/>
      <c r="H260" s="336"/>
      <c r="I260" s="341"/>
      <c r="J260" s="341"/>
      <c r="K260" s="336"/>
      <c r="L260" s="336"/>
      <c r="M260" s="336"/>
      <c r="N260" s="336"/>
      <c r="O260" s="336"/>
      <c r="P260" s="336"/>
      <c r="Q260" s="336"/>
      <c r="R260" s="336"/>
    </row>
    <row r="261" spans="1:18" x14ac:dyDescent="0.2">
      <c r="A261" s="368"/>
      <c r="B261" s="336"/>
      <c r="C261" s="336"/>
      <c r="D261" s="336"/>
      <c r="E261" s="336"/>
      <c r="F261" s="336"/>
      <c r="G261" s="336"/>
      <c r="H261" s="336"/>
      <c r="I261" s="341"/>
      <c r="J261" s="341"/>
      <c r="K261" s="336"/>
      <c r="L261" s="336"/>
      <c r="M261" s="336"/>
      <c r="N261" s="336"/>
      <c r="O261" s="336"/>
      <c r="P261" s="336"/>
      <c r="Q261" s="336"/>
      <c r="R261" s="336"/>
    </row>
    <row r="262" spans="1:18" x14ac:dyDescent="0.2">
      <c r="A262" s="368"/>
      <c r="B262" s="336"/>
      <c r="C262" s="336"/>
      <c r="D262" s="336"/>
      <c r="E262" s="336"/>
      <c r="F262" s="336"/>
      <c r="G262" s="336"/>
      <c r="H262" s="336"/>
      <c r="I262" s="341"/>
      <c r="J262" s="341"/>
      <c r="K262" s="336"/>
      <c r="L262" s="336"/>
      <c r="M262" s="336"/>
      <c r="N262" s="336"/>
      <c r="O262" s="336"/>
      <c r="P262" s="336"/>
      <c r="Q262" s="336"/>
      <c r="R262" s="336"/>
    </row>
    <row r="263" spans="1:18" x14ac:dyDescent="0.2">
      <c r="A263" s="368"/>
      <c r="B263" s="336"/>
      <c r="C263" s="336"/>
      <c r="D263" s="336"/>
      <c r="E263" s="336"/>
      <c r="F263" s="336"/>
      <c r="G263" s="336"/>
      <c r="H263" s="336"/>
      <c r="I263" s="341"/>
      <c r="J263" s="341"/>
      <c r="K263" s="336"/>
      <c r="L263" s="336"/>
      <c r="M263" s="336"/>
      <c r="N263" s="336"/>
      <c r="O263" s="336"/>
      <c r="P263" s="336"/>
      <c r="Q263" s="336"/>
      <c r="R263" s="336"/>
    </row>
    <row r="264" spans="1:18" x14ac:dyDescent="0.2">
      <c r="A264" s="368"/>
      <c r="B264" s="336"/>
      <c r="C264" s="336"/>
      <c r="D264" s="336"/>
      <c r="E264" s="336"/>
      <c r="F264" s="336"/>
      <c r="G264" s="336"/>
      <c r="H264" s="336"/>
      <c r="I264" s="341"/>
      <c r="J264" s="341"/>
      <c r="K264" s="336"/>
      <c r="L264" s="336"/>
      <c r="M264" s="336"/>
      <c r="N264" s="336"/>
      <c r="O264" s="336"/>
      <c r="P264" s="336"/>
      <c r="Q264" s="336"/>
      <c r="R264" s="336"/>
    </row>
    <row r="265" spans="1:18" x14ac:dyDescent="0.2">
      <c r="A265" s="368"/>
      <c r="B265" s="336"/>
      <c r="C265" s="336"/>
      <c r="D265" s="336"/>
      <c r="E265" s="336"/>
      <c r="F265" s="336"/>
      <c r="G265" s="336"/>
      <c r="H265" s="336"/>
      <c r="I265" s="341"/>
      <c r="J265" s="341"/>
      <c r="K265" s="336"/>
      <c r="L265" s="336"/>
      <c r="M265" s="336"/>
      <c r="N265" s="336"/>
      <c r="O265" s="336"/>
      <c r="P265" s="336"/>
      <c r="Q265" s="336"/>
      <c r="R265" s="336"/>
    </row>
    <row r="266" spans="1:18" x14ac:dyDescent="0.2">
      <c r="A266" s="368"/>
      <c r="B266" s="336"/>
      <c r="C266" s="336"/>
      <c r="D266" s="336"/>
      <c r="E266" s="336"/>
      <c r="F266" s="336"/>
      <c r="G266" s="336"/>
      <c r="H266" s="336"/>
      <c r="I266" s="341"/>
      <c r="J266" s="341"/>
      <c r="K266" s="336"/>
      <c r="L266" s="336"/>
      <c r="M266" s="336"/>
      <c r="N266" s="336"/>
      <c r="O266" s="336"/>
      <c r="P266" s="336"/>
      <c r="Q266" s="336"/>
      <c r="R266" s="336"/>
    </row>
    <row r="267" spans="1:18" x14ac:dyDescent="0.2">
      <c r="A267" s="368"/>
      <c r="B267" s="336"/>
      <c r="C267" s="336"/>
      <c r="D267" s="336"/>
      <c r="E267" s="336"/>
      <c r="F267" s="336"/>
      <c r="G267" s="336"/>
      <c r="H267" s="336"/>
      <c r="I267" s="341"/>
      <c r="J267" s="341"/>
      <c r="K267" s="336"/>
      <c r="L267" s="336"/>
      <c r="M267" s="336"/>
      <c r="N267" s="336"/>
      <c r="O267" s="336"/>
      <c r="P267" s="336"/>
      <c r="Q267" s="336"/>
      <c r="R267" s="336"/>
    </row>
    <row r="268" spans="1:18" x14ac:dyDescent="0.2">
      <c r="A268" s="368"/>
      <c r="B268" s="336"/>
      <c r="C268" s="336"/>
      <c r="D268" s="336"/>
      <c r="E268" s="336"/>
      <c r="F268" s="336"/>
      <c r="G268" s="336"/>
      <c r="H268" s="336"/>
      <c r="I268" s="341"/>
      <c r="J268" s="341"/>
      <c r="K268" s="336"/>
      <c r="L268" s="336"/>
      <c r="M268" s="336"/>
      <c r="N268" s="336"/>
      <c r="O268" s="336"/>
      <c r="P268" s="336"/>
      <c r="Q268" s="336"/>
      <c r="R268" s="336"/>
    </row>
    <row r="269" spans="1:18" x14ac:dyDescent="0.2">
      <c r="A269" s="368"/>
      <c r="B269" s="336"/>
      <c r="C269" s="336"/>
      <c r="D269" s="336"/>
      <c r="E269" s="336"/>
      <c r="F269" s="336"/>
      <c r="G269" s="336"/>
      <c r="H269" s="336"/>
      <c r="I269" s="341"/>
      <c r="J269" s="341"/>
      <c r="K269" s="336"/>
      <c r="L269" s="336"/>
      <c r="M269" s="336"/>
      <c r="N269" s="336"/>
      <c r="O269" s="336"/>
      <c r="P269" s="336"/>
      <c r="Q269" s="336"/>
      <c r="R269" s="336"/>
    </row>
    <row r="270" spans="1:18" x14ac:dyDescent="0.2">
      <c r="A270" s="368"/>
      <c r="B270" s="336"/>
      <c r="C270" s="336"/>
      <c r="D270" s="336"/>
      <c r="E270" s="336"/>
      <c r="F270" s="336"/>
      <c r="G270" s="336"/>
      <c r="H270" s="336"/>
      <c r="I270" s="341"/>
      <c r="J270" s="341"/>
      <c r="K270" s="336"/>
      <c r="L270" s="336"/>
      <c r="M270" s="336"/>
      <c r="N270" s="336"/>
      <c r="O270" s="336"/>
      <c r="P270" s="336"/>
      <c r="Q270" s="336"/>
      <c r="R270" s="336"/>
    </row>
    <row r="271" spans="1:18" x14ac:dyDescent="0.2">
      <c r="A271" s="368"/>
      <c r="B271" s="336"/>
      <c r="C271" s="336"/>
      <c r="D271" s="336"/>
      <c r="E271" s="336"/>
      <c r="F271" s="336"/>
      <c r="G271" s="336"/>
      <c r="H271" s="336"/>
      <c r="I271" s="341"/>
      <c r="J271" s="341"/>
      <c r="K271" s="336"/>
      <c r="L271" s="336"/>
      <c r="M271" s="336"/>
      <c r="N271" s="336"/>
      <c r="O271" s="336"/>
      <c r="P271" s="336"/>
      <c r="Q271" s="336"/>
      <c r="R271" s="336"/>
    </row>
    <row r="272" spans="1:18" x14ac:dyDescent="0.2">
      <c r="A272" s="368"/>
      <c r="B272" s="336"/>
      <c r="C272" s="336"/>
      <c r="D272" s="336"/>
      <c r="E272" s="336"/>
      <c r="F272" s="336"/>
      <c r="G272" s="336"/>
      <c r="H272" s="336"/>
      <c r="I272" s="341"/>
      <c r="J272" s="341"/>
      <c r="K272" s="336"/>
      <c r="L272" s="336"/>
      <c r="M272" s="336"/>
      <c r="N272" s="336"/>
      <c r="O272" s="336"/>
      <c r="P272" s="336"/>
      <c r="Q272" s="336"/>
      <c r="R272" s="336"/>
    </row>
    <row r="273" spans="1:18" x14ac:dyDescent="0.2">
      <c r="A273" s="368"/>
      <c r="B273" s="336"/>
      <c r="C273" s="336"/>
      <c r="D273" s="336"/>
      <c r="E273" s="336"/>
      <c r="F273" s="336"/>
      <c r="G273" s="336"/>
      <c r="H273" s="336"/>
      <c r="I273" s="341"/>
      <c r="J273" s="341"/>
      <c r="K273" s="336"/>
      <c r="L273" s="336"/>
      <c r="M273" s="336"/>
      <c r="N273" s="336"/>
      <c r="O273" s="336"/>
      <c r="P273" s="336"/>
      <c r="Q273" s="336"/>
      <c r="R273" s="336"/>
    </row>
    <row r="274" spans="1:18" x14ac:dyDescent="0.2">
      <c r="A274" s="368"/>
      <c r="B274" s="336"/>
      <c r="C274" s="336"/>
      <c r="D274" s="336"/>
      <c r="E274" s="336"/>
      <c r="F274" s="336"/>
      <c r="G274" s="336"/>
      <c r="H274" s="336"/>
      <c r="I274" s="341"/>
      <c r="J274" s="341"/>
      <c r="K274" s="336"/>
      <c r="L274" s="336"/>
      <c r="M274" s="336"/>
      <c r="N274" s="336"/>
      <c r="O274" s="336"/>
      <c r="P274" s="336"/>
      <c r="Q274" s="336"/>
      <c r="R274" s="336"/>
    </row>
    <row r="275" spans="1:18" x14ac:dyDescent="0.2">
      <c r="A275" s="368"/>
      <c r="B275" s="336"/>
      <c r="C275" s="336"/>
      <c r="D275" s="336"/>
      <c r="E275" s="336"/>
      <c r="F275" s="336"/>
      <c r="G275" s="336"/>
      <c r="H275" s="336"/>
      <c r="I275" s="341"/>
      <c r="J275" s="341"/>
      <c r="K275" s="336"/>
      <c r="L275" s="336"/>
      <c r="M275" s="336"/>
      <c r="N275" s="336"/>
      <c r="O275" s="336"/>
      <c r="P275" s="336"/>
      <c r="Q275" s="336"/>
      <c r="R275" s="336"/>
    </row>
    <row r="276" spans="1:18" x14ac:dyDescent="0.2">
      <c r="A276" s="368"/>
      <c r="B276" s="336"/>
      <c r="C276" s="336"/>
      <c r="D276" s="336"/>
      <c r="E276" s="336"/>
      <c r="F276" s="336"/>
      <c r="G276" s="336"/>
      <c r="H276" s="336"/>
      <c r="I276" s="341"/>
      <c r="J276" s="341"/>
      <c r="K276" s="336"/>
      <c r="L276" s="336"/>
      <c r="M276" s="336"/>
      <c r="N276" s="336"/>
      <c r="O276" s="336"/>
      <c r="P276" s="336"/>
      <c r="Q276" s="336"/>
      <c r="R276" s="336"/>
    </row>
    <row r="277" spans="1:18" x14ac:dyDescent="0.2">
      <c r="A277" s="368"/>
      <c r="B277" s="336"/>
      <c r="C277" s="336"/>
      <c r="D277" s="336"/>
      <c r="E277" s="336"/>
      <c r="F277" s="336"/>
      <c r="G277" s="336"/>
      <c r="H277" s="336"/>
      <c r="I277" s="341"/>
      <c r="J277" s="341"/>
      <c r="K277" s="336"/>
      <c r="L277" s="336"/>
      <c r="M277" s="336"/>
      <c r="N277" s="336"/>
      <c r="O277" s="336"/>
      <c r="P277" s="336"/>
      <c r="Q277" s="336"/>
      <c r="R277" s="336"/>
    </row>
    <row r="278" spans="1:18" x14ac:dyDescent="0.2">
      <c r="A278" s="368"/>
      <c r="B278" s="336"/>
      <c r="C278" s="336"/>
      <c r="D278" s="336"/>
      <c r="E278" s="336"/>
      <c r="F278" s="336"/>
      <c r="G278" s="336"/>
      <c r="H278" s="336"/>
      <c r="I278" s="341"/>
      <c r="J278" s="341"/>
      <c r="K278" s="336"/>
      <c r="L278" s="336"/>
      <c r="M278" s="336"/>
      <c r="N278" s="336"/>
      <c r="O278" s="336"/>
      <c r="P278" s="336"/>
      <c r="Q278" s="336"/>
      <c r="R278" s="336"/>
    </row>
    <row r="279" spans="1:18" x14ac:dyDescent="0.2">
      <c r="A279" s="368"/>
      <c r="B279" s="336"/>
      <c r="C279" s="336"/>
      <c r="D279" s="336"/>
      <c r="E279" s="336"/>
      <c r="F279" s="336"/>
      <c r="G279" s="336"/>
      <c r="H279" s="336"/>
      <c r="I279" s="341"/>
      <c r="J279" s="341"/>
      <c r="K279" s="336"/>
      <c r="L279" s="336"/>
      <c r="M279" s="336"/>
      <c r="N279" s="336"/>
      <c r="O279" s="336"/>
      <c r="P279" s="336"/>
      <c r="Q279" s="336"/>
      <c r="R279" s="336"/>
    </row>
    <row r="280" spans="1:18" x14ac:dyDescent="0.2">
      <c r="A280" s="368"/>
      <c r="B280" s="336"/>
      <c r="C280" s="336"/>
      <c r="D280" s="336"/>
      <c r="E280" s="336"/>
      <c r="F280" s="336"/>
      <c r="G280" s="336"/>
      <c r="H280" s="336"/>
      <c r="I280" s="341"/>
      <c r="J280" s="341"/>
      <c r="K280" s="336"/>
      <c r="L280" s="336"/>
      <c r="M280" s="336"/>
      <c r="N280" s="336"/>
      <c r="O280" s="336"/>
      <c r="P280" s="336"/>
      <c r="Q280" s="336"/>
      <c r="R280" s="336"/>
    </row>
    <row r="281" spans="1:18" x14ac:dyDescent="0.2">
      <c r="A281" s="368"/>
      <c r="B281" s="336"/>
      <c r="C281" s="336"/>
      <c r="D281" s="336"/>
      <c r="E281" s="336"/>
      <c r="F281" s="336"/>
      <c r="G281" s="336"/>
      <c r="H281" s="336"/>
      <c r="I281" s="341"/>
      <c r="J281" s="341"/>
      <c r="K281" s="336"/>
      <c r="L281" s="336"/>
      <c r="M281" s="336"/>
      <c r="N281" s="336"/>
      <c r="O281" s="336"/>
      <c r="P281" s="336"/>
      <c r="Q281" s="336"/>
      <c r="R281" s="336"/>
    </row>
    <row r="282" spans="1:18" x14ac:dyDescent="0.2">
      <c r="A282" s="368"/>
      <c r="B282" s="336"/>
      <c r="C282" s="336"/>
      <c r="D282" s="336"/>
      <c r="E282" s="336"/>
      <c r="F282" s="336"/>
      <c r="G282" s="336"/>
      <c r="H282" s="336"/>
      <c r="I282" s="341"/>
      <c r="J282" s="341"/>
      <c r="K282" s="336"/>
      <c r="L282" s="336"/>
      <c r="M282" s="336"/>
      <c r="N282" s="336"/>
      <c r="O282" s="336"/>
      <c r="P282" s="336"/>
      <c r="Q282" s="336"/>
      <c r="R282" s="336"/>
    </row>
    <row r="283" spans="1:18" x14ac:dyDescent="0.2">
      <c r="A283" s="368"/>
      <c r="B283" s="336"/>
      <c r="C283" s="336"/>
      <c r="D283" s="336"/>
      <c r="E283" s="336"/>
      <c r="F283" s="336"/>
      <c r="G283" s="336"/>
      <c r="H283" s="336"/>
      <c r="I283" s="341"/>
      <c r="J283" s="341"/>
      <c r="K283" s="336"/>
      <c r="L283" s="336"/>
      <c r="M283" s="336"/>
      <c r="N283" s="336"/>
      <c r="O283" s="336"/>
      <c r="P283" s="336"/>
      <c r="Q283" s="336"/>
      <c r="R283" s="336"/>
    </row>
    <row r="284" spans="1:18" x14ac:dyDescent="0.2">
      <c r="A284" s="368"/>
      <c r="B284" s="336"/>
      <c r="C284" s="336"/>
      <c r="D284" s="336"/>
      <c r="E284" s="336"/>
      <c r="F284" s="336"/>
      <c r="G284" s="336"/>
      <c r="H284" s="336"/>
      <c r="I284" s="341"/>
      <c r="J284" s="341"/>
      <c r="K284" s="336"/>
      <c r="L284" s="336"/>
      <c r="M284" s="336"/>
      <c r="N284" s="336"/>
      <c r="O284" s="336"/>
      <c r="P284" s="336"/>
      <c r="Q284" s="336"/>
      <c r="R284" s="336"/>
    </row>
    <row r="285" spans="1:18" x14ac:dyDescent="0.2">
      <c r="A285" s="368"/>
      <c r="B285" s="336"/>
      <c r="C285" s="336"/>
      <c r="D285" s="336"/>
      <c r="E285" s="336"/>
      <c r="F285" s="336"/>
      <c r="G285" s="336"/>
      <c r="H285" s="336"/>
      <c r="I285" s="341"/>
      <c r="J285" s="341"/>
      <c r="K285" s="336"/>
      <c r="L285" s="336"/>
      <c r="M285" s="336"/>
      <c r="N285" s="336"/>
      <c r="O285" s="336"/>
      <c r="P285" s="336"/>
      <c r="Q285" s="336"/>
      <c r="R285" s="336"/>
    </row>
    <row r="286" spans="1:18" x14ac:dyDescent="0.2">
      <c r="A286" s="368"/>
      <c r="B286" s="336"/>
      <c r="C286" s="336"/>
      <c r="D286" s="336"/>
      <c r="E286" s="336"/>
      <c r="F286" s="336"/>
      <c r="G286" s="336"/>
      <c r="H286" s="336"/>
      <c r="I286" s="341"/>
      <c r="J286" s="341"/>
      <c r="K286" s="336"/>
      <c r="L286" s="336"/>
      <c r="M286" s="336"/>
      <c r="N286" s="336"/>
      <c r="O286" s="336"/>
      <c r="P286" s="336"/>
      <c r="Q286" s="336"/>
      <c r="R286" s="336"/>
    </row>
    <row r="287" spans="1:18" x14ac:dyDescent="0.2">
      <c r="A287" s="368"/>
      <c r="B287" s="336"/>
      <c r="C287" s="336"/>
      <c r="D287" s="336"/>
      <c r="E287" s="336"/>
      <c r="F287" s="336"/>
      <c r="G287" s="336"/>
      <c r="H287" s="336"/>
      <c r="I287" s="341"/>
      <c r="J287" s="341"/>
      <c r="K287" s="336"/>
      <c r="L287" s="336"/>
      <c r="M287" s="336"/>
      <c r="N287" s="336"/>
      <c r="O287" s="336"/>
      <c r="P287" s="336"/>
      <c r="Q287" s="336"/>
      <c r="R287" s="336"/>
    </row>
    <row r="288" spans="1:18" x14ac:dyDescent="0.2">
      <c r="A288" s="368"/>
      <c r="B288" s="336"/>
      <c r="C288" s="336"/>
      <c r="D288" s="336"/>
      <c r="E288" s="336"/>
      <c r="F288" s="336"/>
      <c r="G288" s="336"/>
      <c r="H288" s="336"/>
      <c r="I288" s="341"/>
      <c r="J288" s="341"/>
      <c r="K288" s="336"/>
      <c r="L288" s="336"/>
      <c r="M288" s="336"/>
      <c r="N288" s="336"/>
      <c r="O288" s="336"/>
      <c r="P288" s="336"/>
      <c r="Q288" s="336"/>
      <c r="R288" s="336"/>
    </row>
    <row r="289" spans="1:18" x14ac:dyDescent="0.2">
      <c r="A289" s="368"/>
      <c r="B289" s="336"/>
      <c r="C289" s="336"/>
      <c r="D289" s="336"/>
      <c r="E289" s="336"/>
      <c r="F289" s="336"/>
      <c r="G289" s="336"/>
      <c r="H289" s="336"/>
      <c r="I289" s="341"/>
      <c r="J289" s="341"/>
      <c r="K289" s="336"/>
      <c r="L289" s="336"/>
      <c r="M289" s="336"/>
      <c r="N289" s="336"/>
      <c r="O289" s="336"/>
      <c r="P289" s="336"/>
      <c r="Q289" s="336"/>
      <c r="R289" s="336"/>
    </row>
    <row r="290" spans="1:18" x14ac:dyDescent="0.2">
      <c r="A290" s="368"/>
      <c r="B290" s="336"/>
      <c r="C290" s="336"/>
      <c r="D290" s="336"/>
      <c r="E290" s="336"/>
      <c r="F290" s="336"/>
      <c r="G290" s="336"/>
      <c r="H290" s="336"/>
      <c r="I290" s="341"/>
      <c r="J290" s="341"/>
      <c r="K290" s="336"/>
      <c r="L290" s="336"/>
      <c r="M290" s="336"/>
      <c r="N290" s="336"/>
      <c r="O290" s="336"/>
      <c r="P290" s="336"/>
      <c r="Q290" s="336"/>
      <c r="R290" s="336"/>
    </row>
    <row r="291" spans="1:18" x14ac:dyDescent="0.2">
      <c r="A291" s="368"/>
      <c r="B291" s="336"/>
      <c r="C291" s="336"/>
      <c r="D291" s="336"/>
      <c r="E291" s="336"/>
      <c r="F291" s="336"/>
      <c r="G291" s="336"/>
      <c r="H291" s="336"/>
      <c r="I291" s="341"/>
      <c r="J291" s="341"/>
      <c r="K291" s="336"/>
      <c r="L291" s="336"/>
      <c r="M291" s="336"/>
      <c r="N291" s="336"/>
      <c r="O291" s="336"/>
      <c r="P291" s="336"/>
      <c r="Q291" s="336"/>
      <c r="R291" s="336"/>
    </row>
    <row r="292" spans="1:18" x14ac:dyDescent="0.2">
      <c r="A292" s="368"/>
      <c r="B292" s="336"/>
      <c r="C292" s="336"/>
      <c r="D292" s="336"/>
      <c r="E292" s="336"/>
      <c r="F292" s="336"/>
      <c r="G292" s="336"/>
      <c r="H292" s="336"/>
      <c r="I292" s="341"/>
      <c r="J292" s="341"/>
      <c r="K292" s="336"/>
      <c r="L292" s="336"/>
      <c r="M292" s="336"/>
      <c r="N292" s="336"/>
      <c r="O292" s="336"/>
      <c r="P292" s="336"/>
      <c r="Q292" s="336"/>
      <c r="R292" s="336"/>
    </row>
    <row r="293" spans="1:18" x14ac:dyDescent="0.2">
      <c r="A293" s="368"/>
      <c r="B293" s="336"/>
      <c r="C293" s="336"/>
      <c r="D293" s="336"/>
      <c r="E293" s="336"/>
      <c r="F293" s="336"/>
      <c r="G293" s="336"/>
      <c r="H293" s="336"/>
      <c r="I293" s="341"/>
      <c r="J293" s="341"/>
      <c r="K293" s="336"/>
      <c r="L293" s="336"/>
      <c r="M293" s="336"/>
      <c r="N293" s="336"/>
      <c r="O293" s="336"/>
      <c r="P293" s="336"/>
      <c r="Q293" s="336"/>
      <c r="R293" s="336"/>
    </row>
    <row r="294" spans="1:18" x14ac:dyDescent="0.2">
      <c r="A294" s="368"/>
      <c r="B294" s="336"/>
      <c r="C294" s="336"/>
      <c r="D294" s="336"/>
      <c r="E294" s="336"/>
      <c r="F294" s="336"/>
      <c r="G294" s="336"/>
      <c r="H294" s="336"/>
      <c r="I294" s="341"/>
      <c r="J294" s="341"/>
      <c r="K294" s="336"/>
      <c r="L294" s="336"/>
      <c r="M294" s="336"/>
      <c r="N294" s="336"/>
      <c r="O294" s="336"/>
      <c r="P294" s="336"/>
      <c r="Q294" s="336"/>
      <c r="R294" s="336"/>
    </row>
    <row r="295" spans="1:18" x14ac:dyDescent="0.2">
      <c r="A295" s="368"/>
      <c r="B295" s="336"/>
      <c r="C295" s="336"/>
      <c r="D295" s="336"/>
      <c r="E295" s="336"/>
      <c r="F295" s="336"/>
      <c r="G295" s="336"/>
      <c r="H295" s="336"/>
      <c r="I295" s="341"/>
      <c r="J295" s="341"/>
      <c r="K295" s="336"/>
      <c r="L295" s="336"/>
      <c r="M295" s="336"/>
      <c r="N295" s="336"/>
      <c r="O295" s="336"/>
      <c r="P295" s="336"/>
      <c r="Q295" s="336"/>
      <c r="R295" s="336"/>
    </row>
    <row r="296" spans="1:18" x14ac:dyDescent="0.2">
      <c r="A296" s="368"/>
      <c r="B296" s="336"/>
      <c r="C296" s="336"/>
      <c r="D296" s="336"/>
      <c r="E296" s="336"/>
      <c r="F296" s="336"/>
      <c r="G296" s="336"/>
      <c r="H296" s="336"/>
      <c r="I296" s="341"/>
      <c r="J296" s="341"/>
      <c r="K296" s="336"/>
      <c r="L296" s="336"/>
      <c r="M296" s="336"/>
      <c r="N296" s="336"/>
      <c r="O296" s="336"/>
      <c r="P296" s="336"/>
      <c r="Q296" s="336"/>
      <c r="R296" s="336"/>
    </row>
    <row r="297" spans="1:18" x14ac:dyDescent="0.2">
      <c r="A297" s="368"/>
      <c r="B297" s="336"/>
      <c r="C297" s="336"/>
      <c r="D297" s="336"/>
      <c r="E297" s="336"/>
      <c r="F297" s="336"/>
      <c r="G297" s="336"/>
      <c r="H297" s="336"/>
      <c r="I297" s="341"/>
      <c r="J297" s="341"/>
      <c r="K297" s="336"/>
      <c r="L297" s="336"/>
      <c r="M297" s="336"/>
      <c r="N297" s="336"/>
      <c r="O297" s="336"/>
      <c r="P297" s="336"/>
      <c r="Q297" s="336"/>
      <c r="R297" s="336"/>
    </row>
    <row r="298" spans="1:18" x14ac:dyDescent="0.2">
      <c r="A298" s="368"/>
      <c r="B298" s="336"/>
      <c r="C298" s="336"/>
      <c r="D298" s="336"/>
      <c r="E298" s="336"/>
      <c r="F298" s="336"/>
      <c r="G298" s="336"/>
      <c r="H298" s="336"/>
      <c r="I298" s="341"/>
      <c r="J298" s="341"/>
      <c r="K298" s="336"/>
      <c r="L298" s="336"/>
      <c r="M298" s="336"/>
      <c r="N298" s="336"/>
      <c r="O298" s="336"/>
      <c r="P298" s="336"/>
      <c r="Q298" s="336"/>
      <c r="R298" s="336"/>
    </row>
    <row r="299" spans="1:18" x14ac:dyDescent="0.2">
      <c r="A299" s="368"/>
      <c r="B299" s="336"/>
      <c r="C299" s="336"/>
      <c r="D299" s="336"/>
      <c r="E299" s="336"/>
      <c r="F299" s="336"/>
      <c r="G299" s="336"/>
      <c r="H299" s="336"/>
      <c r="I299" s="341"/>
      <c r="J299" s="341"/>
      <c r="K299" s="336"/>
      <c r="L299" s="336"/>
      <c r="M299" s="336"/>
      <c r="N299" s="336"/>
      <c r="O299" s="336"/>
      <c r="P299" s="336"/>
      <c r="Q299" s="336"/>
      <c r="R299" s="336"/>
    </row>
    <row r="300" spans="1:18" x14ac:dyDescent="0.2">
      <c r="A300" s="368"/>
      <c r="B300" s="336"/>
      <c r="C300" s="336"/>
      <c r="D300" s="336"/>
      <c r="E300" s="336"/>
      <c r="F300" s="336"/>
      <c r="G300" s="336"/>
      <c r="H300" s="336"/>
      <c r="I300" s="341"/>
      <c r="J300" s="341"/>
      <c r="K300" s="336"/>
      <c r="L300" s="336"/>
      <c r="M300" s="336"/>
      <c r="N300" s="336"/>
      <c r="O300" s="336"/>
      <c r="P300" s="336"/>
      <c r="Q300" s="336"/>
      <c r="R300" s="336"/>
    </row>
    <row r="301" spans="1:18" x14ac:dyDescent="0.2">
      <c r="A301" s="368"/>
      <c r="B301" s="336"/>
      <c r="C301" s="336"/>
      <c r="D301" s="336"/>
      <c r="E301" s="336"/>
      <c r="F301" s="336"/>
      <c r="G301" s="336"/>
      <c r="H301" s="336"/>
      <c r="I301" s="341"/>
      <c r="J301" s="341"/>
      <c r="K301" s="336"/>
      <c r="L301" s="336"/>
      <c r="M301" s="336"/>
      <c r="N301" s="336"/>
      <c r="O301" s="336"/>
      <c r="P301" s="336"/>
      <c r="Q301" s="336"/>
      <c r="R301" s="336"/>
    </row>
    <row r="302" spans="1:18" x14ac:dyDescent="0.2">
      <c r="A302" s="368"/>
      <c r="B302" s="336"/>
      <c r="C302" s="336"/>
      <c r="D302" s="336"/>
      <c r="E302" s="336"/>
      <c r="F302" s="336"/>
      <c r="G302" s="336"/>
      <c r="H302" s="336"/>
      <c r="I302" s="341"/>
      <c r="J302" s="341"/>
      <c r="K302" s="336"/>
      <c r="L302" s="336"/>
      <c r="M302" s="336"/>
      <c r="N302" s="336"/>
      <c r="O302" s="336"/>
      <c r="P302" s="336"/>
      <c r="Q302" s="336"/>
      <c r="R302" s="336"/>
    </row>
    <row r="303" spans="1:18" x14ac:dyDescent="0.2">
      <c r="A303" s="368"/>
      <c r="B303" s="336"/>
      <c r="C303" s="336"/>
      <c r="D303" s="336"/>
      <c r="E303" s="336"/>
      <c r="F303" s="336"/>
      <c r="G303" s="336"/>
      <c r="H303" s="336"/>
      <c r="I303" s="341"/>
      <c r="J303" s="341"/>
      <c r="K303" s="336"/>
      <c r="L303" s="336"/>
      <c r="M303" s="336"/>
      <c r="N303" s="336"/>
      <c r="O303" s="336"/>
      <c r="P303" s="336"/>
      <c r="Q303" s="336"/>
      <c r="R303" s="336"/>
    </row>
    <row r="304" spans="1:18" x14ac:dyDescent="0.2">
      <c r="A304" s="368"/>
      <c r="B304" s="336"/>
      <c r="C304" s="336"/>
      <c r="D304" s="336"/>
      <c r="E304" s="336"/>
      <c r="F304" s="336"/>
      <c r="G304" s="336"/>
      <c r="H304" s="336"/>
      <c r="I304" s="341"/>
      <c r="J304" s="341"/>
      <c r="K304" s="336"/>
      <c r="L304" s="336"/>
      <c r="M304" s="336"/>
      <c r="N304" s="336"/>
      <c r="O304" s="336"/>
      <c r="P304" s="336"/>
      <c r="Q304" s="336"/>
      <c r="R304" s="336"/>
    </row>
    <row r="305" spans="1:18" x14ac:dyDescent="0.2">
      <c r="A305" s="368"/>
      <c r="B305" s="336"/>
      <c r="C305" s="336"/>
      <c r="D305" s="336"/>
      <c r="E305" s="336"/>
      <c r="F305" s="336"/>
      <c r="G305" s="336"/>
      <c r="H305" s="336"/>
      <c r="I305" s="341"/>
      <c r="J305" s="341"/>
      <c r="K305" s="336"/>
      <c r="L305" s="336"/>
      <c r="M305" s="336"/>
      <c r="N305" s="336"/>
      <c r="O305" s="336"/>
      <c r="P305" s="336"/>
      <c r="Q305" s="336"/>
      <c r="R305" s="336"/>
    </row>
    <row r="306" spans="1:18" x14ac:dyDescent="0.2">
      <c r="A306" s="368"/>
      <c r="B306" s="336"/>
      <c r="C306" s="336"/>
      <c r="D306" s="336"/>
      <c r="E306" s="336"/>
      <c r="F306" s="336"/>
      <c r="G306" s="336"/>
      <c r="H306" s="336"/>
      <c r="I306" s="341"/>
      <c r="J306" s="341"/>
      <c r="K306" s="336"/>
      <c r="L306" s="336"/>
      <c r="M306" s="336"/>
      <c r="N306" s="336"/>
      <c r="O306" s="336"/>
      <c r="P306" s="336"/>
      <c r="Q306" s="336"/>
      <c r="R306" s="336"/>
    </row>
    <row r="307" spans="1:18" x14ac:dyDescent="0.2">
      <c r="A307" s="368"/>
      <c r="B307" s="336"/>
      <c r="C307" s="336"/>
      <c r="D307" s="336"/>
      <c r="E307" s="336"/>
      <c r="F307" s="336"/>
      <c r="G307" s="336"/>
      <c r="H307" s="336"/>
      <c r="I307" s="341"/>
      <c r="J307" s="341"/>
      <c r="K307" s="336"/>
      <c r="L307" s="336"/>
      <c r="M307" s="336"/>
      <c r="N307" s="336"/>
      <c r="O307" s="336"/>
      <c r="P307" s="336"/>
      <c r="Q307" s="336"/>
      <c r="R307" s="336"/>
    </row>
    <row r="308" spans="1:18" x14ac:dyDescent="0.2">
      <c r="A308" s="368"/>
      <c r="B308" s="336"/>
      <c r="C308" s="336"/>
      <c r="D308" s="336"/>
      <c r="E308" s="336"/>
      <c r="F308" s="336"/>
      <c r="G308" s="336"/>
      <c r="H308" s="336"/>
      <c r="I308" s="341"/>
      <c r="J308" s="341"/>
      <c r="K308" s="336"/>
      <c r="L308" s="336"/>
      <c r="M308" s="336"/>
      <c r="N308" s="336"/>
      <c r="O308" s="336"/>
      <c r="P308" s="336"/>
      <c r="Q308" s="336"/>
      <c r="R308" s="336"/>
    </row>
    <row r="309" spans="1:18" x14ac:dyDescent="0.2">
      <c r="A309" s="368"/>
      <c r="B309" s="336"/>
      <c r="C309" s="336"/>
      <c r="D309" s="336"/>
      <c r="E309" s="336"/>
      <c r="F309" s="336"/>
      <c r="G309" s="336"/>
      <c r="H309" s="336"/>
      <c r="I309" s="341"/>
      <c r="J309" s="341"/>
      <c r="K309" s="336"/>
      <c r="L309" s="336"/>
      <c r="M309" s="336"/>
      <c r="N309" s="336"/>
      <c r="O309" s="336"/>
      <c r="P309" s="336"/>
      <c r="Q309" s="336"/>
      <c r="R309" s="336"/>
    </row>
    <row r="310" spans="1:18" x14ac:dyDescent="0.2">
      <c r="A310" s="368"/>
      <c r="B310" s="336"/>
      <c r="C310" s="336"/>
      <c r="D310" s="336"/>
      <c r="E310" s="336"/>
      <c r="F310" s="336"/>
      <c r="G310" s="336"/>
      <c r="H310" s="336"/>
      <c r="I310" s="341"/>
      <c r="J310" s="341"/>
      <c r="K310" s="336"/>
      <c r="L310" s="336"/>
      <c r="M310" s="336"/>
      <c r="N310" s="336"/>
      <c r="O310" s="336"/>
      <c r="P310" s="336"/>
      <c r="Q310" s="336"/>
      <c r="R310" s="336"/>
    </row>
    <row r="311" spans="1:18" x14ac:dyDescent="0.2">
      <c r="A311" s="368"/>
      <c r="B311" s="336"/>
      <c r="C311" s="336"/>
      <c r="D311" s="336"/>
      <c r="E311" s="336"/>
      <c r="F311" s="336"/>
      <c r="G311" s="336"/>
      <c r="H311" s="336"/>
      <c r="I311" s="341"/>
      <c r="J311" s="341"/>
      <c r="K311" s="336"/>
      <c r="L311" s="336"/>
      <c r="M311" s="336"/>
      <c r="N311" s="336"/>
      <c r="O311" s="336"/>
      <c r="P311" s="336"/>
      <c r="Q311" s="336"/>
      <c r="R311" s="336"/>
    </row>
    <row r="312" spans="1:18" x14ac:dyDescent="0.2">
      <c r="A312" s="368"/>
      <c r="B312" s="336"/>
      <c r="C312" s="336"/>
      <c r="D312" s="336"/>
      <c r="E312" s="336"/>
      <c r="F312" s="336"/>
      <c r="G312" s="336"/>
      <c r="H312" s="336"/>
      <c r="I312" s="341"/>
      <c r="J312" s="341"/>
      <c r="K312" s="336"/>
      <c r="L312" s="336"/>
      <c r="M312" s="336"/>
      <c r="N312" s="336"/>
      <c r="O312" s="336"/>
      <c r="P312" s="336"/>
      <c r="Q312" s="336"/>
      <c r="R312" s="336"/>
    </row>
    <row r="313" spans="1:18" x14ac:dyDescent="0.2">
      <c r="A313" s="368"/>
      <c r="B313" s="336"/>
      <c r="C313" s="336"/>
      <c r="D313" s="336"/>
      <c r="E313" s="336"/>
      <c r="F313" s="336"/>
      <c r="G313" s="336"/>
      <c r="H313" s="336"/>
      <c r="I313" s="341"/>
      <c r="J313" s="341"/>
      <c r="K313" s="336"/>
      <c r="L313" s="336"/>
      <c r="M313" s="336"/>
      <c r="N313" s="336"/>
      <c r="O313" s="336"/>
      <c r="P313" s="336"/>
      <c r="Q313" s="336"/>
      <c r="R313" s="336"/>
    </row>
    <row r="314" spans="1:18" x14ac:dyDescent="0.2">
      <c r="A314" s="368"/>
      <c r="B314" s="336"/>
      <c r="C314" s="336"/>
      <c r="D314" s="336"/>
      <c r="E314" s="336"/>
      <c r="F314" s="336"/>
      <c r="G314" s="336"/>
      <c r="H314" s="336"/>
      <c r="I314" s="341"/>
      <c r="J314" s="341"/>
      <c r="K314" s="336"/>
      <c r="L314" s="336"/>
      <c r="M314" s="336"/>
      <c r="N314" s="336"/>
      <c r="O314" s="336"/>
      <c r="P314" s="336"/>
      <c r="Q314" s="336"/>
      <c r="R314" s="336"/>
    </row>
    <row r="315" spans="1:18" x14ac:dyDescent="0.2">
      <c r="A315" s="368"/>
      <c r="B315" s="336"/>
      <c r="C315" s="336"/>
      <c r="D315" s="336"/>
      <c r="E315" s="336"/>
      <c r="F315" s="336"/>
      <c r="G315" s="336"/>
      <c r="H315" s="336"/>
      <c r="I315" s="341"/>
      <c r="J315" s="341"/>
      <c r="K315" s="336"/>
      <c r="L315" s="336"/>
      <c r="M315" s="336"/>
      <c r="N315" s="336"/>
      <c r="O315" s="336"/>
      <c r="P315" s="336"/>
      <c r="Q315" s="336"/>
      <c r="R315" s="336"/>
    </row>
    <row r="316" spans="1:18" x14ac:dyDescent="0.2">
      <c r="A316" s="368"/>
      <c r="B316" s="336"/>
      <c r="C316" s="336"/>
      <c r="D316" s="336"/>
      <c r="E316" s="336"/>
      <c r="F316" s="336"/>
      <c r="G316" s="336"/>
      <c r="H316" s="336"/>
      <c r="I316" s="341"/>
      <c r="J316" s="341"/>
      <c r="K316" s="336"/>
      <c r="L316" s="336"/>
      <c r="M316" s="336"/>
      <c r="N316" s="336"/>
      <c r="O316" s="336"/>
      <c r="P316" s="336"/>
      <c r="Q316" s="336"/>
      <c r="R316" s="336"/>
    </row>
    <row r="317" spans="1:18" x14ac:dyDescent="0.2">
      <c r="A317" s="368"/>
      <c r="B317" s="336"/>
      <c r="C317" s="336"/>
      <c r="D317" s="336"/>
      <c r="E317" s="336"/>
      <c r="F317" s="336"/>
      <c r="G317" s="336"/>
      <c r="H317" s="336"/>
      <c r="I317" s="341"/>
      <c r="J317" s="341"/>
      <c r="K317" s="336"/>
      <c r="L317" s="336"/>
      <c r="M317" s="336"/>
      <c r="N317" s="336"/>
      <c r="O317" s="336"/>
      <c r="P317" s="336"/>
      <c r="Q317" s="336"/>
      <c r="R317" s="336"/>
    </row>
    <row r="318" spans="1:18" x14ac:dyDescent="0.2">
      <c r="A318" s="368"/>
      <c r="B318" s="336"/>
      <c r="C318" s="336"/>
      <c r="D318" s="336"/>
      <c r="E318" s="336"/>
      <c r="F318" s="336"/>
      <c r="G318" s="336"/>
      <c r="H318" s="336"/>
      <c r="I318" s="341"/>
      <c r="J318" s="341"/>
      <c r="K318" s="336"/>
      <c r="L318" s="336"/>
      <c r="M318" s="336"/>
      <c r="N318" s="336"/>
      <c r="O318" s="336"/>
      <c r="P318" s="336"/>
      <c r="Q318" s="336"/>
      <c r="R318" s="336"/>
    </row>
    <row r="319" spans="1:18" x14ac:dyDescent="0.2">
      <c r="A319" s="368"/>
      <c r="B319" s="336"/>
      <c r="C319" s="336"/>
      <c r="D319" s="336"/>
      <c r="E319" s="336"/>
      <c r="F319" s="336"/>
      <c r="G319" s="336"/>
      <c r="H319" s="336"/>
      <c r="I319" s="341"/>
      <c r="J319" s="341"/>
      <c r="K319" s="336"/>
      <c r="L319" s="336"/>
      <c r="M319" s="336"/>
      <c r="N319" s="336"/>
      <c r="O319" s="336"/>
      <c r="P319" s="336"/>
      <c r="Q319" s="336"/>
      <c r="R319" s="336"/>
    </row>
    <row r="320" spans="1:18" x14ac:dyDescent="0.2">
      <c r="A320" s="368"/>
      <c r="B320" s="336"/>
      <c r="C320" s="336"/>
      <c r="D320" s="336"/>
      <c r="E320" s="336"/>
      <c r="F320" s="336"/>
      <c r="G320" s="336"/>
      <c r="H320" s="336"/>
      <c r="I320" s="341"/>
      <c r="J320" s="341"/>
      <c r="K320" s="336"/>
      <c r="L320" s="336"/>
      <c r="M320" s="336"/>
      <c r="N320" s="336"/>
      <c r="O320" s="336"/>
      <c r="P320" s="336"/>
      <c r="Q320" s="336"/>
      <c r="R320" s="336"/>
    </row>
    <row r="321" spans="1:18" x14ac:dyDescent="0.2">
      <c r="A321" s="368"/>
      <c r="B321" s="336"/>
      <c r="C321" s="336"/>
      <c r="D321" s="336"/>
      <c r="E321" s="336"/>
      <c r="F321" s="336"/>
      <c r="G321" s="336"/>
      <c r="H321" s="336"/>
      <c r="I321" s="341"/>
      <c r="J321" s="341"/>
      <c r="K321" s="336"/>
      <c r="L321" s="336"/>
      <c r="M321" s="336"/>
      <c r="N321" s="336"/>
      <c r="O321" s="336"/>
      <c r="P321" s="336"/>
      <c r="Q321" s="336"/>
      <c r="R321" s="336"/>
    </row>
    <row r="322" spans="1:18" x14ac:dyDescent="0.2">
      <c r="A322" s="368"/>
      <c r="B322" s="336"/>
      <c r="C322" s="336"/>
      <c r="D322" s="336"/>
      <c r="E322" s="336"/>
      <c r="F322" s="336"/>
      <c r="G322" s="336"/>
      <c r="H322" s="336"/>
      <c r="I322" s="341"/>
      <c r="J322" s="341"/>
      <c r="K322" s="336"/>
      <c r="L322" s="336"/>
      <c r="M322" s="336"/>
      <c r="N322" s="336"/>
      <c r="O322" s="336"/>
      <c r="P322" s="336"/>
      <c r="Q322" s="336"/>
      <c r="R322" s="336"/>
    </row>
    <row r="323" spans="1:18" x14ac:dyDescent="0.2">
      <c r="A323" s="368"/>
      <c r="B323" s="336"/>
      <c r="C323" s="336"/>
      <c r="D323" s="336"/>
      <c r="E323" s="336"/>
      <c r="F323" s="336"/>
      <c r="G323" s="336"/>
      <c r="H323" s="336"/>
      <c r="I323" s="341"/>
      <c r="J323" s="341"/>
      <c r="K323" s="336"/>
      <c r="L323" s="336"/>
      <c r="M323" s="336"/>
      <c r="N323" s="336"/>
      <c r="O323" s="336"/>
      <c r="P323" s="336"/>
      <c r="Q323" s="336"/>
      <c r="R323" s="336"/>
    </row>
    <row r="324" spans="1:18" x14ac:dyDescent="0.2">
      <c r="A324" s="368"/>
      <c r="B324" s="336"/>
      <c r="C324" s="336"/>
      <c r="D324" s="336"/>
      <c r="E324" s="336"/>
      <c r="F324" s="336"/>
      <c r="G324" s="336"/>
      <c r="H324" s="336"/>
      <c r="I324" s="341"/>
      <c r="J324" s="341"/>
      <c r="K324" s="336"/>
      <c r="L324" s="336"/>
      <c r="M324" s="336"/>
      <c r="N324" s="336"/>
      <c r="O324" s="336"/>
      <c r="P324" s="336"/>
      <c r="Q324" s="336"/>
      <c r="R324" s="336"/>
    </row>
    <row r="325" spans="1:18" x14ac:dyDescent="0.2">
      <c r="A325" s="368"/>
      <c r="B325" s="336"/>
      <c r="C325" s="336"/>
      <c r="D325" s="336"/>
      <c r="E325" s="336"/>
      <c r="F325" s="336"/>
      <c r="G325" s="336"/>
      <c r="H325" s="336"/>
      <c r="I325" s="341"/>
      <c r="J325" s="341"/>
      <c r="K325" s="336"/>
      <c r="L325" s="336"/>
      <c r="M325" s="336"/>
      <c r="N325" s="336"/>
      <c r="O325" s="336"/>
      <c r="P325" s="336"/>
      <c r="Q325" s="336"/>
      <c r="R325" s="336"/>
    </row>
    <row r="326" spans="1:18" x14ac:dyDescent="0.2">
      <c r="A326" s="368"/>
      <c r="B326" s="336"/>
      <c r="C326" s="336"/>
      <c r="D326" s="336"/>
      <c r="E326" s="336"/>
      <c r="F326" s="336"/>
      <c r="G326" s="336"/>
      <c r="H326" s="336"/>
      <c r="I326" s="341"/>
      <c r="J326" s="341"/>
      <c r="K326" s="336"/>
      <c r="L326" s="336"/>
      <c r="M326" s="336"/>
      <c r="N326" s="336"/>
      <c r="O326" s="336"/>
      <c r="P326" s="336"/>
      <c r="Q326" s="336"/>
      <c r="R326" s="336"/>
    </row>
    <row r="327" spans="1:18" x14ac:dyDescent="0.2">
      <c r="A327" s="368"/>
      <c r="B327" s="336"/>
      <c r="C327" s="336"/>
      <c r="D327" s="336"/>
      <c r="E327" s="336"/>
      <c r="F327" s="336"/>
      <c r="G327" s="336"/>
      <c r="H327" s="336"/>
      <c r="I327" s="341"/>
      <c r="J327" s="341"/>
      <c r="K327" s="336"/>
      <c r="L327" s="336"/>
      <c r="M327" s="336"/>
      <c r="N327" s="336"/>
      <c r="O327" s="336"/>
      <c r="P327" s="336"/>
      <c r="Q327" s="336"/>
      <c r="R327" s="336"/>
    </row>
    <row r="328" spans="1:18" x14ac:dyDescent="0.2">
      <c r="A328" s="368"/>
      <c r="B328" s="336"/>
      <c r="C328" s="336"/>
      <c r="D328" s="336"/>
      <c r="E328" s="336"/>
      <c r="F328" s="336"/>
      <c r="G328" s="336"/>
      <c r="H328" s="336"/>
      <c r="I328" s="341"/>
      <c r="J328" s="341"/>
      <c r="K328" s="336"/>
      <c r="L328" s="336"/>
      <c r="M328" s="336"/>
      <c r="N328" s="336"/>
      <c r="O328" s="336"/>
      <c r="P328" s="336"/>
      <c r="Q328" s="336"/>
      <c r="R328" s="336"/>
    </row>
    <row r="329" spans="1:18" x14ac:dyDescent="0.2">
      <c r="A329" s="368"/>
      <c r="B329" s="336"/>
      <c r="C329" s="336"/>
      <c r="D329" s="336"/>
      <c r="E329" s="336"/>
      <c r="F329" s="336"/>
      <c r="G329" s="336"/>
      <c r="H329" s="336"/>
      <c r="I329" s="341"/>
      <c r="J329" s="341"/>
      <c r="K329" s="336"/>
      <c r="L329" s="336"/>
      <c r="M329" s="336"/>
      <c r="N329" s="336"/>
      <c r="O329" s="336"/>
      <c r="P329" s="336"/>
      <c r="Q329" s="336"/>
      <c r="R329" s="336"/>
    </row>
    <row r="330" spans="1:18" x14ac:dyDescent="0.2">
      <c r="A330" s="368"/>
      <c r="B330" s="336"/>
      <c r="C330" s="336"/>
      <c r="D330" s="336"/>
      <c r="E330" s="336"/>
      <c r="F330" s="336"/>
      <c r="G330" s="336"/>
      <c r="H330" s="336"/>
      <c r="I330" s="341"/>
      <c r="J330" s="341"/>
      <c r="K330" s="336"/>
      <c r="L330" s="336"/>
      <c r="M330" s="336"/>
      <c r="N330" s="336"/>
      <c r="O330" s="336"/>
      <c r="P330" s="336"/>
      <c r="Q330" s="336"/>
      <c r="R330" s="336"/>
    </row>
    <row r="331" spans="1:18" x14ac:dyDescent="0.2">
      <c r="A331" s="368"/>
      <c r="B331" s="336"/>
      <c r="C331" s="336"/>
      <c r="D331" s="336"/>
      <c r="E331" s="336"/>
      <c r="F331" s="336"/>
      <c r="G331" s="336"/>
      <c r="H331" s="336"/>
      <c r="I331" s="341"/>
      <c r="J331" s="341"/>
      <c r="K331" s="336"/>
      <c r="L331" s="336"/>
      <c r="M331" s="336"/>
      <c r="N331" s="336"/>
      <c r="O331" s="336"/>
      <c r="P331" s="336"/>
      <c r="Q331" s="336"/>
      <c r="R331" s="336"/>
    </row>
    <row r="332" spans="1:18" x14ac:dyDescent="0.2">
      <c r="A332" s="368"/>
      <c r="B332" s="336"/>
      <c r="C332" s="336"/>
      <c r="D332" s="336"/>
      <c r="E332" s="336"/>
      <c r="F332" s="336"/>
      <c r="G332" s="336"/>
      <c r="H332" s="336"/>
      <c r="I332" s="341"/>
      <c r="J332" s="341"/>
      <c r="K332" s="336"/>
      <c r="L332" s="336"/>
      <c r="M332" s="336"/>
      <c r="N332" s="336"/>
      <c r="O332" s="336"/>
      <c r="P332" s="336"/>
      <c r="Q332" s="336"/>
      <c r="R332" s="336"/>
    </row>
    <row r="333" spans="1:18" x14ac:dyDescent="0.2">
      <c r="A333" s="368"/>
      <c r="B333" s="336"/>
      <c r="C333" s="336"/>
      <c r="D333" s="336"/>
      <c r="E333" s="336"/>
      <c r="F333" s="336"/>
      <c r="G333" s="336"/>
      <c r="H333" s="336"/>
      <c r="I333" s="341"/>
      <c r="J333" s="341"/>
      <c r="K333" s="336"/>
      <c r="L333" s="336"/>
      <c r="M333" s="336"/>
      <c r="N333" s="336"/>
      <c r="O333" s="336"/>
      <c r="P333" s="336"/>
      <c r="Q333" s="336"/>
      <c r="R333" s="336"/>
    </row>
    <row r="334" spans="1:18" x14ac:dyDescent="0.2">
      <c r="A334" s="368"/>
      <c r="B334" s="336"/>
      <c r="C334" s="336"/>
      <c r="D334" s="336"/>
      <c r="E334" s="336"/>
      <c r="F334" s="336"/>
      <c r="G334" s="336"/>
      <c r="H334" s="336"/>
      <c r="I334" s="341"/>
      <c r="J334" s="341"/>
      <c r="K334" s="336"/>
      <c r="L334" s="336"/>
      <c r="M334" s="336"/>
      <c r="N334" s="336"/>
      <c r="O334" s="336"/>
      <c r="P334" s="336"/>
      <c r="Q334" s="336"/>
      <c r="R334" s="336"/>
    </row>
    <row r="335" spans="1:18" x14ac:dyDescent="0.2">
      <c r="A335" s="368"/>
      <c r="B335" s="336"/>
      <c r="C335" s="336"/>
      <c r="D335" s="336"/>
      <c r="E335" s="336"/>
      <c r="F335" s="336"/>
      <c r="G335" s="336"/>
      <c r="H335" s="336"/>
      <c r="I335" s="341"/>
      <c r="J335" s="341"/>
      <c r="K335" s="336"/>
      <c r="L335" s="336"/>
      <c r="M335" s="336"/>
      <c r="N335" s="336"/>
      <c r="O335" s="336"/>
      <c r="P335" s="336"/>
      <c r="Q335" s="336"/>
      <c r="R335" s="336"/>
    </row>
    <row r="336" spans="1:18" x14ac:dyDescent="0.2">
      <c r="A336" s="368"/>
      <c r="B336" s="336"/>
      <c r="C336" s="336"/>
      <c r="D336" s="336"/>
      <c r="E336" s="336"/>
      <c r="F336" s="336"/>
      <c r="G336" s="336"/>
      <c r="H336" s="336"/>
      <c r="I336" s="341"/>
      <c r="J336" s="341"/>
      <c r="K336" s="336"/>
      <c r="L336" s="336"/>
      <c r="M336" s="336"/>
      <c r="N336" s="336"/>
      <c r="O336" s="336"/>
      <c r="P336" s="336"/>
      <c r="Q336" s="336"/>
      <c r="R336" s="336"/>
    </row>
    <row r="337" spans="1:18" x14ac:dyDescent="0.2">
      <c r="A337" s="368"/>
      <c r="B337" s="336"/>
      <c r="C337" s="336"/>
      <c r="D337" s="336"/>
      <c r="E337" s="336"/>
      <c r="F337" s="336"/>
      <c r="G337" s="336"/>
      <c r="H337" s="336"/>
      <c r="I337" s="341"/>
      <c r="J337" s="341"/>
      <c r="K337" s="336"/>
      <c r="L337" s="336"/>
      <c r="M337" s="336"/>
      <c r="N337" s="336"/>
      <c r="O337" s="336"/>
      <c r="P337" s="336"/>
      <c r="Q337" s="336"/>
      <c r="R337" s="336"/>
    </row>
    <row r="338" spans="1:18" x14ac:dyDescent="0.2">
      <c r="A338" s="368"/>
      <c r="B338" s="336"/>
      <c r="C338" s="336"/>
      <c r="D338" s="336"/>
      <c r="E338" s="336"/>
      <c r="F338" s="336"/>
      <c r="G338" s="336"/>
      <c r="H338" s="336"/>
      <c r="I338" s="341"/>
      <c r="J338" s="341"/>
      <c r="K338" s="336"/>
      <c r="L338" s="336"/>
      <c r="M338" s="336"/>
      <c r="N338" s="336"/>
      <c r="O338" s="336"/>
      <c r="P338" s="336"/>
      <c r="Q338" s="336"/>
      <c r="R338" s="336"/>
    </row>
    <row r="339" spans="1:18" x14ac:dyDescent="0.2">
      <c r="A339" s="368"/>
      <c r="B339" s="336"/>
      <c r="C339" s="336"/>
      <c r="D339" s="336"/>
      <c r="E339" s="336"/>
      <c r="F339" s="336"/>
      <c r="G339" s="336"/>
      <c r="H339" s="336"/>
      <c r="I339" s="341"/>
      <c r="J339" s="341"/>
      <c r="K339" s="336"/>
      <c r="L339" s="336"/>
      <c r="M339" s="336"/>
      <c r="N339" s="336"/>
      <c r="O339" s="336"/>
      <c r="P339" s="336"/>
      <c r="Q339" s="336"/>
      <c r="R339" s="336"/>
    </row>
    <row r="340" spans="1:18" x14ac:dyDescent="0.2">
      <c r="A340" s="368"/>
      <c r="B340" s="336"/>
      <c r="C340" s="336"/>
      <c r="D340" s="336"/>
      <c r="E340" s="336"/>
      <c r="F340" s="336"/>
      <c r="G340" s="336"/>
      <c r="H340" s="336"/>
      <c r="I340" s="341"/>
      <c r="J340" s="341"/>
      <c r="K340" s="336"/>
      <c r="L340" s="336"/>
      <c r="M340" s="336"/>
      <c r="N340" s="336"/>
      <c r="O340" s="336"/>
      <c r="P340" s="336"/>
      <c r="Q340" s="336"/>
      <c r="R340" s="336"/>
    </row>
    <row r="341" spans="1:18" x14ac:dyDescent="0.2">
      <c r="A341" s="368"/>
      <c r="B341" s="336"/>
      <c r="C341" s="336"/>
      <c r="D341" s="336"/>
      <c r="E341" s="336"/>
      <c r="F341" s="336"/>
      <c r="G341" s="336"/>
      <c r="H341" s="336"/>
      <c r="I341" s="341"/>
      <c r="J341" s="341"/>
      <c r="K341" s="336"/>
      <c r="L341" s="336"/>
      <c r="M341" s="336"/>
      <c r="N341" s="336"/>
      <c r="O341" s="336"/>
      <c r="P341" s="336"/>
      <c r="Q341" s="336"/>
      <c r="R341" s="336"/>
    </row>
    <row r="342" spans="1:18" x14ac:dyDescent="0.2">
      <c r="A342" s="368"/>
      <c r="B342" s="336"/>
      <c r="C342" s="336"/>
      <c r="D342" s="336"/>
      <c r="E342" s="336"/>
      <c r="F342" s="336"/>
      <c r="G342" s="336"/>
      <c r="H342" s="336"/>
      <c r="I342" s="341"/>
      <c r="J342" s="341"/>
      <c r="K342" s="336"/>
      <c r="L342" s="336"/>
      <c r="M342" s="336"/>
      <c r="N342" s="336"/>
      <c r="O342" s="336"/>
      <c r="P342" s="336"/>
      <c r="Q342" s="336"/>
      <c r="R342" s="336"/>
    </row>
    <row r="343" spans="1:18" x14ac:dyDescent="0.2">
      <c r="A343" s="368"/>
      <c r="B343" s="336"/>
      <c r="C343" s="336"/>
      <c r="D343" s="336"/>
      <c r="E343" s="336"/>
      <c r="F343" s="336"/>
      <c r="G343" s="336"/>
      <c r="H343" s="336"/>
      <c r="I343" s="341"/>
      <c r="J343" s="341"/>
      <c r="K343" s="336"/>
      <c r="L343" s="336"/>
      <c r="M343" s="336"/>
      <c r="N343" s="336"/>
      <c r="O343" s="336"/>
      <c r="P343" s="336"/>
      <c r="Q343" s="336"/>
      <c r="R343" s="336"/>
    </row>
    <row r="344" spans="1:18" x14ac:dyDescent="0.2">
      <c r="A344" s="368"/>
      <c r="B344" s="336"/>
      <c r="C344" s="336"/>
      <c r="D344" s="336"/>
      <c r="E344" s="336"/>
      <c r="F344" s="336"/>
      <c r="G344" s="336"/>
      <c r="H344" s="336"/>
      <c r="I344" s="341"/>
      <c r="J344" s="341"/>
      <c r="K344" s="336"/>
      <c r="L344" s="336"/>
      <c r="M344" s="336"/>
      <c r="N344" s="336"/>
      <c r="O344" s="336"/>
      <c r="P344" s="336"/>
      <c r="Q344" s="336"/>
      <c r="R344" s="336"/>
    </row>
    <row r="345" spans="1:18" x14ac:dyDescent="0.2">
      <c r="A345" s="368"/>
      <c r="B345" s="336"/>
      <c r="C345" s="336"/>
      <c r="D345" s="336"/>
      <c r="E345" s="336"/>
      <c r="F345" s="336"/>
      <c r="G345" s="336"/>
      <c r="H345" s="336"/>
      <c r="I345" s="341"/>
      <c r="J345" s="341"/>
      <c r="K345" s="336"/>
      <c r="L345" s="336"/>
      <c r="M345" s="336"/>
      <c r="N345" s="336"/>
      <c r="O345" s="336"/>
      <c r="P345" s="336"/>
      <c r="Q345" s="336"/>
      <c r="R345" s="336"/>
    </row>
    <row r="346" spans="1:18" x14ac:dyDescent="0.2">
      <c r="A346" s="368"/>
      <c r="B346" s="336"/>
      <c r="C346" s="336"/>
      <c r="D346" s="336"/>
      <c r="E346" s="336"/>
      <c r="F346" s="336"/>
      <c r="G346" s="336"/>
      <c r="H346" s="336"/>
      <c r="I346" s="341"/>
      <c r="J346" s="341"/>
      <c r="K346" s="336"/>
      <c r="L346" s="336"/>
      <c r="M346" s="336"/>
      <c r="N346" s="336"/>
      <c r="O346" s="336"/>
      <c r="P346" s="336"/>
      <c r="Q346" s="336"/>
      <c r="R346" s="336"/>
    </row>
    <row r="347" spans="1:18" x14ac:dyDescent="0.2">
      <c r="A347" s="368"/>
      <c r="B347" s="336"/>
      <c r="C347" s="336"/>
      <c r="D347" s="336"/>
      <c r="E347" s="336"/>
      <c r="F347" s="336"/>
      <c r="G347" s="336"/>
      <c r="H347" s="336"/>
      <c r="I347" s="341"/>
      <c r="J347" s="341"/>
      <c r="K347" s="336"/>
      <c r="L347" s="336"/>
      <c r="M347" s="336"/>
      <c r="N347" s="336"/>
      <c r="O347" s="336"/>
      <c r="P347" s="336"/>
      <c r="Q347" s="336"/>
      <c r="R347" s="336"/>
    </row>
    <row r="348" spans="1:18" x14ac:dyDescent="0.2">
      <c r="A348" s="368"/>
      <c r="B348" s="336"/>
      <c r="C348" s="336"/>
      <c r="D348" s="336"/>
      <c r="E348" s="336"/>
      <c r="F348" s="336"/>
      <c r="G348" s="336"/>
      <c r="H348" s="336"/>
      <c r="I348" s="341"/>
      <c r="J348" s="341"/>
      <c r="K348" s="336"/>
      <c r="L348" s="336"/>
      <c r="M348" s="336"/>
      <c r="N348" s="336"/>
      <c r="O348" s="336"/>
      <c r="P348" s="336"/>
      <c r="Q348" s="336"/>
      <c r="R348" s="336"/>
    </row>
    <row r="349" spans="1:18" x14ac:dyDescent="0.2">
      <c r="A349" s="368"/>
      <c r="B349" s="336"/>
      <c r="C349" s="336"/>
      <c r="D349" s="336"/>
      <c r="E349" s="336"/>
      <c r="F349" s="336"/>
      <c r="G349" s="336"/>
      <c r="H349" s="336"/>
      <c r="I349" s="341"/>
      <c r="J349" s="341"/>
      <c r="K349" s="336"/>
      <c r="L349" s="336"/>
      <c r="M349" s="336"/>
      <c r="N349" s="336"/>
      <c r="O349" s="336"/>
      <c r="P349" s="336"/>
      <c r="Q349" s="336"/>
      <c r="R349" s="336"/>
    </row>
    <row r="350" spans="1:18" x14ac:dyDescent="0.2">
      <c r="A350" s="368"/>
      <c r="B350" s="336"/>
      <c r="C350" s="336"/>
      <c r="D350" s="336"/>
      <c r="E350" s="336"/>
      <c r="F350" s="336"/>
      <c r="G350" s="336"/>
      <c r="H350" s="336"/>
      <c r="I350" s="341"/>
      <c r="J350" s="341"/>
      <c r="K350" s="336"/>
      <c r="L350" s="336"/>
      <c r="M350" s="336"/>
      <c r="N350" s="336"/>
      <c r="O350" s="336"/>
      <c r="P350" s="336"/>
      <c r="Q350" s="336"/>
      <c r="R350" s="336"/>
    </row>
    <row r="351" spans="1:18" x14ac:dyDescent="0.2">
      <c r="A351" s="368"/>
      <c r="B351" s="336"/>
      <c r="C351" s="336"/>
      <c r="D351" s="336"/>
      <c r="E351" s="336"/>
      <c r="F351" s="336"/>
      <c r="G351" s="336"/>
      <c r="H351" s="336"/>
      <c r="I351" s="341"/>
      <c r="J351" s="341"/>
      <c r="K351" s="336"/>
      <c r="L351" s="336"/>
      <c r="M351" s="336"/>
      <c r="N351" s="336"/>
      <c r="O351" s="336"/>
      <c r="P351" s="336"/>
      <c r="Q351" s="336"/>
      <c r="R351" s="336"/>
    </row>
    <row r="352" spans="1:18" x14ac:dyDescent="0.2">
      <c r="A352" s="368"/>
      <c r="B352" s="336"/>
      <c r="C352" s="336"/>
      <c r="D352" s="336"/>
      <c r="E352" s="336"/>
      <c r="F352" s="336"/>
      <c r="G352" s="336"/>
      <c r="H352" s="336"/>
      <c r="I352" s="341"/>
      <c r="J352" s="341"/>
      <c r="K352" s="336"/>
      <c r="L352" s="336"/>
      <c r="M352" s="336"/>
      <c r="N352" s="336"/>
      <c r="O352" s="336"/>
      <c r="P352" s="336"/>
      <c r="Q352" s="336"/>
      <c r="R352" s="336"/>
    </row>
    <row r="353" spans="1:18" x14ac:dyDescent="0.2">
      <c r="A353" s="368"/>
      <c r="B353" s="336"/>
      <c r="C353" s="336"/>
      <c r="D353" s="336"/>
      <c r="E353" s="336"/>
      <c r="F353" s="336"/>
      <c r="G353" s="336"/>
      <c r="H353" s="336"/>
      <c r="I353" s="341"/>
      <c r="J353" s="341"/>
      <c r="K353" s="336"/>
      <c r="L353" s="336"/>
      <c r="M353" s="336"/>
      <c r="N353" s="336"/>
      <c r="O353" s="336"/>
      <c r="P353" s="336"/>
      <c r="Q353" s="336"/>
      <c r="R353" s="336"/>
    </row>
    <row r="354" spans="1:18" x14ac:dyDescent="0.2">
      <c r="A354" s="368"/>
      <c r="B354" s="336"/>
      <c r="C354" s="336"/>
      <c r="D354" s="336"/>
      <c r="E354" s="336"/>
      <c r="F354" s="336"/>
      <c r="G354" s="336"/>
      <c r="H354" s="336"/>
      <c r="I354" s="341"/>
      <c r="J354" s="341"/>
      <c r="K354" s="336"/>
      <c r="L354" s="336"/>
      <c r="M354" s="336"/>
      <c r="N354" s="336"/>
      <c r="O354" s="336"/>
      <c r="P354" s="336"/>
      <c r="Q354" s="336"/>
      <c r="R354" s="336"/>
    </row>
    <row r="355" spans="1:18" x14ac:dyDescent="0.2">
      <c r="A355" s="368"/>
      <c r="B355" s="336"/>
      <c r="C355" s="336"/>
      <c r="D355" s="336"/>
      <c r="E355" s="336"/>
      <c r="F355" s="336"/>
      <c r="G355" s="336"/>
      <c r="H355" s="336"/>
      <c r="I355" s="341"/>
      <c r="J355" s="341"/>
      <c r="K355" s="336"/>
      <c r="L355" s="336"/>
      <c r="M355" s="336"/>
      <c r="N355" s="336"/>
      <c r="O355" s="336"/>
      <c r="P355" s="336"/>
      <c r="Q355" s="336"/>
      <c r="R355" s="336"/>
    </row>
    <row r="356" spans="1:18" x14ac:dyDescent="0.2">
      <c r="A356" s="368"/>
      <c r="B356" s="336"/>
      <c r="C356" s="336"/>
      <c r="D356" s="336"/>
      <c r="E356" s="336"/>
      <c r="F356" s="336"/>
      <c r="G356" s="336"/>
      <c r="H356" s="336"/>
      <c r="I356" s="341"/>
      <c r="J356" s="341"/>
      <c r="K356" s="336"/>
      <c r="L356" s="336"/>
      <c r="M356" s="336"/>
      <c r="N356" s="336"/>
      <c r="O356" s="336"/>
      <c r="P356" s="336"/>
      <c r="Q356" s="336"/>
      <c r="R356" s="336"/>
    </row>
    <row r="357" spans="1:18" x14ac:dyDescent="0.2">
      <c r="A357" s="368"/>
      <c r="B357" s="336"/>
      <c r="C357" s="336"/>
      <c r="D357" s="336"/>
      <c r="E357" s="336"/>
      <c r="F357" s="336"/>
      <c r="G357" s="336"/>
      <c r="H357" s="336"/>
      <c r="I357" s="341"/>
      <c r="J357" s="341"/>
      <c r="K357" s="336"/>
      <c r="L357" s="336"/>
      <c r="M357" s="336"/>
      <c r="N357" s="336"/>
      <c r="O357" s="336"/>
      <c r="P357" s="336"/>
      <c r="Q357" s="336"/>
      <c r="R357" s="336"/>
    </row>
    <row r="358" spans="1:18" x14ac:dyDescent="0.2">
      <c r="A358" s="368"/>
      <c r="B358" s="336"/>
      <c r="C358" s="336"/>
      <c r="D358" s="336"/>
      <c r="E358" s="336"/>
      <c r="F358" s="336"/>
      <c r="G358" s="336"/>
      <c r="H358" s="336"/>
      <c r="I358" s="341"/>
      <c r="J358" s="341"/>
      <c r="K358" s="336"/>
      <c r="L358" s="336"/>
      <c r="M358" s="336"/>
      <c r="N358" s="336"/>
      <c r="O358" s="336"/>
      <c r="P358" s="336"/>
      <c r="Q358" s="336"/>
      <c r="R358" s="336"/>
    </row>
    <row r="359" spans="1:18" x14ac:dyDescent="0.2">
      <c r="A359" s="368"/>
      <c r="B359" s="336"/>
      <c r="C359" s="336"/>
      <c r="D359" s="336"/>
      <c r="E359" s="336"/>
      <c r="F359" s="336"/>
      <c r="G359" s="336"/>
      <c r="H359" s="336"/>
      <c r="I359" s="341"/>
      <c r="J359" s="341"/>
      <c r="K359" s="336"/>
      <c r="L359" s="336"/>
      <c r="M359" s="336"/>
      <c r="N359" s="336"/>
      <c r="O359" s="336"/>
      <c r="P359" s="336"/>
      <c r="Q359" s="336"/>
      <c r="R359" s="336"/>
    </row>
    <row r="360" spans="1:18" x14ac:dyDescent="0.2">
      <c r="A360" s="368"/>
      <c r="B360" s="336"/>
      <c r="C360" s="336"/>
      <c r="D360" s="336"/>
      <c r="E360" s="336"/>
      <c r="F360" s="336"/>
      <c r="G360" s="336"/>
      <c r="H360" s="336"/>
      <c r="I360" s="341"/>
      <c r="J360" s="341"/>
      <c r="K360" s="336"/>
      <c r="L360" s="336"/>
      <c r="M360" s="336"/>
      <c r="N360" s="336"/>
      <c r="O360" s="336"/>
      <c r="P360" s="336"/>
      <c r="Q360" s="336"/>
      <c r="R360" s="336"/>
    </row>
    <row r="361" spans="1:18" x14ac:dyDescent="0.2">
      <c r="A361" s="368"/>
      <c r="B361" s="336"/>
      <c r="C361" s="336"/>
      <c r="D361" s="336"/>
      <c r="E361" s="336"/>
      <c r="F361" s="336"/>
      <c r="G361" s="336"/>
      <c r="H361" s="336"/>
      <c r="I361" s="341"/>
      <c r="J361" s="341"/>
      <c r="K361" s="336"/>
      <c r="L361" s="336"/>
      <c r="M361" s="336"/>
      <c r="N361" s="336"/>
      <c r="O361" s="336"/>
      <c r="P361" s="336"/>
      <c r="Q361" s="336"/>
      <c r="R361" s="336"/>
    </row>
    <row r="362" spans="1:18" x14ac:dyDescent="0.2">
      <c r="A362" s="368"/>
      <c r="B362" s="336"/>
      <c r="C362" s="336"/>
      <c r="D362" s="336"/>
      <c r="E362" s="336"/>
      <c r="F362" s="336"/>
      <c r="G362" s="336"/>
      <c r="H362" s="336"/>
      <c r="I362" s="341"/>
      <c r="J362" s="341"/>
      <c r="K362" s="336"/>
      <c r="L362" s="336"/>
      <c r="M362" s="336"/>
      <c r="N362" s="336"/>
      <c r="O362" s="336"/>
      <c r="P362" s="336"/>
      <c r="Q362" s="336"/>
      <c r="R362" s="336"/>
    </row>
    <row r="363" spans="1:18" x14ac:dyDescent="0.2">
      <c r="A363" s="368"/>
      <c r="B363" s="336"/>
      <c r="C363" s="336"/>
      <c r="D363" s="336"/>
      <c r="E363" s="336"/>
      <c r="F363" s="336"/>
      <c r="G363" s="336"/>
      <c r="H363" s="336"/>
      <c r="I363" s="341"/>
      <c r="J363" s="341"/>
      <c r="K363" s="336"/>
      <c r="L363" s="336"/>
      <c r="M363" s="336"/>
      <c r="N363" s="336"/>
      <c r="O363" s="336"/>
      <c r="P363" s="336"/>
      <c r="Q363" s="336"/>
      <c r="R363" s="336"/>
    </row>
    <row r="364" spans="1:18" x14ac:dyDescent="0.2">
      <c r="A364" s="368"/>
      <c r="B364" s="336"/>
      <c r="C364" s="336"/>
      <c r="D364" s="336"/>
      <c r="E364" s="336"/>
      <c r="F364" s="336"/>
      <c r="G364" s="336"/>
      <c r="H364" s="336"/>
      <c r="I364" s="341"/>
      <c r="J364" s="341"/>
      <c r="K364" s="336"/>
      <c r="L364" s="336"/>
      <c r="M364" s="336"/>
      <c r="N364" s="336"/>
      <c r="O364" s="336"/>
      <c r="P364" s="336"/>
      <c r="Q364" s="336"/>
      <c r="R364" s="336"/>
    </row>
    <row r="365" spans="1:18" x14ac:dyDescent="0.2">
      <c r="A365" s="368"/>
      <c r="B365" s="336"/>
      <c r="C365" s="336"/>
      <c r="D365" s="336"/>
      <c r="E365" s="336"/>
      <c r="F365" s="336"/>
      <c r="G365" s="336"/>
      <c r="H365" s="336"/>
      <c r="I365" s="341"/>
      <c r="J365" s="341"/>
      <c r="K365" s="336"/>
      <c r="L365" s="336"/>
      <c r="M365" s="336"/>
      <c r="N365" s="336"/>
      <c r="O365" s="336"/>
      <c r="P365" s="336"/>
      <c r="Q365" s="336"/>
      <c r="R365" s="336"/>
    </row>
    <row r="366" spans="1:18" x14ac:dyDescent="0.2">
      <c r="A366" s="368"/>
      <c r="B366" s="336"/>
      <c r="C366" s="336"/>
      <c r="D366" s="336"/>
      <c r="E366" s="336"/>
      <c r="F366" s="336"/>
      <c r="G366" s="336"/>
      <c r="H366" s="336"/>
      <c r="I366" s="341"/>
      <c r="J366" s="341"/>
      <c r="K366" s="336"/>
      <c r="L366" s="336"/>
      <c r="M366" s="336"/>
      <c r="N366" s="336"/>
      <c r="O366" s="336"/>
      <c r="P366" s="336"/>
      <c r="Q366" s="336"/>
      <c r="R366" s="336"/>
    </row>
    <row r="367" spans="1:18" x14ac:dyDescent="0.2">
      <c r="A367" s="368"/>
      <c r="B367" s="336"/>
      <c r="C367" s="336"/>
      <c r="D367" s="336"/>
      <c r="E367" s="336"/>
      <c r="F367" s="336"/>
      <c r="G367" s="336"/>
      <c r="H367" s="336"/>
      <c r="I367" s="341"/>
      <c r="J367" s="341"/>
      <c r="K367" s="336"/>
      <c r="L367" s="336"/>
      <c r="M367" s="336"/>
      <c r="N367" s="336"/>
      <c r="O367" s="336"/>
      <c r="P367" s="336"/>
      <c r="Q367" s="336"/>
      <c r="R367" s="336"/>
    </row>
    <row r="368" spans="1:18" x14ac:dyDescent="0.2">
      <c r="A368" s="368"/>
      <c r="B368" s="336"/>
      <c r="C368" s="336"/>
      <c r="D368" s="336"/>
      <c r="E368" s="336"/>
      <c r="F368" s="336"/>
      <c r="G368" s="336"/>
      <c r="H368" s="336"/>
      <c r="I368" s="341"/>
      <c r="J368" s="341"/>
      <c r="K368" s="336"/>
      <c r="L368" s="336"/>
      <c r="M368" s="336"/>
      <c r="N368" s="336"/>
      <c r="O368" s="336"/>
      <c r="P368" s="336"/>
      <c r="Q368" s="336"/>
      <c r="R368" s="336"/>
    </row>
    <row r="369" spans="1:18" x14ac:dyDescent="0.2">
      <c r="A369" s="368"/>
      <c r="B369" s="336"/>
      <c r="C369" s="336"/>
      <c r="D369" s="336"/>
      <c r="E369" s="336"/>
      <c r="F369" s="336"/>
      <c r="G369" s="336"/>
      <c r="H369" s="336"/>
      <c r="I369" s="341"/>
      <c r="J369" s="341"/>
      <c r="K369" s="336"/>
      <c r="L369" s="336"/>
      <c r="M369" s="336"/>
      <c r="N369" s="336"/>
      <c r="O369" s="336"/>
      <c r="P369" s="336"/>
      <c r="Q369" s="336"/>
      <c r="R369" s="336"/>
    </row>
    <row r="370" spans="1:18" x14ac:dyDescent="0.2">
      <c r="A370" s="368"/>
      <c r="B370" s="336"/>
      <c r="C370" s="336"/>
      <c r="D370" s="336"/>
      <c r="E370" s="336"/>
      <c r="F370" s="336"/>
      <c r="G370" s="336"/>
      <c r="H370" s="336"/>
      <c r="I370" s="341"/>
      <c r="J370" s="341"/>
      <c r="K370" s="336"/>
      <c r="L370" s="336"/>
      <c r="M370" s="336"/>
      <c r="N370" s="336"/>
      <c r="O370" s="336"/>
      <c r="P370" s="336"/>
      <c r="Q370" s="336"/>
      <c r="R370" s="336"/>
    </row>
    <row r="371" spans="1:18" x14ac:dyDescent="0.2">
      <c r="A371" s="368"/>
      <c r="B371" s="336"/>
      <c r="C371" s="336"/>
      <c r="D371" s="336"/>
      <c r="E371" s="336"/>
      <c r="F371" s="336"/>
      <c r="G371" s="336"/>
      <c r="H371" s="336"/>
      <c r="I371" s="341"/>
      <c r="J371" s="341"/>
      <c r="K371" s="336"/>
      <c r="L371" s="336"/>
      <c r="M371" s="336"/>
      <c r="N371" s="336"/>
      <c r="O371" s="336"/>
      <c r="P371" s="336"/>
      <c r="Q371" s="336"/>
      <c r="R371" s="336"/>
    </row>
    <row r="372" spans="1:18" x14ac:dyDescent="0.2">
      <c r="A372" s="368"/>
      <c r="B372" s="336"/>
      <c r="C372" s="336"/>
      <c r="D372" s="336"/>
      <c r="E372" s="336"/>
      <c r="F372" s="336"/>
      <c r="G372" s="336"/>
      <c r="H372" s="336"/>
      <c r="I372" s="341"/>
      <c r="J372" s="341"/>
      <c r="K372" s="336"/>
      <c r="L372" s="336"/>
      <c r="M372" s="336"/>
      <c r="N372" s="336"/>
      <c r="O372" s="336"/>
      <c r="P372" s="336"/>
      <c r="Q372" s="336"/>
      <c r="R372" s="336"/>
    </row>
    <row r="373" spans="1:18" x14ac:dyDescent="0.2">
      <c r="A373" s="368"/>
      <c r="B373" s="336"/>
      <c r="C373" s="336"/>
      <c r="D373" s="336"/>
      <c r="E373" s="336"/>
      <c r="F373" s="336"/>
      <c r="G373" s="336"/>
      <c r="H373" s="336"/>
      <c r="I373" s="341"/>
      <c r="J373" s="341"/>
      <c r="K373" s="336"/>
      <c r="L373" s="336"/>
      <c r="M373" s="336"/>
      <c r="N373" s="336"/>
      <c r="O373" s="336"/>
      <c r="P373" s="336"/>
      <c r="Q373" s="336"/>
      <c r="R373" s="336"/>
    </row>
    <row r="374" spans="1:18" x14ac:dyDescent="0.2">
      <c r="A374" s="368"/>
      <c r="B374" s="336"/>
      <c r="C374" s="336"/>
      <c r="D374" s="336"/>
      <c r="E374" s="336"/>
      <c r="F374" s="336"/>
      <c r="G374" s="336"/>
      <c r="H374" s="336"/>
      <c r="I374" s="341"/>
      <c r="J374" s="341"/>
      <c r="K374" s="336"/>
      <c r="L374" s="336"/>
      <c r="M374" s="336"/>
      <c r="N374" s="336"/>
      <c r="O374" s="336"/>
      <c r="P374" s="336"/>
      <c r="Q374" s="336"/>
      <c r="R374" s="336"/>
    </row>
    <row r="375" spans="1:18" x14ac:dyDescent="0.2">
      <c r="A375" s="368"/>
      <c r="B375" s="336"/>
      <c r="C375" s="336"/>
      <c r="D375" s="336"/>
      <c r="E375" s="336"/>
      <c r="F375" s="336"/>
      <c r="G375" s="336"/>
      <c r="H375" s="336"/>
      <c r="I375" s="341"/>
      <c r="J375" s="341"/>
      <c r="K375" s="336"/>
      <c r="L375" s="336"/>
      <c r="M375" s="336"/>
      <c r="N375" s="336"/>
      <c r="O375" s="336"/>
      <c r="P375" s="336"/>
      <c r="Q375" s="336"/>
      <c r="R375" s="336"/>
    </row>
    <row r="376" spans="1:18" x14ac:dyDescent="0.2">
      <c r="A376" s="368"/>
      <c r="B376" s="336"/>
      <c r="C376" s="336"/>
      <c r="D376" s="336"/>
      <c r="E376" s="336"/>
      <c r="F376" s="336"/>
      <c r="G376" s="336"/>
      <c r="H376" s="336"/>
      <c r="I376" s="341"/>
      <c r="J376" s="341"/>
      <c r="K376" s="336"/>
      <c r="L376" s="336"/>
      <c r="M376" s="336"/>
      <c r="N376" s="336"/>
      <c r="O376" s="336"/>
      <c r="P376" s="336"/>
      <c r="Q376" s="336"/>
      <c r="R376" s="336"/>
    </row>
    <row r="377" spans="1:18" x14ac:dyDescent="0.2">
      <c r="A377" s="368"/>
      <c r="B377" s="336"/>
      <c r="C377" s="336"/>
      <c r="D377" s="336"/>
      <c r="E377" s="336"/>
      <c r="F377" s="336"/>
      <c r="G377" s="336"/>
      <c r="H377" s="336"/>
      <c r="I377" s="341"/>
      <c r="J377" s="341"/>
      <c r="K377" s="336"/>
      <c r="L377" s="336"/>
      <c r="M377" s="336"/>
      <c r="N377" s="336"/>
      <c r="O377" s="336"/>
      <c r="P377" s="336"/>
      <c r="Q377" s="336"/>
      <c r="R377" s="336"/>
    </row>
    <row r="378" spans="1:18" x14ac:dyDescent="0.2">
      <c r="A378" s="368"/>
      <c r="B378" s="336"/>
      <c r="C378" s="336"/>
      <c r="D378" s="336"/>
      <c r="E378" s="336"/>
      <c r="F378" s="336"/>
      <c r="G378" s="336"/>
      <c r="H378" s="336"/>
      <c r="I378" s="341"/>
      <c r="J378" s="341"/>
      <c r="K378" s="336"/>
      <c r="L378" s="336"/>
      <c r="M378" s="336"/>
      <c r="N378" s="336"/>
      <c r="O378" s="336"/>
      <c r="P378" s="336"/>
      <c r="Q378" s="336"/>
      <c r="R378" s="336"/>
    </row>
    <row r="379" spans="1:18" x14ac:dyDescent="0.2">
      <c r="A379" s="368"/>
      <c r="B379" s="336"/>
      <c r="C379" s="336"/>
      <c r="D379" s="336"/>
      <c r="E379" s="336"/>
      <c r="F379" s="336"/>
      <c r="G379" s="336"/>
      <c r="H379" s="336"/>
      <c r="I379" s="341"/>
      <c r="J379" s="341"/>
      <c r="K379" s="336"/>
      <c r="L379" s="336"/>
      <c r="M379" s="336"/>
      <c r="N379" s="336"/>
      <c r="O379" s="336"/>
      <c r="P379" s="336"/>
      <c r="Q379" s="336"/>
      <c r="R379" s="336"/>
    </row>
    <row r="380" spans="1:18" x14ac:dyDescent="0.2">
      <c r="A380" s="368"/>
      <c r="B380" s="336"/>
      <c r="C380" s="336"/>
      <c r="D380" s="336"/>
      <c r="E380" s="336"/>
      <c r="F380" s="336"/>
      <c r="G380" s="336"/>
      <c r="H380" s="336"/>
      <c r="I380" s="341"/>
      <c r="J380" s="341"/>
      <c r="K380" s="336"/>
      <c r="L380" s="336"/>
      <c r="M380" s="336"/>
      <c r="N380" s="336"/>
      <c r="O380" s="336"/>
      <c r="P380" s="336"/>
      <c r="Q380" s="336"/>
      <c r="R380" s="336"/>
    </row>
    <row r="381" spans="1:18" x14ac:dyDescent="0.2">
      <c r="A381" s="368"/>
      <c r="B381" s="336"/>
      <c r="C381" s="336"/>
      <c r="D381" s="336"/>
      <c r="E381" s="336"/>
      <c r="F381" s="336"/>
      <c r="G381" s="336"/>
      <c r="H381" s="336"/>
      <c r="I381" s="341"/>
      <c r="J381" s="341"/>
      <c r="K381" s="336"/>
      <c r="L381" s="336"/>
      <c r="M381" s="336"/>
      <c r="N381" s="336"/>
      <c r="O381" s="336"/>
      <c r="P381" s="336"/>
      <c r="Q381" s="336"/>
      <c r="R381" s="336"/>
    </row>
    <row r="382" spans="1:18" x14ac:dyDescent="0.2">
      <c r="A382" s="368"/>
      <c r="B382" s="336"/>
      <c r="C382" s="336"/>
      <c r="D382" s="336"/>
      <c r="E382" s="336"/>
      <c r="F382" s="336"/>
      <c r="G382" s="336"/>
      <c r="H382" s="336"/>
      <c r="I382" s="341"/>
      <c r="J382" s="341"/>
      <c r="K382" s="336"/>
      <c r="L382" s="336"/>
      <c r="M382" s="336"/>
      <c r="N382" s="336"/>
      <c r="O382" s="336"/>
      <c r="P382" s="336"/>
      <c r="Q382" s="336"/>
      <c r="R382" s="336"/>
    </row>
    <row r="383" spans="1:18" x14ac:dyDescent="0.2">
      <c r="A383" s="368"/>
      <c r="B383" s="336"/>
      <c r="C383" s="336"/>
      <c r="D383" s="336"/>
      <c r="E383" s="336"/>
      <c r="F383" s="336"/>
      <c r="G383" s="336"/>
      <c r="H383" s="336"/>
      <c r="I383" s="341"/>
      <c r="J383" s="341"/>
      <c r="K383" s="336"/>
      <c r="L383" s="336"/>
      <c r="M383" s="336"/>
      <c r="N383" s="336"/>
      <c r="O383" s="336"/>
      <c r="P383" s="336"/>
      <c r="Q383" s="336"/>
      <c r="R383" s="336"/>
    </row>
    <row r="384" spans="1:18" x14ac:dyDescent="0.2">
      <c r="A384" s="368"/>
      <c r="B384" s="336"/>
      <c r="C384" s="336"/>
      <c r="D384" s="336"/>
      <c r="E384" s="336"/>
      <c r="F384" s="336"/>
      <c r="G384" s="336"/>
      <c r="H384" s="336"/>
      <c r="I384" s="341"/>
      <c r="J384" s="341"/>
      <c r="K384" s="336"/>
      <c r="L384" s="336"/>
      <c r="M384" s="336"/>
      <c r="N384" s="336"/>
      <c r="O384" s="336"/>
      <c r="P384" s="336"/>
      <c r="Q384" s="336"/>
      <c r="R384" s="336"/>
    </row>
    <row r="385" spans="1:18" x14ac:dyDescent="0.2">
      <c r="A385" s="368"/>
      <c r="B385" s="336"/>
      <c r="C385" s="336"/>
      <c r="D385" s="336"/>
      <c r="E385" s="336"/>
      <c r="F385" s="336"/>
      <c r="G385" s="336"/>
      <c r="H385" s="336"/>
      <c r="I385" s="341"/>
      <c r="J385" s="341"/>
      <c r="K385" s="336"/>
      <c r="L385" s="336"/>
      <c r="M385" s="336"/>
      <c r="N385" s="336"/>
      <c r="O385" s="336"/>
      <c r="P385" s="336"/>
      <c r="Q385" s="336"/>
      <c r="R385" s="336"/>
    </row>
    <row r="386" spans="1:18" x14ac:dyDescent="0.2">
      <c r="A386" s="368"/>
      <c r="B386" s="336"/>
      <c r="C386" s="336"/>
      <c r="D386" s="336"/>
      <c r="E386" s="336"/>
      <c r="F386" s="336"/>
      <c r="G386" s="336"/>
      <c r="H386" s="336"/>
      <c r="I386" s="341"/>
      <c r="J386" s="341"/>
      <c r="K386" s="336"/>
      <c r="L386" s="336"/>
      <c r="M386" s="336"/>
      <c r="N386" s="336"/>
      <c r="O386" s="336"/>
      <c r="P386" s="336"/>
      <c r="Q386" s="336"/>
      <c r="R386" s="336"/>
    </row>
    <row r="387" spans="1:18" x14ac:dyDescent="0.2">
      <c r="A387" s="368"/>
      <c r="B387" s="336"/>
      <c r="C387" s="336"/>
      <c r="D387" s="336"/>
      <c r="E387" s="336"/>
      <c r="F387" s="336"/>
      <c r="G387" s="336"/>
      <c r="H387" s="336"/>
      <c r="I387" s="341"/>
      <c r="J387" s="341"/>
      <c r="K387" s="336"/>
      <c r="L387" s="336"/>
      <c r="M387" s="336"/>
      <c r="N387" s="336"/>
      <c r="O387" s="336"/>
      <c r="P387" s="336"/>
      <c r="Q387" s="336"/>
      <c r="R387" s="336"/>
    </row>
    <row r="388" spans="1:18" x14ac:dyDescent="0.2">
      <c r="A388" s="368"/>
      <c r="B388" s="336"/>
      <c r="C388" s="336"/>
      <c r="D388" s="336"/>
      <c r="E388" s="336"/>
      <c r="F388" s="336"/>
      <c r="G388" s="336"/>
      <c r="H388" s="336"/>
      <c r="I388" s="341"/>
      <c r="J388" s="341"/>
      <c r="K388" s="336"/>
      <c r="L388" s="336"/>
      <c r="M388" s="336"/>
      <c r="N388" s="336"/>
      <c r="O388" s="336"/>
      <c r="P388" s="336"/>
      <c r="Q388" s="336"/>
      <c r="R388" s="336"/>
    </row>
    <row r="389" spans="1:18" x14ac:dyDescent="0.2">
      <c r="A389" s="368"/>
      <c r="B389" s="336"/>
      <c r="C389" s="336"/>
      <c r="D389" s="336"/>
      <c r="E389" s="336"/>
      <c r="F389" s="336"/>
      <c r="G389" s="336"/>
      <c r="H389" s="336"/>
      <c r="I389" s="341"/>
      <c r="J389" s="341"/>
      <c r="K389" s="336"/>
      <c r="L389" s="336"/>
      <c r="M389" s="336"/>
      <c r="N389" s="336"/>
      <c r="O389" s="336"/>
      <c r="P389" s="336"/>
      <c r="Q389" s="336"/>
      <c r="R389" s="336"/>
    </row>
    <row r="390" spans="1:18" x14ac:dyDescent="0.2">
      <c r="A390" s="368"/>
      <c r="B390" s="336"/>
      <c r="C390" s="336"/>
      <c r="D390" s="336"/>
      <c r="E390" s="336"/>
      <c r="F390" s="336"/>
      <c r="G390" s="336"/>
      <c r="H390" s="336"/>
      <c r="I390" s="341"/>
      <c r="J390" s="341"/>
      <c r="K390" s="336"/>
      <c r="L390" s="336"/>
      <c r="M390" s="336"/>
      <c r="N390" s="336"/>
      <c r="O390" s="336"/>
      <c r="P390" s="336"/>
      <c r="Q390" s="336"/>
      <c r="R390" s="336"/>
    </row>
    <row r="391" spans="1:18" x14ac:dyDescent="0.2">
      <c r="A391" s="368"/>
      <c r="B391" s="336"/>
      <c r="C391" s="336"/>
      <c r="D391" s="336"/>
      <c r="E391" s="336"/>
      <c r="F391" s="336"/>
      <c r="G391" s="336"/>
      <c r="H391" s="336"/>
      <c r="I391" s="341"/>
      <c r="J391" s="341"/>
      <c r="K391" s="336"/>
      <c r="L391" s="336"/>
      <c r="M391" s="336"/>
      <c r="N391" s="336"/>
      <c r="O391" s="336"/>
      <c r="P391" s="336"/>
      <c r="Q391" s="336"/>
      <c r="R391" s="336"/>
    </row>
    <row r="392" spans="1:18" x14ac:dyDescent="0.2">
      <c r="A392" s="368"/>
      <c r="B392" s="336"/>
      <c r="C392" s="336"/>
      <c r="D392" s="336"/>
      <c r="E392" s="336"/>
      <c r="F392" s="336"/>
      <c r="G392" s="336"/>
      <c r="H392" s="336"/>
      <c r="I392" s="341"/>
      <c r="J392" s="341"/>
      <c r="K392" s="336"/>
      <c r="L392" s="336"/>
      <c r="M392" s="336"/>
      <c r="N392" s="336"/>
      <c r="O392" s="336"/>
      <c r="P392" s="336"/>
      <c r="Q392" s="336"/>
      <c r="R392" s="336"/>
    </row>
    <row r="393" spans="1:18" x14ac:dyDescent="0.2">
      <c r="A393" s="368"/>
      <c r="B393" s="336"/>
      <c r="C393" s="336"/>
      <c r="D393" s="336"/>
      <c r="E393" s="336"/>
      <c r="F393" s="336"/>
      <c r="G393" s="336"/>
      <c r="H393" s="336"/>
      <c r="I393" s="341"/>
      <c r="J393" s="341"/>
      <c r="K393" s="336"/>
      <c r="L393" s="336"/>
      <c r="M393" s="336"/>
      <c r="N393" s="336"/>
      <c r="O393" s="336"/>
      <c r="P393" s="336"/>
      <c r="Q393" s="336"/>
      <c r="R393" s="336"/>
    </row>
    <row r="394" spans="1:18" x14ac:dyDescent="0.2">
      <c r="A394" s="368"/>
      <c r="B394" s="336"/>
      <c r="C394" s="336"/>
      <c r="D394" s="336"/>
      <c r="E394" s="336"/>
      <c r="F394" s="336"/>
      <c r="G394" s="336"/>
      <c r="H394" s="336"/>
      <c r="I394" s="341"/>
      <c r="J394" s="341"/>
      <c r="K394" s="336"/>
      <c r="L394" s="336"/>
      <c r="M394" s="336"/>
      <c r="N394" s="336"/>
      <c r="O394" s="336"/>
      <c r="P394" s="336"/>
      <c r="Q394" s="336"/>
      <c r="R394" s="336"/>
    </row>
    <row r="395" spans="1:18" x14ac:dyDescent="0.2">
      <c r="A395" s="368"/>
      <c r="B395" s="336"/>
      <c r="C395" s="336"/>
      <c r="D395" s="336"/>
      <c r="E395" s="336"/>
      <c r="F395" s="336"/>
      <c r="G395" s="336"/>
      <c r="H395" s="336"/>
      <c r="I395" s="341"/>
      <c r="J395" s="341"/>
      <c r="K395" s="336"/>
      <c r="L395" s="336"/>
      <c r="M395" s="336"/>
      <c r="N395" s="336"/>
      <c r="O395" s="336"/>
      <c r="P395" s="336"/>
      <c r="Q395" s="336"/>
      <c r="R395" s="336"/>
    </row>
    <row r="396" spans="1:18" x14ac:dyDescent="0.2">
      <c r="A396" s="368"/>
      <c r="B396" s="336"/>
      <c r="C396" s="336"/>
      <c r="D396" s="336"/>
      <c r="E396" s="336"/>
      <c r="F396" s="336"/>
      <c r="G396" s="336"/>
      <c r="H396" s="336"/>
      <c r="I396" s="341"/>
      <c r="J396" s="341"/>
      <c r="K396" s="336"/>
      <c r="L396" s="336"/>
      <c r="M396" s="336"/>
      <c r="N396" s="336"/>
      <c r="O396" s="336"/>
      <c r="P396" s="336"/>
      <c r="Q396" s="336"/>
      <c r="R396" s="336"/>
    </row>
    <row r="397" spans="1:18" x14ac:dyDescent="0.2">
      <c r="A397" s="368"/>
      <c r="B397" s="336"/>
      <c r="C397" s="336"/>
      <c r="D397" s="336"/>
      <c r="E397" s="336"/>
      <c r="F397" s="336"/>
      <c r="G397" s="336"/>
      <c r="H397" s="336"/>
      <c r="I397" s="341"/>
      <c r="J397" s="341"/>
      <c r="K397" s="336"/>
      <c r="L397" s="336"/>
      <c r="M397" s="336"/>
      <c r="N397" s="336"/>
      <c r="O397" s="336"/>
      <c r="P397" s="336"/>
      <c r="Q397" s="336"/>
      <c r="R397" s="336"/>
    </row>
    <row r="398" spans="1:18" x14ac:dyDescent="0.2">
      <c r="A398" s="368"/>
      <c r="B398" s="336"/>
      <c r="C398" s="336"/>
      <c r="D398" s="336"/>
      <c r="E398" s="336"/>
      <c r="F398" s="336"/>
      <c r="G398" s="336"/>
      <c r="H398" s="336"/>
      <c r="I398" s="341"/>
      <c r="J398" s="341"/>
      <c r="K398" s="336"/>
      <c r="L398" s="336"/>
      <c r="M398" s="336"/>
      <c r="N398" s="336"/>
      <c r="O398" s="336"/>
      <c r="P398" s="336"/>
      <c r="Q398" s="336"/>
      <c r="R398" s="336"/>
    </row>
    <row r="399" spans="1:18" x14ac:dyDescent="0.2">
      <c r="A399" s="368"/>
      <c r="B399" s="336"/>
      <c r="C399" s="336"/>
      <c r="D399" s="336"/>
      <c r="E399" s="336"/>
      <c r="F399" s="336"/>
      <c r="G399" s="336"/>
      <c r="H399" s="336"/>
      <c r="I399" s="341"/>
      <c r="J399" s="341"/>
      <c r="K399" s="336"/>
      <c r="L399" s="336"/>
      <c r="M399" s="336"/>
      <c r="N399" s="336"/>
      <c r="O399" s="336"/>
      <c r="P399" s="336"/>
      <c r="Q399" s="336"/>
      <c r="R399" s="336"/>
    </row>
    <row r="400" spans="1:18" x14ac:dyDescent="0.2">
      <c r="A400" s="368"/>
      <c r="B400" s="336"/>
      <c r="C400" s="336"/>
      <c r="D400" s="336"/>
      <c r="E400" s="336"/>
      <c r="F400" s="336"/>
      <c r="G400" s="336"/>
      <c r="H400" s="336"/>
      <c r="I400" s="341"/>
      <c r="J400" s="341"/>
      <c r="K400" s="336"/>
      <c r="L400" s="336"/>
      <c r="M400" s="336"/>
      <c r="N400" s="336"/>
      <c r="O400" s="336"/>
      <c r="P400" s="336"/>
      <c r="Q400" s="336"/>
      <c r="R400" s="336"/>
    </row>
    <row r="401" spans="1:18" x14ac:dyDescent="0.2">
      <c r="A401" s="368"/>
      <c r="B401" s="336"/>
      <c r="C401" s="336"/>
      <c r="D401" s="336"/>
      <c r="E401" s="336"/>
      <c r="F401" s="336"/>
      <c r="G401" s="336"/>
      <c r="H401" s="336"/>
      <c r="I401" s="341"/>
      <c r="J401" s="341"/>
      <c r="K401" s="336"/>
      <c r="L401" s="336"/>
      <c r="M401" s="336"/>
      <c r="N401" s="336"/>
      <c r="O401" s="336"/>
      <c r="P401" s="336"/>
      <c r="Q401" s="336"/>
      <c r="R401" s="336"/>
    </row>
    <row r="402" spans="1:18" x14ac:dyDescent="0.2">
      <c r="A402" s="368"/>
      <c r="B402" s="336"/>
      <c r="C402" s="336"/>
      <c r="D402" s="336"/>
      <c r="E402" s="336"/>
      <c r="F402" s="336"/>
      <c r="G402" s="336"/>
      <c r="H402" s="336"/>
      <c r="I402" s="341"/>
      <c r="J402" s="341"/>
      <c r="K402" s="336"/>
      <c r="L402" s="336"/>
      <c r="M402" s="336"/>
      <c r="N402" s="336"/>
      <c r="O402" s="336"/>
      <c r="P402" s="336"/>
      <c r="Q402" s="336"/>
      <c r="R402" s="336"/>
    </row>
    <row r="403" spans="1:18" x14ac:dyDescent="0.2">
      <c r="A403" s="368"/>
      <c r="B403" s="336"/>
      <c r="C403" s="336"/>
      <c r="D403" s="336"/>
      <c r="E403" s="336"/>
      <c r="F403" s="336"/>
      <c r="G403" s="336"/>
      <c r="H403" s="336"/>
      <c r="I403" s="341"/>
      <c r="J403" s="341"/>
      <c r="K403" s="336"/>
      <c r="L403" s="336"/>
      <c r="M403" s="336"/>
      <c r="N403" s="336"/>
      <c r="O403" s="336"/>
      <c r="P403" s="336"/>
      <c r="Q403" s="336"/>
      <c r="R403" s="336"/>
    </row>
    <row r="404" spans="1:18" x14ac:dyDescent="0.2">
      <c r="A404" s="368"/>
      <c r="B404" s="336"/>
      <c r="C404" s="336"/>
      <c r="D404" s="336"/>
      <c r="E404" s="336"/>
      <c r="F404" s="336"/>
      <c r="G404" s="336"/>
      <c r="H404" s="336"/>
      <c r="I404" s="341"/>
      <c r="J404" s="341"/>
      <c r="K404" s="336"/>
      <c r="L404" s="336"/>
      <c r="M404" s="336"/>
      <c r="N404" s="336"/>
      <c r="O404" s="336"/>
      <c r="P404" s="336"/>
      <c r="Q404" s="336"/>
      <c r="R404" s="336"/>
    </row>
    <row r="405" spans="1:18" x14ac:dyDescent="0.2">
      <c r="A405" s="368"/>
      <c r="B405" s="336"/>
      <c r="C405" s="336"/>
      <c r="D405" s="336"/>
      <c r="E405" s="336"/>
      <c r="F405" s="336"/>
      <c r="G405" s="336"/>
      <c r="H405" s="336"/>
      <c r="I405" s="341"/>
      <c r="J405" s="341"/>
      <c r="K405" s="336"/>
      <c r="L405" s="336"/>
      <c r="M405" s="336"/>
      <c r="N405" s="336"/>
      <c r="O405" s="336"/>
      <c r="P405" s="336"/>
      <c r="Q405" s="336"/>
      <c r="R405" s="336"/>
    </row>
    <row r="406" spans="1:18" x14ac:dyDescent="0.2">
      <c r="A406" s="368"/>
      <c r="B406" s="336"/>
      <c r="C406" s="336"/>
      <c r="D406" s="336"/>
      <c r="E406" s="336"/>
      <c r="F406" s="336"/>
      <c r="G406" s="336"/>
      <c r="H406" s="336"/>
      <c r="I406" s="341"/>
      <c r="J406" s="341"/>
      <c r="K406" s="336"/>
      <c r="L406" s="336"/>
      <c r="M406" s="336"/>
      <c r="N406" s="336"/>
      <c r="O406" s="336"/>
      <c r="P406" s="336"/>
      <c r="Q406" s="336"/>
      <c r="R406" s="336"/>
    </row>
    <row r="407" spans="1:18" x14ac:dyDescent="0.2">
      <c r="A407" s="368"/>
      <c r="B407" s="336"/>
      <c r="C407" s="336"/>
      <c r="D407" s="336"/>
      <c r="E407" s="336"/>
      <c r="F407" s="336"/>
      <c r="G407" s="336"/>
      <c r="H407" s="336"/>
      <c r="I407" s="341"/>
      <c r="J407" s="341"/>
      <c r="K407" s="336"/>
      <c r="L407" s="336"/>
      <c r="M407" s="336"/>
      <c r="N407" s="336"/>
      <c r="O407" s="336"/>
      <c r="P407" s="336"/>
      <c r="Q407" s="336"/>
      <c r="R407" s="336"/>
    </row>
    <row r="408" spans="1:18" x14ac:dyDescent="0.2">
      <c r="A408" s="368"/>
      <c r="B408" s="336"/>
      <c r="C408" s="336"/>
      <c r="D408" s="336"/>
      <c r="E408" s="336"/>
      <c r="F408" s="336"/>
      <c r="G408" s="336"/>
      <c r="H408" s="336"/>
      <c r="I408" s="341"/>
      <c r="J408" s="341"/>
      <c r="K408" s="336"/>
      <c r="L408" s="336"/>
      <c r="M408" s="336"/>
      <c r="N408" s="336"/>
      <c r="O408" s="336"/>
      <c r="P408" s="336"/>
      <c r="Q408" s="336"/>
      <c r="R408" s="336"/>
    </row>
    <row r="409" spans="1:18" x14ac:dyDescent="0.2">
      <c r="A409" s="368"/>
      <c r="B409" s="336"/>
      <c r="C409" s="336"/>
      <c r="D409" s="336"/>
      <c r="E409" s="336"/>
      <c r="F409" s="336"/>
      <c r="G409" s="336"/>
      <c r="H409" s="336"/>
      <c r="I409" s="341"/>
      <c r="J409" s="341"/>
      <c r="K409" s="336"/>
      <c r="L409" s="336"/>
      <c r="M409" s="336"/>
      <c r="N409" s="336"/>
      <c r="O409" s="336"/>
      <c r="P409" s="336"/>
      <c r="Q409" s="336"/>
      <c r="R409" s="336"/>
    </row>
    <row r="410" spans="1:18" x14ac:dyDescent="0.2">
      <c r="A410" s="368"/>
      <c r="B410" s="336"/>
      <c r="C410" s="336"/>
      <c r="D410" s="336"/>
      <c r="E410" s="336"/>
      <c r="F410" s="336"/>
      <c r="G410" s="336"/>
      <c r="H410" s="336"/>
      <c r="I410" s="341"/>
      <c r="J410" s="341"/>
      <c r="K410" s="336"/>
      <c r="L410" s="336"/>
      <c r="M410" s="336"/>
      <c r="N410" s="336"/>
      <c r="O410" s="336"/>
      <c r="P410" s="336"/>
      <c r="Q410" s="336"/>
      <c r="R410" s="336"/>
    </row>
    <row r="411" spans="1:18" x14ac:dyDescent="0.2">
      <c r="A411" s="368"/>
      <c r="B411" s="336"/>
      <c r="C411" s="336"/>
      <c r="D411" s="336"/>
      <c r="E411" s="336"/>
      <c r="F411" s="336"/>
      <c r="G411" s="336"/>
      <c r="H411" s="336"/>
      <c r="I411" s="341"/>
      <c r="J411" s="341"/>
      <c r="K411" s="336"/>
      <c r="L411" s="336"/>
      <c r="M411" s="336"/>
      <c r="N411" s="336"/>
      <c r="O411" s="336"/>
      <c r="P411" s="336"/>
      <c r="Q411" s="336"/>
      <c r="R411" s="336"/>
    </row>
    <row r="412" spans="1:18" x14ac:dyDescent="0.2">
      <c r="A412" s="368"/>
      <c r="B412" s="336"/>
      <c r="C412" s="336"/>
      <c r="D412" s="336"/>
      <c r="E412" s="336"/>
      <c r="F412" s="336"/>
      <c r="G412" s="336"/>
      <c r="H412" s="336"/>
      <c r="I412" s="341"/>
      <c r="J412" s="341"/>
      <c r="K412" s="336"/>
      <c r="L412" s="336"/>
      <c r="M412" s="336"/>
      <c r="N412" s="336"/>
      <c r="O412" s="336"/>
      <c r="P412" s="336"/>
      <c r="Q412" s="336"/>
      <c r="R412" s="336"/>
    </row>
    <row r="413" spans="1:18" x14ac:dyDescent="0.2">
      <c r="A413" s="368"/>
      <c r="B413" s="336"/>
      <c r="C413" s="336"/>
      <c r="D413" s="336"/>
      <c r="E413" s="336"/>
      <c r="F413" s="336"/>
      <c r="G413" s="336"/>
      <c r="H413" s="336"/>
      <c r="I413" s="341"/>
      <c r="J413" s="341"/>
      <c r="K413" s="336"/>
      <c r="L413" s="336"/>
      <c r="M413" s="336"/>
      <c r="N413" s="336"/>
      <c r="O413" s="336"/>
      <c r="P413" s="336"/>
      <c r="Q413" s="336"/>
      <c r="R413" s="336"/>
    </row>
    <row r="414" spans="1:18" x14ac:dyDescent="0.2">
      <c r="A414" s="368"/>
      <c r="B414" s="336"/>
      <c r="C414" s="336"/>
      <c r="D414" s="336"/>
      <c r="E414" s="336"/>
      <c r="F414" s="336"/>
      <c r="G414" s="336"/>
      <c r="H414" s="336"/>
      <c r="I414" s="341"/>
      <c r="J414" s="341"/>
      <c r="K414" s="336"/>
      <c r="L414" s="336"/>
      <c r="M414" s="336"/>
      <c r="N414" s="336"/>
      <c r="O414" s="336"/>
      <c r="P414" s="336"/>
      <c r="Q414" s="336"/>
      <c r="R414" s="336"/>
    </row>
    <row r="415" spans="1:18" x14ac:dyDescent="0.2">
      <c r="A415" s="368"/>
      <c r="B415" s="336"/>
      <c r="C415" s="336"/>
      <c r="D415" s="336"/>
      <c r="E415" s="336"/>
      <c r="F415" s="336"/>
      <c r="G415" s="336"/>
      <c r="H415" s="336"/>
      <c r="I415" s="341"/>
      <c r="J415" s="341"/>
      <c r="K415" s="336"/>
      <c r="L415" s="336"/>
      <c r="M415" s="336"/>
      <c r="N415" s="336"/>
      <c r="O415" s="336"/>
      <c r="P415" s="336"/>
      <c r="Q415" s="336"/>
      <c r="R415" s="336"/>
    </row>
    <row r="416" spans="1:18" x14ac:dyDescent="0.2">
      <c r="A416" s="368"/>
      <c r="B416" s="336"/>
      <c r="C416" s="336"/>
      <c r="D416" s="336"/>
      <c r="E416" s="336"/>
      <c r="F416" s="336"/>
      <c r="G416" s="336"/>
      <c r="H416" s="336"/>
      <c r="I416" s="341"/>
      <c r="J416" s="341"/>
      <c r="K416" s="336"/>
      <c r="L416" s="336"/>
      <c r="M416" s="336"/>
      <c r="N416" s="336"/>
      <c r="O416" s="336"/>
      <c r="P416" s="336"/>
      <c r="Q416" s="336"/>
      <c r="R416" s="336"/>
    </row>
    <row r="417" spans="1:18" x14ac:dyDescent="0.2">
      <c r="A417" s="368"/>
      <c r="B417" s="336"/>
      <c r="C417" s="336"/>
      <c r="D417" s="336"/>
      <c r="E417" s="336"/>
      <c r="F417" s="336"/>
      <c r="G417" s="336"/>
      <c r="H417" s="336"/>
      <c r="I417" s="341"/>
      <c r="J417" s="341"/>
      <c r="K417" s="336"/>
      <c r="L417" s="336"/>
      <c r="M417" s="336"/>
      <c r="N417" s="336"/>
      <c r="O417" s="336"/>
      <c r="P417" s="336"/>
      <c r="Q417" s="336"/>
      <c r="R417" s="336"/>
    </row>
    <row r="418" spans="1:18" x14ac:dyDescent="0.2">
      <c r="A418" s="368"/>
      <c r="B418" s="336"/>
      <c r="C418" s="336"/>
      <c r="D418" s="336"/>
      <c r="E418" s="336"/>
      <c r="F418" s="336"/>
      <c r="G418" s="336"/>
      <c r="H418" s="336"/>
      <c r="I418" s="341"/>
      <c r="J418" s="341"/>
      <c r="K418" s="336"/>
      <c r="L418" s="336"/>
      <c r="M418" s="336"/>
      <c r="N418" s="336"/>
      <c r="O418" s="336"/>
      <c r="P418" s="336"/>
      <c r="Q418" s="336"/>
      <c r="R418" s="336"/>
    </row>
    <row r="419" spans="1:18" x14ac:dyDescent="0.2">
      <c r="A419" s="368"/>
      <c r="B419" s="336"/>
      <c r="C419" s="336"/>
      <c r="D419" s="336"/>
      <c r="E419" s="336"/>
      <c r="F419" s="336"/>
      <c r="G419" s="336"/>
      <c r="H419" s="336"/>
      <c r="I419" s="341"/>
      <c r="J419" s="341"/>
      <c r="K419" s="336"/>
      <c r="L419" s="336"/>
      <c r="M419" s="336"/>
      <c r="N419" s="336"/>
      <c r="O419" s="336"/>
      <c r="P419" s="336"/>
      <c r="Q419" s="336"/>
      <c r="R419" s="336"/>
    </row>
    <row r="420" spans="1:18" x14ac:dyDescent="0.2">
      <c r="A420" s="368"/>
      <c r="B420" s="336"/>
      <c r="C420" s="336"/>
      <c r="D420" s="336"/>
      <c r="E420" s="336"/>
      <c r="F420" s="336"/>
      <c r="G420" s="336"/>
      <c r="H420" s="336"/>
      <c r="I420" s="341"/>
      <c r="J420" s="341"/>
      <c r="K420" s="336"/>
      <c r="L420" s="336"/>
      <c r="M420" s="336"/>
      <c r="N420" s="336"/>
      <c r="O420" s="336"/>
      <c r="P420" s="336"/>
      <c r="Q420" s="336"/>
      <c r="R420" s="336"/>
    </row>
    <row r="421" spans="1:18" x14ac:dyDescent="0.2">
      <c r="A421" s="368"/>
      <c r="B421" s="336"/>
      <c r="C421" s="336"/>
      <c r="D421" s="336"/>
      <c r="E421" s="336"/>
      <c r="F421" s="336"/>
      <c r="G421" s="336"/>
      <c r="H421" s="336"/>
      <c r="I421" s="341"/>
      <c r="J421" s="341"/>
      <c r="K421" s="336"/>
      <c r="L421" s="336"/>
      <c r="M421" s="336"/>
      <c r="N421" s="336"/>
      <c r="O421" s="336"/>
      <c r="P421" s="336"/>
      <c r="Q421" s="336"/>
      <c r="R421" s="336"/>
    </row>
    <row r="422" spans="1:18" x14ac:dyDescent="0.2">
      <c r="A422" s="368"/>
      <c r="B422" s="336"/>
      <c r="C422" s="336"/>
      <c r="D422" s="336"/>
      <c r="E422" s="336"/>
      <c r="F422" s="336"/>
      <c r="G422" s="336"/>
      <c r="H422" s="336"/>
      <c r="I422" s="341"/>
      <c r="J422" s="341"/>
      <c r="K422" s="336"/>
      <c r="L422" s="336"/>
      <c r="M422" s="336"/>
      <c r="N422" s="336"/>
      <c r="O422" s="336"/>
      <c r="P422" s="336"/>
      <c r="Q422" s="336"/>
      <c r="R422" s="336"/>
    </row>
    <row r="423" spans="1:18" x14ac:dyDescent="0.2">
      <c r="A423" s="368"/>
      <c r="B423" s="336"/>
      <c r="C423" s="336"/>
      <c r="D423" s="336"/>
      <c r="E423" s="336"/>
      <c r="F423" s="336"/>
      <c r="G423" s="336"/>
      <c r="H423" s="336"/>
      <c r="I423" s="341"/>
      <c r="J423" s="341"/>
      <c r="K423" s="336"/>
      <c r="L423" s="336"/>
      <c r="M423" s="336"/>
      <c r="N423" s="336"/>
      <c r="O423" s="336"/>
      <c r="P423" s="336"/>
      <c r="Q423" s="336"/>
      <c r="R423" s="336"/>
    </row>
    <row r="424" spans="1:18" x14ac:dyDescent="0.2">
      <c r="A424" s="368"/>
      <c r="B424" s="336"/>
      <c r="C424" s="336"/>
      <c r="D424" s="336"/>
      <c r="E424" s="336"/>
      <c r="F424" s="336"/>
      <c r="G424" s="336"/>
      <c r="H424" s="336"/>
      <c r="I424" s="341"/>
      <c r="J424" s="341"/>
      <c r="K424" s="336"/>
      <c r="L424" s="336"/>
      <c r="M424" s="336"/>
      <c r="N424" s="336"/>
      <c r="O424" s="336"/>
      <c r="P424" s="336"/>
      <c r="Q424" s="336"/>
      <c r="R424" s="336"/>
    </row>
    <row r="425" spans="1:18" x14ac:dyDescent="0.2">
      <c r="A425" s="368"/>
      <c r="B425" s="336"/>
      <c r="C425" s="336"/>
      <c r="D425" s="336"/>
      <c r="E425" s="336"/>
      <c r="F425" s="336"/>
      <c r="G425" s="336"/>
      <c r="H425" s="336"/>
      <c r="I425" s="341"/>
      <c r="J425" s="341"/>
      <c r="K425" s="336"/>
      <c r="L425" s="336"/>
      <c r="M425" s="336"/>
      <c r="N425" s="336"/>
      <c r="O425" s="336"/>
      <c r="P425" s="336"/>
      <c r="Q425" s="336"/>
      <c r="R425" s="336"/>
    </row>
    <row r="426" spans="1:18" x14ac:dyDescent="0.2">
      <c r="A426" s="368"/>
      <c r="B426" s="336"/>
      <c r="C426" s="336"/>
      <c r="D426" s="336"/>
      <c r="E426" s="336"/>
      <c r="F426" s="336"/>
      <c r="G426" s="336"/>
      <c r="H426" s="336"/>
      <c r="I426" s="341"/>
      <c r="J426" s="341"/>
      <c r="K426" s="336"/>
      <c r="L426" s="336"/>
      <c r="M426" s="336"/>
      <c r="N426" s="336"/>
      <c r="O426" s="336"/>
      <c r="P426" s="336"/>
      <c r="Q426" s="336"/>
      <c r="R426" s="336"/>
    </row>
    <row r="427" spans="1:18" x14ac:dyDescent="0.2">
      <c r="A427" s="368"/>
      <c r="B427" s="336"/>
      <c r="C427" s="336"/>
      <c r="D427" s="336"/>
      <c r="E427" s="336"/>
      <c r="F427" s="336"/>
      <c r="G427" s="336"/>
      <c r="H427" s="336"/>
      <c r="I427" s="341"/>
      <c r="J427" s="341"/>
      <c r="K427" s="336"/>
      <c r="L427" s="336"/>
      <c r="M427" s="336"/>
      <c r="N427" s="336"/>
      <c r="O427" s="336"/>
      <c r="P427" s="336"/>
      <c r="Q427" s="336"/>
      <c r="R427" s="336"/>
    </row>
    <row r="428" spans="1:18" x14ac:dyDescent="0.2">
      <c r="A428" s="368"/>
      <c r="B428" s="336"/>
      <c r="C428" s="336"/>
      <c r="D428" s="336"/>
      <c r="E428" s="336"/>
      <c r="F428" s="336"/>
      <c r="G428" s="336"/>
      <c r="H428" s="336"/>
      <c r="I428" s="341"/>
      <c r="J428" s="341"/>
      <c r="K428" s="336"/>
      <c r="L428" s="336"/>
      <c r="M428" s="336"/>
      <c r="N428" s="336"/>
      <c r="O428" s="336"/>
      <c r="P428" s="336"/>
      <c r="Q428" s="336"/>
      <c r="R428" s="336"/>
    </row>
    <row r="429" spans="1:18" x14ac:dyDescent="0.2">
      <c r="A429" s="368"/>
      <c r="B429" s="336"/>
      <c r="C429" s="336"/>
      <c r="D429" s="336"/>
      <c r="E429" s="336"/>
      <c r="F429" s="336"/>
      <c r="G429" s="336"/>
      <c r="H429" s="336"/>
      <c r="I429" s="341"/>
      <c r="J429" s="341"/>
      <c r="K429" s="336"/>
      <c r="L429" s="336"/>
      <c r="M429" s="336"/>
      <c r="N429" s="336"/>
      <c r="O429" s="336"/>
      <c r="P429" s="336"/>
      <c r="Q429" s="336"/>
      <c r="R429" s="336"/>
    </row>
    <row r="430" spans="1:18" x14ac:dyDescent="0.2">
      <c r="A430" s="368"/>
      <c r="B430" s="336"/>
      <c r="C430" s="336"/>
      <c r="D430" s="336"/>
      <c r="E430" s="336"/>
      <c r="F430" s="336"/>
      <c r="G430" s="336"/>
      <c r="H430" s="336"/>
      <c r="I430" s="341"/>
      <c r="J430" s="341"/>
      <c r="K430" s="336"/>
      <c r="L430" s="336"/>
      <c r="M430" s="336"/>
      <c r="N430" s="336"/>
      <c r="O430" s="336"/>
      <c r="P430" s="336"/>
      <c r="Q430" s="336"/>
      <c r="R430" s="336"/>
    </row>
    <row r="431" spans="1:18" x14ac:dyDescent="0.2">
      <c r="A431" s="368"/>
      <c r="B431" s="336"/>
      <c r="C431" s="336"/>
      <c r="D431" s="336"/>
      <c r="E431" s="336"/>
      <c r="F431" s="336"/>
      <c r="G431" s="336"/>
      <c r="H431" s="336"/>
      <c r="I431" s="341"/>
      <c r="J431" s="341"/>
      <c r="K431" s="336"/>
      <c r="L431" s="336"/>
      <c r="M431" s="336"/>
      <c r="N431" s="336"/>
      <c r="O431" s="336"/>
      <c r="P431" s="336"/>
      <c r="Q431" s="336"/>
      <c r="R431" s="336"/>
    </row>
    <row r="432" spans="1:18" x14ac:dyDescent="0.2">
      <c r="A432" s="368"/>
      <c r="B432" s="336"/>
      <c r="C432" s="336"/>
      <c r="D432" s="336"/>
      <c r="E432" s="336"/>
      <c r="F432" s="336"/>
      <c r="G432" s="336"/>
      <c r="H432" s="336"/>
      <c r="I432" s="341"/>
      <c r="J432" s="341"/>
      <c r="K432" s="336"/>
      <c r="L432" s="336"/>
      <c r="M432" s="336"/>
      <c r="N432" s="336"/>
      <c r="O432" s="336"/>
      <c r="P432" s="336"/>
      <c r="Q432" s="336"/>
      <c r="R432" s="336"/>
    </row>
    <row r="433" spans="1:18" x14ac:dyDescent="0.2">
      <c r="A433" s="368"/>
      <c r="B433" s="336"/>
      <c r="C433" s="336"/>
      <c r="D433" s="336"/>
      <c r="E433" s="336"/>
      <c r="F433" s="336"/>
      <c r="G433" s="336"/>
      <c r="H433" s="336"/>
      <c r="I433" s="341"/>
      <c r="J433" s="341"/>
      <c r="K433" s="336"/>
      <c r="L433" s="336"/>
      <c r="M433" s="336"/>
      <c r="N433" s="336"/>
      <c r="O433" s="336"/>
      <c r="P433" s="336"/>
      <c r="Q433" s="336"/>
      <c r="R433" s="336"/>
    </row>
    <row r="434" spans="1:18" x14ac:dyDescent="0.2">
      <c r="A434" s="368"/>
      <c r="B434" s="336"/>
      <c r="C434" s="336"/>
      <c r="D434" s="336"/>
      <c r="E434" s="336"/>
      <c r="F434" s="336"/>
      <c r="G434" s="336"/>
      <c r="H434" s="336"/>
      <c r="I434" s="341"/>
      <c r="J434" s="341"/>
      <c r="K434" s="336"/>
      <c r="L434" s="336"/>
      <c r="M434" s="336"/>
      <c r="N434" s="336"/>
      <c r="O434" s="336"/>
      <c r="P434" s="336"/>
      <c r="Q434" s="336"/>
      <c r="R434" s="336"/>
    </row>
    <row r="435" spans="1:18" x14ac:dyDescent="0.2">
      <c r="A435" s="368"/>
      <c r="B435" s="336"/>
      <c r="C435" s="336"/>
      <c r="D435" s="336"/>
      <c r="E435" s="336"/>
      <c r="F435" s="336"/>
      <c r="G435" s="336"/>
      <c r="H435" s="336"/>
      <c r="I435" s="341"/>
      <c r="J435" s="341"/>
      <c r="K435" s="336"/>
      <c r="L435" s="336"/>
      <c r="M435" s="336"/>
      <c r="N435" s="336"/>
      <c r="O435" s="336"/>
      <c r="P435" s="336"/>
      <c r="Q435" s="336"/>
      <c r="R435" s="336"/>
    </row>
    <row r="436" spans="1:18" x14ac:dyDescent="0.2">
      <c r="A436" s="368"/>
      <c r="B436" s="336"/>
      <c r="C436" s="336"/>
      <c r="D436" s="336"/>
      <c r="E436" s="336"/>
      <c r="F436" s="336"/>
      <c r="G436" s="336"/>
      <c r="H436" s="336"/>
      <c r="I436" s="341"/>
      <c r="J436" s="341"/>
      <c r="K436" s="336"/>
      <c r="L436" s="336"/>
      <c r="M436" s="336"/>
      <c r="N436" s="336"/>
      <c r="O436" s="336"/>
      <c r="P436" s="336"/>
      <c r="Q436" s="336"/>
      <c r="R436" s="336"/>
    </row>
    <row r="437" spans="1:18" x14ac:dyDescent="0.2">
      <c r="A437" s="368"/>
      <c r="B437" s="336"/>
      <c r="C437" s="336"/>
      <c r="D437" s="336"/>
      <c r="E437" s="336"/>
      <c r="F437" s="336"/>
      <c r="G437" s="336"/>
      <c r="H437" s="336"/>
      <c r="I437" s="341"/>
      <c r="J437" s="341"/>
      <c r="K437" s="336"/>
      <c r="L437" s="336"/>
      <c r="M437" s="336"/>
      <c r="N437" s="336"/>
      <c r="O437" s="336"/>
      <c r="P437" s="336"/>
      <c r="Q437" s="336"/>
      <c r="R437" s="336"/>
    </row>
    <row r="438" spans="1:18" x14ac:dyDescent="0.2">
      <c r="A438" s="368"/>
      <c r="B438" s="336"/>
      <c r="C438" s="336"/>
      <c r="D438" s="336"/>
      <c r="E438" s="336"/>
      <c r="F438" s="336"/>
      <c r="G438" s="336"/>
      <c r="H438" s="336"/>
      <c r="I438" s="341"/>
      <c r="J438" s="341"/>
      <c r="K438" s="336"/>
      <c r="L438" s="336"/>
      <c r="M438" s="336"/>
      <c r="N438" s="336"/>
      <c r="O438" s="336"/>
      <c r="P438" s="336"/>
      <c r="Q438" s="336"/>
      <c r="R438" s="336"/>
    </row>
    <row r="439" spans="1:18" x14ac:dyDescent="0.2">
      <c r="A439" s="368"/>
      <c r="B439" s="336"/>
      <c r="C439" s="336"/>
      <c r="D439" s="336"/>
      <c r="E439" s="336"/>
      <c r="F439" s="336"/>
      <c r="G439" s="336"/>
      <c r="H439" s="336"/>
      <c r="I439" s="341"/>
      <c r="J439" s="341"/>
      <c r="K439" s="336"/>
      <c r="L439" s="336"/>
      <c r="M439" s="336"/>
      <c r="N439" s="336"/>
      <c r="O439" s="336"/>
      <c r="P439" s="336"/>
      <c r="Q439" s="336"/>
      <c r="R439" s="336"/>
    </row>
    <row r="440" spans="1:18" x14ac:dyDescent="0.2">
      <c r="A440" s="368"/>
      <c r="B440" s="336"/>
      <c r="C440" s="336"/>
      <c r="D440" s="336"/>
      <c r="E440" s="336"/>
      <c r="F440" s="336"/>
      <c r="G440" s="336"/>
      <c r="H440" s="336"/>
      <c r="I440" s="341"/>
      <c r="J440" s="341"/>
      <c r="K440" s="336"/>
      <c r="L440" s="336"/>
      <c r="M440" s="336"/>
      <c r="N440" s="336"/>
      <c r="O440" s="336"/>
      <c r="P440" s="336"/>
      <c r="Q440" s="336"/>
      <c r="R440" s="336"/>
    </row>
    <row r="441" spans="1:18" x14ac:dyDescent="0.2">
      <c r="A441" s="368"/>
      <c r="B441" s="336"/>
      <c r="C441" s="336"/>
      <c r="D441" s="336"/>
      <c r="E441" s="336"/>
      <c r="F441" s="336"/>
      <c r="G441" s="336"/>
      <c r="H441" s="336"/>
      <c r="I441" s="341"/>
      <c r="J441" s="341"/>
      <c r="K441" s="336"/>
      <c r="L441" s="336"/>
      <c r="M441" s="336"/>
      <c r="N441" s="336"/>
      <c r="O441" s="336"/>
      <c r="P441" s="336"/>
      <c r="Q441" s="336"/>
      <c r="R441" s="336"/>
    </row>
    <row r="442" spans="1:18" x14ac:dyDescent="0.2">
      <c r="A442" s="368"/>
      <c r="B442" s="336"/>
      <c r="C442" s="336"/>
      <c r="D442" s="336"/>
      <c r="E442" s="336"/>
      <c r="F442" s="336"/>
      <c r="G442" s="336"/>
      <c r="H442" s="336"/>
      <c r="I442" s="341"/>
      <c r="J442" s="341"/>
      <c r="K442" s="336"/>
      <c r="L442" s="336"/>
      <c r="M442" s="336"/>
      <c r="N442" s="336"/>
      <c r="O442" s="336"/>
      <c r="P442" s="336"/>
      <c r="Q442" s="336"/>
      <c r="R442" s="336"/>
    </row>
    <row r="443" spans="1:18" x14ac:dyDescent="0.2">
      <c r="A443" s="368"/>
      <c r="B443" s="336"/>
      <c r="C443" s="336"/>
      <c r="D443" s="336"/>
      <c r="E443" s="336"/>
      <c r="F443" s="336"/>
      <c r="G443" s="336"/>
      <c r="H443" s="336"/>
      <c r="I443" s="341"/>
      <c r="J443" s="341"/>
      <c r="K443" s="336"/>
      <c r="L443" s="336"/>
      <c r="M443" s="336"/>
      <c r="N443" s="336"/>
      <c r="O443" s="336"/>
      <c r="P443" s="336"/>
      <c r="Q443" s="336"/>
      <c r="R443" s="336"/>
    </row>
    <row r="444" spans="1:18" x14ac:dyDescent="0.2">
      <c r="A444" s="368"/>
      <c r="B444" s="336"/>
      <c r="C444" s="336"/>
      <c r="D444" s="336"/>
      <c r="E444" s="336"/>
      <c r="F444" s="336"/>
      <c r="G444" s="336"/>
      <c r="H444" s="336"/>
      <c r="I444" s="341"/>
      <c r="J444" s="341"/>
      <c r="K444" s="336"/>
      <c r="L444" s="336"/>
      <c r="M444" s="336"/>
      <c r="N444" s="336"/>
      <c r="O444" s="336"/>
      <c r="P444" s="336"/>
      <c r="Q444" s="336"/>
      <c r="R444" s="336"/>
    </row>
    <row r="445" spans="1:18" x14ac:dyDescent="0.2">
      <c r="A445" s="368"/>
      <c r="B445" s="336"/>
      <c r="C445" s="336"/>
      <c r="D445" s="336"/>
      <c r="E445" s="336"/>
      <c r="F445" s="336"/>
      <c r="G445" s="336"/>
      <c r="H445" s="336"/>
      <c r="I445" s="341"/>
      <c r="J445" s="341"/>
      <c r="K445" s="336"/>
      <c r="L445" s="336"/>
      <c r="M445" s="336"/>
      <c r="N445" s="336"/>
      <c r="O445" s="336"/>
      <c r="P445" s="336"/>
      <c r="Q445" s="336"/>
      <c r="R445" s="336"/>
    </row>
    <row r="446" spans="1:18" x14ac:dyDescent="0.2">
      <c r="A446" s="368"/>
      <c r="B446" s="336"/>
      <c r="C446" s="336"/>
      <c r="D446" s="336"/>
      <c r="E446" s="336"/>
      <c r="F446" s="336"/>
      <c r="G446" s="336"/>
      <c r="H446" s="336"/>
      <c r="I446" s="341"/>
      <c r="J446" s="341"/>
      <c r="K446" s="336"/>
      <c r="L446" s="336"/>
      <c r="M446" s="336"/>
      <c r="N446" s="336"/>
      <c r="O446" s="336"/>
      <c r="P446" s="336"/>
      <c r="Q446" s="336"/>
      <c r="R446" s="336"/>
    </row>
    <row r="447" spans="1:18" x14ac:dyDescent="0.2">
      <c r="A447" s="368"/>
      <c r="B447" s="336"/>
      <c r="C447" s="336"/>
      <c r="D447" s="336"/>
      <c r="E447" s="336"/>
      <c r="F447" s="336"/>
      <c r="G447" s="336"/>
      <c r="H447" s="336"/>
      <c r="I447" s="341"/>
      <c r="J447" s="341"/>
      <c r="K447" s="336"/>
      <c r="L447" s="336"/>
      <c r="M447" s="336"/>
      <c r="N447" s="336"/>
      <c r="O447" s="336"/>
      <c r="P447" s="336"/>
      <c r="Q447" s="336"/>
      <c r="R447" s="336"/>
    </row>
    <row r="448" spans="1:18" x14ac:dyDescent="0.2">
      <c r="A448" s="368"/>
      <c r="B448" s="336"/>
      <c r="C448" s="336"/>
      <c r="D448" s="336"/>
      <c r="E448" s="336"/>
      <c r="F448" s="336"/>
      <c r="G448" s="336"/>
      <c r="H448" s="336"/>
      <c r="I448" s="341"/>
      <c r="J448" s="341"/>
      <c r="K448" s="336"/>
      <c r="L448" s="336"/>
      <c r="M448" s="336"/>
      <c r="N448" s="336"/>
      <c r="O448" s="336"/>
      <c r="P448" s="336"/>
      <c r="Q448" s="336"/>
      <c r="R448" s="336"/>
    </row>
    <row r="449" spans="1:18" x14ac:dyDescent="0.2">
      <c r="A449" s="368"/>
      <c r="B449" s="336"/>
      <c r="C449" s="336"/>
      <c r="D449" s="336"/>
      <c r="E449" s="336"/>
      <c r="F449" s="336"/>
      <c r="G449" s="336"/>
      <c r="H449" s="336"/>
      <c r="I449" s="341"/>
      <c r="J449" s="341"/>
      <c r="K449" s="336"/>
      <c r="L449" s="336"/>
      <c r="M449" s="336"/>
      <c r="N449" s="336"/>
      <c r="O449" s="336"/>
      <c r="P449" s="336"/>
      <c r="Q449" s="336"/>
      <c r="R449" s="336"/>
    </row>
    <row r="450" spans="1:18" x14ac:dyDescent="0.2">
      <c r="A450" s="368"/>
      <c r="B450" s="336"/>
      <c r="C450" s="336"/>
      <c r="D450" s="336"/>
      <c r="E450" s="336"/>
      <c r="F450" s="336"/>
      <c r="G450" s="336"/>
      <c r="H450" s="336"/>
      <c r="I450" s="341"/>
      <c r="J450" s="341"/>
      <c r="K450" s="336"/>
      <c r="L450" s="336"/>
      <c r="M450" s="336"/>
      <c r="N450" s="336"/>
      <c r="O450" s="336"/>
      <c r="P450" s="336"/>
      <c r="Q450" s="336"/>
      <c r="R450" s="336"/>
    </row>
    <row r="451" spans="1:18" x14ac:dyDescent="0.2">
      <c r="A451" s="368"/>
      <c r="B451" s="336"/>
      <c r="C451" s="336"/>
      <c r="D451" s="336"/>
      <c r="E451" s="336"/>
      <c r="F451" s="336"/>
      <c r="G451" s="336"/>
      <c r="H451" s="336"/>
      <c r="I451" s="341"/>
      <c r="J451" s="341"/>
      <c r="K451" s="336"/>
      <c r="L451" s="336"/>
      <c r="M451" s="336"/>
      <c r="N451" s="336"/>
      <c r="O451" s="336"/>
      <c r="P451" s="336"/>
      <c r="Q451" s="336"/>
      <c r="R451" s="336"/>
    </row>
    <row r="452" spans="1:18" x14ac:dyDescent="0.2">
      <c r="A452" s="368"/>
      <c r="B452" s="336"/>
      <c r="C452" s="336"/>
      <c r="D452" s="336"/>
      <c r="E452" s="336"/>
      <c r="F452" s="336"/>
      <c r="G452" s="336"/>
      <c r="H452" s="336"/>
      <c r="I452" s="341"/>
      <c r="J452" s="341"/>
      <c r="K452" s="336"/>
      <c r="L452" s="336"/>
      <c r="M452" s="336"/>
      <c r="N452" s="336"/>
      <c r="O452" s="336"/>
      <c r="P452" s="336"/>
      <c r="Q452" s="336"/>
      <c r="R452" s="336"/>
    </row>
    <row r="453" spans="1:18" x14ac:dyDescent="0.2">
      <c r="A453" s="368"/>
      <c r="B453" s="336"/>
      <c r="C453" s="336"/>
      <c r="D453" s="336"/>
      <c r="E453" s="336"/>
      <c r="F453" s="336"/>
      <c r="G453" s="336"/>
      <c r="H453" s="336"/>
      <c r="I453" s="341"/>
      <c r="J453" s="341"/>
      <c r="K453" s="336"/>
      <c r="L453" s="336"/>
      <c r="M453" s="336"/>
      <c r="N453" s="336"/>
      <c r="O453" s="336"/>
      <c r="P453" s="336"/>
      <c r="Q453" s="336"/>
      <c r="R453" s="336"/>
    </row>
    <row r="454" spans="1:18" x14ac:dyDescent="0.2">
      <c r="A454" s="368"/>
      <c r="B454" s="336"/>
      <c r="C454" s="336"/>
      <c r="D454" s="336"/>
      <c r="E454" s="336"/>
      <c r="F454" s="336"/>
      <c r="G454" s="336"/>
      <c r="H454" s="336"/>
      <c r="I454" s="341"/>
      <c r="J454" s="341"/>
      <c r="K454" s="336"/>
      <c r="L454" s="336"/>
      <c r="M454" s="336"/>
      <c r="N454" s="336"/>
      <c r="O454" s="336"/>
      <c r="P454" s="336"/>
      <c r="Q454" s="336"/>
      <c r="R454" s="336"/>
    </row>
    <row r="455" spans="1:18" x14ac:dyDescent="0.2">
      <c r="A455" s="368"/>
      <c r="B455" s="336"/>
      <c r="C455" s="336"/>
      <c r="D455" s="336"/>
      <c r="E455" s="336"/>
      <c r="F455" s="336"/>
      <c r="G455" s="336"/>
      <c r="H455" s="336"/>
      <c r="I455" s="341"/>
      <c r="J455" s="341"/>
      <c r="K455" s="336"/>
      <c r="L455" s="336"/>
      <c r="M455" s="336"/>
      <c r="N455" s="336"/>
      <c r="O455" s="336"/>
      <c r="P455" s="336"/>
      <c r="Q455" s="336"/>
      <c r="R455" s="336"/>
    </row>
    <row r="456" spans="1:18" x14ac:dyDescent="0.2">
      <c r="A456" s="368"/>
      <c r="B456" s="336"/>
      <c r="C456" s="336"/>
      <c r="D456" s="336"/>
      <c r="E456" s="336"/>
      <c r="F456" s="336"/>
      <c r="G456" s="336"/>
      <c r="H456" s="336"/>
      <c r="I456" s="341"/>
      <c r="J456" s="341"/>
      <c r="K456" s="336"/>
      <c r="L456" s="336"/>
      <c r="M456" s="336"/>
      <c r="N456" s="336"/>
      <c r="O456" s="336"/>
      <c r="P456" s="336"/>
      <c r="Q456" s="336"/>
      <c r="R456" s="336"/>
    </row>
    <row r="457" spans="1:18" x14ac:dyDescent="0.2">
      <c r="A457" s="368"/>
      <c r="B457" s="336"/>
      <c r="C457" s="336"/>
      <c r="D457" s="336"/>
      <c r="E457" s="336"/>
      <c r="F457" s="336"/>
      <c r="G457" s="336"/>
      <c r="H457" s="336"/>
      <c r="I457" s="341"/>
      <c r="J457" s="341"/>
      <c r="K457" s="336"/>
      <c r="L457" s="336"/>
      <c r="M457" s="336"/>
      <c r="N457" s="336"/>
      <c r="O457" s="336"/>
      <c r="P457" s="336"/>
      <c r="Q457" s="336"/>
      <c r="R457" s="336"/>
    </row>
    <row r="458" spans="1:18" x14ac:dyDescent="0.2">
      <c r="A458" s="368"/>
      <c r="B458" s="336"/>
      <c r="C458" s="336"/>
      <c r="D458" s="336"/>
      <c r="E458" s="336"/>
      <c r="F458" s="336"/>
      <c r="G458" s="336"/>
      <c r="H458" s="336"/>
      <c r="I458" s="341"/>
      <c r="J458" s="341"/>
      <c r="K458" s="336"/>
      <c r="L458" s="336"/>
      <c r="M458" s="336"/>
      <c r="N458" s="336"/>
      <c r="O458" s="336"/>
      <c r="P458" s="336"/>
      <c r="Q458" s="336"/>
      <c r="R458" s="336"/>
    </row>
    <row r="459" spans="1:18" x14ac:dyDescent="0.2">
      <c r="A459" s="368"/>
      <c r="B459" s="336"/>
      <c r="C459" s="336"/>
      <c r="D459" s="336"/>
      <c r="E459" s="336"/>
      <c r="F459" s="336"/>
      <c r="G459" s="336"/>
      <c r="H459" s="336"/>
      <c r="I459" s="341"/>
      <c r="J459" s="341"/>
      <c r="K459" s="336"/>
      <c r="L459" s="336"/>
      <c r="M459" s="336"/>
      <c r="N459" s="336"/>
      <c r="O459" s="336"/>
      <c r="P459" s="336"/>
      <c r="Q459" s="336"/>
      <c r="R459" s="336"/>
    </row>
    <row r="460" spans="1:18" x14ac:dyDescent="0.2">
      <c r="A460" s="368"/>
      <c r="B460" s="336"/>
      <c r="C460" s="336"/>
      <c r="D460" s="336"/>
      <c r="E460" s="336"/>
      <c r="F460" s="336"/>
      <c r="G460" s="336"/>
      <c r="H460" s="336"/>
      <c r="I460" s="341"/>
      <c r="J460" s="341"/>
      <c r="K460" s="336"/>
      <c r="L460" s="336"/>
      <c r="M460" s="336"/>
      <c r="N460" s="336"/>
      <c r="O460" s="336"/>
      <c r="P460" s="336"/>
      <c r="Q460" s="336"/>
      <c r="R460" s="336"/>
    </row>
    <row r="461" spans="1:18" x14ac:dyDescent="0.2">
      <c r="A461" s="368"/>
      <c r="B461" s="336"/>
      <c r="C461" s="336"/>
      <c r="D461" s="336"/>
      <c r="E461" s="336"/>
      <c r="F461" s="336"/>
      <c r="G461" s="336"/>
      <c r="H461" s="336"/>
      <c r="I461" s="341"/>
      <c r="J461" s="341"/>
      <c r="K461" s="336"/>
      <c r="L461" s="336"/>
      <c r="M461" s="336"/>
      <c r="N461" s="336"/>
      <c r="O461" s="336"/>
      <c r="P461" s="336"/>
      <c r="Q461" s="336"/>
      <c r="R461" s="336"/>
    </row>
    <row r="462" spans="1:18" x14ac:dyDescent="0.2">
      <c r="A462" s="368"/>
      <c r="B462" s="336"/>
      <c r="C462" s="336"/>
      <c r="D462" s="336"/>
      <c r="E462" s="336"/>
      <c r="F462" s="336"/>
      <c r="G462" s="336"/>
      <c r="H462" s="336"/>
      <c r="I462" s="341"/>
      <c r="J462" s="341"/>
      <c r="K462" s="336"/>
      <c r="L462" s="336"/>
      <c r="M462" s="336"/>
      <c r="N462" s="336"/>
      <c r="O462" s="336"/>
      <c r="P462" s="336"/>
      <c r="Q462" s="336"/>
      <c r="R462" s="336"/>
    </row>
    <row r="463" spans="1:18" x14ac:dyDescent="0.2">
      <c r="A463" s="368"/>
      <c r="B463" s="336"/>
      <c r="C463" s="336"/>
      <c r="D463" s="336"/>
      <c r="E463" s="336"/>
      <c r="F463" s="336"/>
      <c r="G463" s="336"/>
      <c r="H463" s="336"/>
      <c r="I463" s="341"/>
      <c r="J463" s="341"/>
      <c r="K463" s="336"/>
      <c r="L463" s="336"/>
      <c r="M463" s="336"/>
      <c r="N463" s="336"/>
      <c r="O463" s="336"/>
      <c r="P463" s="336"/>
      <c r="Q463" s="336"/>
      <c r="R463" s="336"/>
    </row>
    <row r="464" spans="1:18" x14ac:dyDescent="0.2">
      <c r="A464" s="368"/>
      <c r="B464" s="336"/>
      <c r="C464" s="336"/>
      <c r="D464" s="336"/>
      <c r="E464" s="336"/>
      <c r="F464" s="336"/>
      <c r="G464" s="336"/>
      <c r="H464" s="336"/>
      <c r="I464" s="341"/>
      <c r="J464" s="341"/>
      <c r="K464" s="336"/>
      <c r="L464" s="336"/>
      <c r="M464" s="336"/>
      <c r="N464" s="336"/>
      <c r="O464" s="336"/>
      <c r="P464" s="336"/>
      <c r="Q464" s="336"/>
      <c r="R464" s="336"/>
    </row>
    <row r="465" spans="1:18" x14ac:dyDescent="0.2">
      <c r="A465" s="368"/>
      <c r="B465" s="336"/>
      <c r="C465" s="336"/>
      <c r="D465" s="336"/>
      <c r="E465" s="336"/>
      <c r="F465" s="336"/>
      <c r="G465" s="336"/>
      <c r="H465" s="336"/>
      <c r="I465" s="341"/>
      <c r="J465" s="341"/>
      <c r="K465" s="336"/>
      <c r="L465" s="336"/>
      <c r="M465" s="336"/>
      <c r="N465" s="336"/>
      <c r="O465" s="336"/>
      <c r="P465" s="336"/>
      <c r="Q465" s="336"/>
      <c r="R465" s="336"/>
    </row>
    <row r="466" spans="1:18" x14ac:dyDescent="0.2">
      <c r="A466" s="368"/>
      <c r="B466" s="336"/>
      <c r="C466" s="336"/>
      <c r="D466" s="336"/>
      <c r="E466" s="336"/>
      <c r="F466" s="336"/>
      <c r="G466" s="336"/>
      <c r="H466" s="336"/>
      <c r="I466" s="341"/>
      <c r="J466" s="341"/>
      <c r="K466" s="336"/>
      <c r="L466" s="336"/>
      <c r="M466" s="336"/>
      <c r="N466" s="336"/>
      <c r="O466" s="336"/>
      <c r="P466" s="336"/>
      <c r="Q466" s="336"/>
      <c r="R466" s="336"/>
    </row>
    <row r="467" spans="1:18" x14ac:dyDescent="0.2">
      <c r="A467" s="368"/>
      <c r="B467" s="336"/>
      <c r="C467" s="336"/>
      <c r="D467" s="336"/>
      <c r="E467" s="336"/>
      <c r="F467" s="336"/>
      <c r="G467" s="336"/>
      <c r="H467" s="336"/>
      <c r="I467" s="341"/>
      <c r="J467" s="341"/>
      <c r="K467" s="336"/>
      <c r="L467" s="336"/>
      <c r="M467" s="336"/>
      <c r="N467" s="336"/>
      <c r="O467" s="336"/>
      <c r="P467" s="336"/>
      <c r="Q467" s="336"/>
      <c r="R467" s="336"/>
    </row>
    <row r="468" spans="1:18" x14ac:dyDescent="0.2">
      <c r="A468" s="368"/>
      <c r="B468" s="336"/>
      <c r="C468" s="336"/>
      <c r="D468" s="336"/>
      <c r="E468" s="336"/>
      <c r="F468" s="336"/>
      <c r="G468" s="336"/>
      <c r="H468" s="336"/>
      <c r="I468" s="341"/>
      <c r="J468" s="341"/>
      <c r="K468" s="336"/>
      <c r="L468" s="336"/>
      <c r="M468" s="336"/>
      <c r="N468" s="336"/>
      <c r="O468" s="336"/>
      <c r="P468" s="336"/>
      <c r="Q468" s="336"/>
      <c r="R468" s="336"/>
    </row>
    <row r="469" spans="1:18" x14ac:dyDescent="0.2">
      <c r="A469" s="368"/>
      <c r="B469" s="336"/>
      <c r="C469" s="336"/>
      <c r="D469" s="336"/>
      <c r="E469" s="336"/>
      <c r="F469" s="336"/>
      <c r="G469" s="336"/>
      <c r="H469" s="336"/>
      <c r="I469" s="341"/>
      <c r="J469" s="341"/>
      <c r="K469" s="336"/>
      <c r="L469" s="336"/>
      <c r="M469" s="336"/>
      <c r="N469" s="336"/>
      <c r="O469" s="336"/>
      <c r="P469" s="336"/>
      <c r="Q469" s="336"/>
      <c r="R469" s="336"/>
    </row>
    <row r="470" spans="1:18" x14ac:dyDescent="0.2">
      <c r="A470" s="368"/>
      <c r="B470" s="336"/>
      <c r="C470" s="336"/>
      <c r="D470" s="336"/>
      <c r="E470" s="336"/>
      <c r="F470" s="336"/>
      <c r="G470" s="336"/>
      <c r="H470" s="336"/>
      <c r="I470" s="341"/>
      <c r="J470" s="341"/>
      <c r="K470" s="336"/>
      <c r="L470" s="336"/>
      <c r="M470" s="336"/>
      <c r="N470" s="336"/>
      <c r="O470" s="336"/>
      <c r="P470" s="336"/>
      <c r="Q470" s="336"/>
      <c r="R470" s="336"/>
    </row>
    <row r="471" spans="1:18" x14ac:dyDescent="0.2">
      <c r="A471" s="368"/>
      <c r="B471" s="336"/>
      <c r="C471" s="336"/>
      <c r="D471" s="336"/>
      <c r="E471" s="336"/>
      <c r="F471" s="336"/>
      <c r="G471" s="336"/>
      <c r="H471" s="336"/>
      <c r="I471" s="341"/>
      <c r="J471" s="341"/>
      <c r="K471" s="336"/>
      <c r="L471" s="336"/>
      <c r="M471" s="336"/>
      <c r="N471" s="336"/>
      <c r="O471" s="336"/>
      <c r="P471" s="336"/>
      <c r="Q471" s="336"/>
      <c r="R471" s="336"/>
    </row>
    <row r="472" spans="1:18" x14ac:dyDescent="0.2">
      <c r="A472" s="368"/>
      <c r="B472" s="336"/>
      <c r="C472" s="336"/>
      <c r="D472" s="336"/>
      <c r="E472" s="336"/>
      <c r="F472" s="336"/>
      <c r="G472" s="336"/>
      <c r="H472" s="336"/>
      <c r="I472" s="341"/>
      <c r="J472" s="341"/>
      <c r="K472" s="336"/>
      <c r="L472" s="336"/>
      <c r="M472" s="336"/>
      <c r="N472" s="336"/>
      <c r="O472" s="336"/>
      <c r="P472" s="336"/>
      <c r="Q472" s="336"/>
      <c r="R472" s="336"/>
    </row>
    <row r="473" spans="1:18" x14ac:dyDescent="0.2">
      <c r="A473" s="368"/>
      <c r="B473" s="336"/>
      <c r="C473" s="336"/>
      <c r="D473" s="336"/>
      <c r="E473" s="336"/>
      <c r="F473" s="336"/>
      <c r="G473" s="336"/>
      <c r="H473" s="336"/>
      <c r="I473" s="341"/>
      <c r="J473" s="341"/>
      <c r="K473" s="336"/>
      <c r="L473" s="336"/>
      <c r="M473" s="336"/>
      <c r="N473" s="336"/>
      <c r="O473" s="336"/>
      <c r="P473" s="336"/>
      <c r="Q473" s="336"/>
      <c r="R473" s="336"/>
    </row>
    <row r="474" spans="1:18" x14ac:dyDescent="0.2">
      <c r="A474" s="368"/>
      <c r="B474" s="336"/>
      <c r="C474" s="336"/>
      <c r="D474" s="336"/>
      <c r="E474" s="336"/>
      <c r="F474" s="336"/>
      <c r="G474" s="336"/>
      <c r="H474" s="336"/>
      <c r="I474" s="341"/>
      <c r="J474" s="341"/>
      <c r="K474" s="336"/>
      <c r="L474" s="336"/>
      <c r="M474" s="336"/>
      <c r="N474" s="336"/>
      <c r="O474" s="336"/>
      <c r="P474" s="336"/>
      <c r="Q474" s="336"/>
      <c r="R474" s="336"/>
    </row>
    <row r="475" spans="1:18" x14ac:dyDescent="0.2">
      <c r="A475" s="368"/>
      <c r="B475" s="336"/>
      <c r="C475" s="336"/>
      <c r="D475" s="336"/>
      <c r="E475" s="336"/>
      <c r="F475" s="336"/>
      <c r="G475" s="336"/>
      <c r="H475" s="336"/>
      <c r="I475" s="341"/>
      <c r="J475" s="341"/>
      <c r="K475" s="336"/>
      <c r="L475" s="336"/>
      <c r="M475" s="336"/>
      <c r="N475" s="336"/>
      <c r="O475" s="336"/>
      <c r="P475" s="336"/>
      <c r="Q475" s="336"/>
      <c r="R475" s="336"/>
    </row>
    <row r="476" spans="1:18" x14ac:dyDescent="0.2">
      <c r="A476" s="368"/>
      <c r="B476" s="336"/>
      <c r="C476" s="336"/>
      <c r="D476" s="336"/>
      <c r="E476" s="336"/>
      <c r="F476" s="336"/>
      <c r="G476" s="336"/>
      <c r="H476" s="336"/>
      <c r="I476" s="341"/>
      <c r="J476" s="341"/>
      <c r="K476" s="336"/>
      <c r="L476" s="336"/>
      <c r="M476" s="336"/>
      <c r="N476" s="336"/>
      <c r="O476" s="336"/>
      <c r="P476" s="336"/>
      <c r="Q476" s="336"/>
      <c r="R476" s="336"/>
    </row>
    <row r="477" spans="1:18" x14ac:dyDescent="0.2">
      <c r="A477" s="368"/>
      <c r="B477" s="336"/>
      <c r="C477" s="336"/>
      <c r="D477" s="336"/>
      <c r="E477" s="336"/>
      <c r="F477" s="336"/>
      <c r="G477" s="336"/>
      <c r="H477" s="336"/>
      <c r="I477" s="341"/>
      <c r="J477" s="341"/>
      <c r="K477" s="336"/>
      <c r="L477" s="336"/>
      <c r="M477" s="336"/>
      <c r="N477" s="336"/>
      <c r="O477" s="336"/>
      <c r="P477" s="336"/>
      <c r="Q477" s="336"/>
      <c r="R477" s="336"/>
    </row>
    <row r="478" spans="1:18" x14ac:dyDescent="0.2">
      <c r="A478" s="368"/>
      <c r="B478" s="336"/>
      <c r="C478" s="336"/>
      <c r="D478" s="336"/>
      <c r="E478" s="336"/>
      <c r="F478" s="336"/>
      <c r="G478" s="336"/>
      <c r="H478" s="336"/>
      <c r="I478" s="341"/>
      <c r="J478" s="341"/>
      <c r="K478" s="336"/>
      <c r="L478" s="336"/>
      <c r="M478" s="336"/>
      <c r="N478" s="336"/>
      <c r="O478" s="336"/>
      <c r="P478" s="336"/>
      <c r="Q478" s="336"/>
      <c r="R478" s="336"/>
    </row>
    <row r="479" spans="1:18" x14ac:dyDescent="0.2">
      <c r="A479" s="368"/>
      <c r="B479" s="336"/>
      <c r="C479" s="336"/>
      <c r="D479" s="336"/>
      <c r="E479" s="336"/>
      <c r="F479" s="336"/>
      <c r="G479" s="336"/>
      <c r="H479" s="336"/>
      <c r="I479" s="341"/>
      <c r="J479" s="341"/>
      <c r="K479" s="336"/>
      <c r="L479" s="336"/>
      <c r="M479" s="336"/>
      <c r="N479" s="336"/>
      <c r="O479" s="336"/>
      <c r="P479" s="336"/>
      <c r="Q479" s="336"/>
      <c r="R479" s="336"/>
    </row>
    <row r="480" spans="1:18" x14ac:dyDescent="0.2">
      <c r="A480" s="368"/>
      <c r="B480" s="336"/>
      <c r="C480" s="336"/>
      <c r="D480" s="336"/>
      <c r="E480" s="336"/>
      <c r="F480" s="336"/>
      <c r="G480" s="336"/>
      <c r="H480" s="336"/>
      <c r="I480" s="341"/>
      <c r="J480" s="341"/>
      <c r="K480" s="336"/>
      <c r="L480" s="336"/>
      <c r="M480" s="336"/>
      <c r="N480" s="336"/>
      <c r="O480" s="336"/>
      <c r="P480" s="336"/>
      <c r="Q480" s="336"/>
      <c r="R480" s="336"/>
    </row>
    <row r="481" spans="1:18" x14ac:dyDescent="0.2">
      <c r="A481" s="368"/>
      <c r="B481" s="336"/>
      <c r="C481" s="336"/>
      <c r="D481" s="336"/>
      <c r="E481" s="336"/>
      <c r="F481" s="336"/>
      <c r="G481" s="336"/>
      <c r="H481" s="336"/>
      <c r="I481" s="341"/>
      <c r="J481" s="341"/>
      <c r="K481" s="336"/>
      <c r="L481" s="336"/>
      <c r="M481" s="336"/>
      <c r="N481" s="336"/>
      <c r="O481" s="336"/>
      <c r="P481" s="336"/>
      <c r="Q481" s="336"/>
      <c r="R481" s="336"/>
    </row>
    <row r="482" spans="1:18" x14ac:dyDescent="0.2">
      <c r="A482" s="368"/>
      <c r="B482" s="336"/>
      <c r="C482" s="336"/>
      <c r="D482" s="336"/>
      <c r="E482" s="336"/>
      <c r="F482" s="336"/>
      <c r="G482" s="336"/>
      <c r="H482" s="336"/>
      <c r="I482" s="341"/>
      <c r="J482" s="341"/>
      <c r="K482" s="336"/>
      <c r="L482" s="336"/>
      <c r="M482" s="336"/>
      <c r="N482" s="336"/>
      <c r="O482" s="336"/>
      <c r="P482" s="336"/>
      <c r="Q482" s="336"/>
      <c r="R482" s="336"/>
    </row>
    <row r="483" spans="1:18" x14ac:dyDescent="0.2">
      <c r="A483" s="368"/>
      <c r="B483" s="336"/>
      <c r="C483" s="336"/>
      <c r="D483" s="336"/>
      <c r="E483" s="336"/>
      <c r="F483" s="336"/>
      <c r="G483" s="336"/>
      <c r="H483" s="336"/>
      <c r="I483" s="341"/>
      <c r="J483" s="341"/>
      <c r="K483" s="336"/>
      <c r="L483" s="336"/>
      <c r="M483" s="336"/>
      <c r="N483" s="336"/>
      <c r="O483" s="336"/>
      <c r="P483" s="336"/>
      <c r="Q483" s="336"/>
      <c r="R483" s="336"/>
    </row>
    <row r="484" spans="1:18" x14ac:dyDescent="0.2">
      <c r="A484" s="368"/>
      <c r="B484" s="336"/>
      <c r="C484" s="336"/>
      <c r="D484" s="336"/>
      <c r="E484" s="336"/>
      <c r="F484" s="336"/>
      <c r="G484" s="336"/>
      <c r="H484" s="336"/>
      <c r="I484" s="341"/>
      <c r="J484" s="341"/>
      <c r="K484" s="336"/>
      <c r="L484" s="336"/>
      <c r="M484" s="336"/>
      <c r="N484" s="336"/>
      <c r="O484" s="336"/>
      <c r="P484" s="336"/>
      <c r="Q484" s="336"/>
      <c r="R484" s="336"/>
    </row>
    <row r="485" spans="1:18" x14ac:dyDescent="0.2">
      <c r="A485" s="368"/>
      <c r="B485" s="336"/>
      <c r="C485" s="336"/>
      <c r="D485" s="336"/>
      <c r="E485" s="336"/>
      <c r="F485" s="336"/>
      <c r="G485" s="336"/>
      <c r="H485" s="336"/>
      <c r="I485" s="341"/>
      <c r="J485" s="341"/>
      <c r="K485" s="336"/>
      <c r="L485" s="336"/>
      <c r="M485" s="336"/>
      <c r="N485" s="336"/>
      <c r="O485" s="336"/>
      <c r="P485" s="336"/>
      <c r="Q485" s="336"/>
      <c r="R485" s="336"/>
    </row>
    <row r="486" spans="1:18" x14ac:dyDescent="0.2">
      <c r="A486" s="368"/>
      <c r="B486" s="336"/>
      <c r="C486" s="336"/>
      <c r="D486" s="336"/>
      <c r="E486" s="336"/>
      <c r="F486" s="336"/>
      <c r="G486" s="336"/>
      <c r="H486" s="336"/>
      <c r="I486" s="341"/>
      <c r="J486" s="341"/>
      <c r="K486" s="336"/>
      <c r="L486" s="336"/>
      <c r="M486" s="336"/>
      <c r="N486" s="336"/>
      <c r="O486" s="336"/>
      <c r="P486" s="336"/>
      <c r="Q486" s="336"/>
      <c r="R486" s="336"/>
    </row>
    <row r="487" spans="1:18" x14ac:dyDescent="0.2">
      <c r="A487" s="368"/>
      <c r="B487" s="336"/>
      <c r="C487" s="336"/>
      <c r="D487" s="336"/>
      <c r="E487" s="336"/>
      <c r="F487" s="336"/>
      <c r="G487" s="336"/>
      <c r="H487" s="336"/>
      <c r="I487" s="341"/>
      <c r="J487" s="341"/>
      <c r="K487" s="336"/>
      <c r="L487" s="336"/>
      <c r="M487" s="336"/>
      <c r="N487" s="336"/>
      <c r="O487" s="336"/>
      <c r="P487" s="336"/>
      <c r="Q487" s="336"/>
      <c r="R487" s="336"/>
    </row>
    <row r="488" spans="1:18" x14ac:dyDescent="0.2">
      <c r="A488" s="368"/>
      <c r="B488" s="336"/>
      <c r="C488" s="336"/>
      <c r="D488" s="336"/>
      <c r="E488" s="336"/>
      <c r="F488" s="336"/>
      <c r="G488" s="336"/>
      <c r="H488" s="336"/>
      <c r="I488" s="341"/>
      <c r="J488" s="341"/>
      <c r="K488" s="336"/>
      <c r="L488" s="336"/>
      <c r="M488" s="336"/>
      <c r="N488" s="336"/>
      <c r="O488" s="336"/>
      <c r="P488" s="336"/>
      <c r="Q488" s="336"/>
      <c r="R488" s="336"/>
    </row>
    <row r="489" spans="1:18" x14ac:dyDescent="0.2">
      <c r="A489" s="368"/>
      <c r="B489" s="336"/>
      <c r="C489" s="336"/>
      <c r="D489" s="336"/>
      <c r="E489" s="336"/>
      <c r="F489" s="336"/>
      <c r="G489" s="336"/>
      <c r="H489" s="336"/>
      <c r="I489" s="341"/>
      <c r="J489" s="341"/>
      <c r="K489" s="336"/>
      <c r="L489" s="336"/>
      <c r="M489" s="336"/>
      <c r="N489" s="336"/>
      <c r="O489" s="336"/>
      <c r="P489" s="336"/>
      <c r="Q489" s="336"/>
      <c r="R489" s="336"/>
    </row>
    <row r="490" spans="1:18" x14ac:dyDescent="0.2">
      <c r="A490" s="368"/>
      <c r="B490" s="336"/>
      <c r="C490" s="336"/>
      <c r="D490" s="336"/>
      <c r="E490" s="336"/>
      <c r="F490" s="336"/>
      <c r="G490" s="336"/>
      <c r="H490" s="336"/>
      <c r="I490" s="341"/>
      <c r="J490" s="341"/>
      <c r="K490" s="336"/>
      <c r="L490" s="336"/>
      <c r="M490" s="336"/>
      <c r="N490" s="336"/>
      <c r="O490" s="336"/>
      <c r="P490" s="336"/>
      <c r="Q490" s="336"/>
      <c r="R490" s="336"/>
    </row>
    <row r="491" spans="1:18" x14ac:dyDescent="0.2">
      <c r="A491" s="368"/>
      <c r="B491" s="336"/>
      <c r="C491" s="336"/>
      <c r="D491" s="336"/>
      <c r="E491" s="336"/>
      <c r="F491" s="336"/>
      <c r="G491" s="336"/>
      <c r="H491" s="336"/>
      <c r="I491" s="341"/>
      <c r="J491" s="341"/>
      <c r="K491" s="336"/>
      <c r="L491" s="336"/>
      <c r="M491" s="336"/>
      <c r="N491" s="336"/>
      <c r="O491" s="336"/>
      <c r="P491" s="336"/>
      <c r="Q491" s="336"/>
      <c r="R491" s="336"/>
    </row>
    <row r="492" spans="1:18" x14ac:dyDescent="0.2">
      <c r="A492" s="368"/>
      <c r="B492" s="336"/>
      <c r="C492" s="336"/>
      <c r="D492" s="336"/>
      <c r="E492" s="336"/>
      <c r="F492" s="336"/>
      <c r="G492" s="336"/>
      <c r="H492" s="336"/>
      <c r="I492" s="341"/>
      <c r="J492" s="341"/>
      <c r="K492" s="336"/>
      <c r="L492" s="336"/>
      <c r="M492" s="336"/>
      <c r="N492" s="336"/>
      <c r="O492" s="336"/>
      <c r="P492" s="336"/>
      <c r="Q492" s="336"/>
      <c r="R492" s="336"/>
    </row>
    <row r="493" spans="1:18" x14ac:dyDescent="0.2">
      <c r="A493" s="368"/>
      <c r="B493" s="336"/>
      <c r="C493" s="336"/>
      <c r="D493" s="336"/>
      <c r="E493" s="336"/>
      <c r="F493" s="336"/>
      <c r="G493" s="336"/>
      <c r="H493" s="336"/>
      <c r="I493" s="341"/>
      <c r="J493" s="341"/>
      <c r="K493" s="336"/>
      <c r="L493" s="336"/>
      <c r="M493" s="336"/>
      <c r="N493" s="336"/>
      <c r="O493" s="336"/>
      <c r="P493" s="336"/>
      <c r="Q493" s="336"/>
      <c r="R493" s="336"/>
    </row>
    <row r="494" spans="1:18" x14ac:dyDescent="0.2">
      <c r="A494" s="368"/>
      <c r="B494" s="336"/>
      <c r="C494" s="336"/>
      <c r="D494" s="336"/>
      <c r="E494" s="336"/>
      <c r="F494" s="336"/>
      <c r="G494" s="336"/>
      <c r="H494" s="336"/>
      <c r="I494" s="341"/>
      <c r="J494" s="341"/>
      <c r="K494" s="336"/>
      <c r="L494" s="336"/>
      <c r="M494" s="336"/>
      <c r="N494" s="336"/>
      <c r="O494" s="336"/>
      <c r="P494" s="336"/>
      <c r="Q494" s="336"/>
      <c r="R494" s="336"/>
    </row>
    <row r="495" spans="1:18" x14ac:dyDescent="0.2">
      <c r="A495" s="368"/>
      <c r="B495" s="336"/>
      <c r="C495" s="336"/>
      <c r="D495" s="336"/>
      <c r="E495" s="336"/>
      <c r="F495" s="336"/>
      <c r="G495" s="336"/>
      <c r="H495" s="336"/>
      <c r="I495" s="341"/>
      <c r="J495" s="341"/>
      <c r="K495" s="336"/>
      <c r="L495" s="336"/>
      <c r="M495" s="336"/>
      <c r="N495" s="336"/>
      <c r="O495" s="336"/>
      <c r="P495" s="336"/>
      <c r="Q495" s="336"/>
      <c r="R495" s="336"/>
    </row>
    <row r="496" spans="1:18" x14ac:dyDescent="0.2">
      <c r="A496" s="368"/>
      <c r="B496" s="336"/>
      <c r="C496" s="336"/>
      <c r="D496" s="336"/>
      <c r="E496" s="336"/>
      <c r="F496" s="336"/>
      <c r="G496" s="336"/>
      <c r="H496" s="336"/>
      <c r="I496" s="341"/>
      <c r="J496" s="341"/>
      <c r="K496" s="336"/>
      <c r="L496" s="336"/>
      <c r="M496" s="336"/>
      <c r="N496" s="336"/>
      <c r="O496" s="336"/>
      <c r="P496" s="336"/>
      <c r="Q496" s="336"/>
      <c r="R496" s="336"/>
    </row>
    <row r="497" spans="1:18" x14ac:dyDescent="0.2">
      <c r="A497" s="368"/>
      <c r="B497" s="336"/>
      <c r="C497" s="336"/>
      <c r="D497" s="336"/>
      <c r="E497" s="336"/>
      <c r="F497" s="336"/>
      <c r="G497" s="336"/>
      <c r="H497" s="336"/>
      <c r="I497" s="341"/>
      <c r="J497" s="341"/>
      <c r="K497" s="336"/>
      <c r="L497" s="336"/>
      <c r="M497" s="336"/>
      <c r="N497" s="336"/>
      <c r="O497" s="336"/>
      <c r="P497" s="336"/>
      <c r="Q497" s="336"/>
      <c r="R497" s="336"/>
    </row>
    <row r="498" spans="1:18" x14ac:dyDescent="0.2">
      <c r="A498" s="368"/>
      <c r="B498" s="336"/>
      <c r="C498" s="336"/>
      <c r="D498" s="336"/>
      <c r="E498" s="336"/>
      <c r="F498" s="336"/>
      <c r="G498" s="336"/>
      <c r="H498" s="336"/>
      <c r="I498" s="341"/>
      <c r="J498" s="341"/>
      <c r="K498" s="336"/>
      <c r="L498" s="336"/>
      <c r="M498" s="336"/>
      <c r="N498" s="336"/>
      <c r="O498" s="336"/>
      <c r="P498" s="336"/>
      <c r="Q498" s="336"/>
      <c r="R498" s="336"/>
    </row>
    <row r="499" spans="1:18" x14ac:dyDescent="0.2">
      <c r="A499" s="368"/>
      <c r="B499" s="336"/>
      <c r="C499" s="336"/>
      <c r="D499" s="336"/>
      <c r="E499" s="336"/>
      <c r="F499" s="336"/>
      <c r="G499" s="336"/>
      <c r="H499" s="336"/>
      <c r="I499" s="341"/>
      <c r="J499" s="341"/>
      <c r="K499" s="336"/>
      <c r="L499" s="336"/>
      <c r="M499" s="336"/>
      <c r="N499" s="336"/>
      <c r="O499" s="336"/>
      <c r="P499" s="336"/>
      <c r="Q499" s="336"/>
      <c r="R499" s="336"/>
    </row>
    <row r="500" spans="1:18" x14ac:dyDescent="0.2">
      <c r="A500" s="368"/>
      <c r="B500" s="336"/>
      <c r="C500" s="336"/>
      <c r="D500" s="336"/>
      <c r="E500" s="336"/>
      <c r="F500" s="336"/>
      <c r="G500" s="336"/>
      <c r="H500" s="336"/>
      <c r="I500" s="341"/>
      <c r="J500" s="341"/>
      <c r="K500" s="336"/>
      <c r="L500" s="336"/>
      <c r="M500" s="336"/>
      <c r="N500" s="336"/>
      <c r="O500" s="336"/>
      <c r="P500" s="336"/>
      <c r="Q500" s="336"/>
      <c r="R500" s="336"/>
    </row>
    <row r="501" spans="1:18" x14ac:dyDescent="0.2">
      <c r="A501"/>
      <c r="B501" s="336"/>
      <c r="C501" s="336"/>
      <c r="D501" s="336"/>
      <c r="E501" s="336"/>
      <c r="F501" s="336"/>
      <c r="G501" s="336"/>
      <c r="H501" s="336"/>
      <c r="I501" s="341"/>
      <c r="J501" s="341"/>
      <c r="K501" s="336"/>
      <c r="O501" s="336"/>
      <c r="P501" s="336"/>
      <c r="Q501" s="336"/>
      <c r="R501" s="336"/>
    </row>
    <row r="502" spans="1:18" x14ac:dyDescent="0.2">
      <c r="A502"/>
      <c r="B502" s="336"/>
      <c r="C502" s="336"/>
      <c r="D502" s="336"/>
      <c r="E502" s="336"/>
      <c r="F502" s="336"/>
      <c r="G502" s="336"/>
      <c r="H502" s="336"/>
      <c r="I502" s="341"/>
      <c r="J502" s="341"/>
      <c r="K502" s="336"/>
      <c r="O502" s="336"/>
      <c r="P502" s="336"/>
      <c r="Q502" s="336"/>
      <c r="R502" s="336"/>
    </row>
    <row r="503" spans="1:18" x14ac:dyDescent="0.2">
      <c r="A503"/>
      <c r="B503" s="336"/>
      <c r="C503" s="336"/>
      <c r="D503" s="336"/>
      <c r="E503" s="336"/>
      <c r="F503" s="336"/>
      <c r="G503" s="336"/>
      <c r="H503" s="336"/>
      <c r="I503" s="341"/>
      <c r="J503" s="341"/>
      <c r="K503" s="336"/>
      <c r="O503" s="336"/>
      <c r="P503" s="336"/>
      <c r="Q503" s="336"/>
      <c r="R503" s="336"/>
    </row>
    <row r="504" spans="1:18" x14ac:dyDescent="0.2">
      <c r="A504"/>
      <c r="B504" s="336"/>
      <c r="C504" s="336"/>
      <c r="D504" s="336"/>
      <c r="E504" s="336"/>
      <c r="F504" s="336"/>
      <c r="G504" s="336"/>
      <c r="H504" s="336"/>
      <c r="I504" s="341"/>
      <c r="J504" s="341"/>
      <c r="K504" s="336"/>
      <c r="O504" s="336"/>
      <c r="P504" s="336"/>
      <c r="Q504" s="336"/>
      <c r="R504" s="336"/>
    </row>
    <row r="505" spans="1:18" x14ac:dyDescent="0.2">
      <c r="A505"/>
      <c r="B505" s="336"/>
      <c r="C505" s="336"/>
      <c r="D505" s="336"/>
      <c r="E505" s="336"/>
      <c r="F505" s="336"/>
      <c r="G505" s="336"/>
      <c r="H505" s="336"/>
      <c r="I505" s="341"/>
      <c r="J505" s="341"/>
      <c r="K505" s="336"/>
      <c r="O505" s="336"/>
      <c r="P505" s="336"/>
      <c r="Q505" s="336"/>
      <c r="R505" s="336"/>
    </row>
    <row r="506" spans="1:18" x14ac:dyDescent="0.2">
      <c r="A506"/>
      <c r="B506" s="336"/>
      <c r="C506" s="336"/>
      <c r="D506" s="336"/>
      <c r="E506" s="336"/>
      <c r="F506" s="336"/>
      <c r="G506" s="336"/>
      <c r="H506" s="336"/>
      <c r="I506" s="341"/>
      <c r="J506" s="341"/>
      <c r="K506" s="336"/>
      <c r="O506" s="336"/>
      <c r="P506" s="336"/>
      <c r="Q506" s="336"/>
      <c r="R506" s="336"/>
    </row>
    <row r="507" spans="1:18" x14ac:dyDescent="0.2">
      <c r="A507"/>
      <c r="B507" s="336"/>
      <c r="C507" s="336"/>
      <c r="D507" s="336"/>
      <c r="E507" s="336"/>
      <c r="F507" s="336"/>
      <c r="G507" s="336"/>
      <c r="H507" s="336"/>
      <c r="I507" s="341"/>
      <c r="J507" s="341"/>
      <c r="K507" s="336"/>
      <c r="O507" s="336"/>
      <c r="P507" s="336"/>
      <c r="Q507" s="336"/>
      <c r="R507" s="336"/>
    </row>
    <row r="508" spans="1:18" x14ac:dyDescent="0.2">
      <c r="A508"/>
      <c r="B508" s="336"/>
      <c r="C508" s="336"/>
      <c r="D508" s="336"/>
      <c r="E508" s="336"/>
      <c r="F508" s="336"/>
      <c r="G508" s="336"/>
      <c r="H508" s="336"/>
      <c r="I508" s="341"/>
      <c r="J508" s="341"/>
      <c r="K508" s="336"/>
      <c r="O508" s="336"/>
      <c r="P508" s="336"/>
      <c r="Q508" s="336"/>
      <c r="R508" s="336"/>
    </row>
    <row r="509" spans="1:18" x14ac:dyDescent="0.2">
      <c r="A509"/>
      <c r="B509" s="336"/>
      <c r="C509" s="336"/>
      <c r="D509" s="336"/>
      <c r="E509" s="336"/>
      <c r="F509" s="336"/>
      <c r="G509" s="336"/>
      <c r="H509" s="336"/>
      <c r="I509" s="341"/>
      <c r="J509" s="341"/>
      <c r="K509" s="336"/>
      <c r="O509" s="336"/>
      <c r="P509" s="336"/>
      <c r="Q509" s="336"/>
      <c r="R509" s="336"/>
    </row>
    <row r="510" spans="1:18" x14ac:dyDescent="0.2">
      <c r="A510"/>
      <c r="B510" s="336"/>
      <c r="C510" s="336"/>
      <c r="D510" s="336"/>
      <c r="E510" s="336"/>
      <c r="F510" s="336"/>
      <c r="G510" s="336"/>
      <c r="H510" s="336"/>
      <c r="I510" s="341"/>
      <c r="J510" s="341"/>
      <c r="K510" s="336"/>
      <c r="O510" s="336"/>
      <c r="P510" s="336"/>
      <c r="Q510" s="336"/>
      <c r="R510" s="336"/>
    </row>
    <row r="511" spans="1:18" x14ac:dyDescent="0.2">
      <c r="A511"/>
      <c r="B511" s="336"/>
      <c r="C511" s="336"/>
      <c r="D511" s="336"/>
      <c r="E511" s="336"/>
      <c r="F511" s="336"/>
      <c r="G511" s="336"/>
      <c r="H511" s="336"/>
      <c r="I511" s="341"/>
      <c r="J511" s="341"/>
      <c r="K511" s="336"/>
      <c r="O511" s="336"/>
      <c r="P511" s="336"/>
      <c r="Q511" s="336"/>
      <c r="R511" s="336"/>
    </row>
    <row r="512" spans="1:18" x14ac:dyDescent="0.2">
      <c r="A512"/>
      <c r="B512" s="336"/>
      <c r="C512" s="336"/>
      <c r="D512" s="336"/>
      <c r="E512" s="336"/>
      <c r="F512" s="336"/>
      <c r="G512" s="336"/>
      <c r="H512" s="336"/>
      <c r="I512" s="341"/>
      <c r="J512" s="341"/>
      <c r="K512" s="336"/>
      <c r="O512" s="336"/>
      <c r="P512" s="336"/>
      <c r="Q512" s="336"/>
      <c r="R512" s="336"/>
    </row>
    <row r="513" spans="1:18" x14ac:dyDescent="0.2">
      <c r="A513"/>
      <c r="B513" s="336"/>
      <c r="C513" s="336"/>
      <c r="D513" s="336"/>
      <c r="E513" s="336"/>
      <c r="F513" s="336"/>
      <c r="G513" s="336"/>
      <c r="H513" s="336"/>
      <c r="I513" s="341"/>
      <c r="J513" s="341"/>
      <c r="K513" s="336"/>
      <c r="O513" s="336"/>
      <c r="P513" s="336"/>
      <c r="Q513" s="336"/>
      <c r="R513" s="336"/>
    </row>
    <row r="514" spans="1:18" x14ac:dyDescent="0.2">
      <c r="A514"/>
      <c r="B514" s="336"/>
      <c r="C514" s="336"/>
      <c r="D514" s="336"/>
      <c r="E514" s="336"/>
      <c r="F514" s="336"/>
      <c r="G514" s="336"/>
      <c r="H514" s="336"/>
      <c r="I514" s="341"/>
      <c r="J514" s="341"/>
      <c r="K514" s="336"/>
      <c r="O514" s="336"/>
      <c r="P514" s="336"/>
      <c r="Q514" s="336"/>
      <c r="R514" s="336"/>
    </row>
    <row r="515" spans="1:18" x14ac:dyDescent="0.2">
      <c r="A515"/>
      <c r="B515" s="336"/>
      <c r="C515" s="336"/>
      <c r="D515" s="336"/>
      <c r="E515" s="336"/>
      <c r="F515" s="336"/>
      <c r="G515" s="336"/>
      <c r="H515" s="336"/>
      <c r="I515" s="341"/>
      <c r="J515" s="341"/>
      <c r="K515" s="336"/>
      <c r="O515" s="336"/>
      <c r="P515" s="336"/>
      <c r="Q515" s="336"/>
      <c r="R515" s="336"/>
    </row>
    <row r="516" spans="1:18" x14ac:dyDescent="0.2">
      <c r="A516"/>
      <c r="B516" s="336"/>
      <c r="C516" s="336"/>
      <c r="D516" s="336"/>
      <c r="E516" s="336"/>
      <c r="F516" s="336"/>
      <c r="G516" s="336"/>
      <c r="H516" s="336"/>
      <c r="I516" s="341"/>
      <c r="J516" s="341"/>
      <c r="K516" s="336"/>
      <c r="O516" s="336"/>
      <c r="P516" s="336"/>
      <c r="Q516" s="336"/>
      <c r="R516" s="336"/>
    </row>
    <row r="517" spans="1:18" x14ac:dyDescent="0.2">
      <c r="A517"/>
      <c r="B517" s="336"/>
      <c r="C517" s="336"/>
      <c r="D517" s="336"/>
      <c r="E517" s="336"/>
      <c r="F517" s="336"/>
      <c r="G517" s="336"/>
      <c r="H517" s="336"/>
      <c r="I517" s="341"/>
      <c r="J517" s="341"/>
      <c r="K517" s="336"/>
      <c r="O517" s="336"/>
      <c r="P517" s="336"/>
      <c r="Q517" s="336"/>
      <c r="R517" s="336"/>
    </row>
    <row r="518" spans="1:18" x14ac:dyDescent="0.2">
      <c r="A518"/>
      <c r="B518" s="336"/>
      <c r="C518" s="336"/>
      <c r="D518" s="336"/>
      <c r="E518" s="336"/>
      <c r="F518" s="336"/>
      <c r="G518" s="336"/>
      <c r="H518" s="336"/>
      <c r="I518" s="341"/>
      <c r="J518" s="341"/>
      <c r="K518" s="336"/>
      <c r="O518" s="336"/>
      <c r="P518" s="336"/>
      <c r="Q518" s="336"/>
      <c r="R518" s="336"/>
    </row>
    <row r="519" spans="1:18" x14ac:dyDescent="0.2">
      <c r="A519"/>
      <c r="B519" s="336"/>
      <c r="C519" s="336"/>
      <c r="D519" s="336"/>
      <c r="E519" s="336"/>
      <c r="F519" s="336"/>
      <c r="G519" s="336"/>
      <c r="H519" s="336"/>
      <c r="I519" s="341"/>
      <c r="J519" s="341"/>
      <c r="K519" s="336"/>
      <c r="O519" s="336"/>
      <c r="P519" s="336"/>
      <c r="Q519" s="336"/>
      <c r="R519" s="336"/>
    </row>
    <row r="520" spans="1:18" x14ac:dyDescent="0.2">
      <c r="A520"/>
      <c r="B520" s="336"/>
      <c r="C520" s="336"/>
      <c r="D520" s="336"/>
      <c r="E520" s="336"/>
      <c r="F520" s="336"/>
      <c r="G520" s="336"/>
      <c r="H520" s="336"/>
      <c r="I520" s="341"/>
      <c r="J520" s="341"/>
      <c r="K520" s="336"/>
      <c r="O520" s="336"/>
      <c r="P520" s="336"/>
      <c r="Q520" s="336"/>
      <c r="R520" s="336"/>
    </row>
    <row r="521" spans="1:18" x14ac:dyDescent="0.2">
      <c r="A521"/>
      <c r="B521" s="336"/>
      <c r="C521" s="336"/>
      <c r="D521" s="336"/>
      <c r="E521" s="336"/>
      <c r="F521" s="336"/>
      <c r="G521" s="336"/>
      <c r="H521" s="336"/>
      <c r="I521" s="341"/>
      <c r="J521" s="341"/>
      <c r="K521" s="336"/>
      <c r="O521" s="336"/>
      <c r="P521" s="336"/>
      <c r="Q521" s="336"/>
      <c r="R521" s="336"/>
    </row>
    <row r="522" spans="1:18" x14ac:dyDescent="0.2">
      <c r="A522"/>
      <c r="B522" s="336"/>
      <c r="C522" s="336"/>
      <c r="D522" s="336"/>
      <c r="E522" s="336"/>
      <c r="F522" s="336"/>
      <c r="G522" s="336"/>
      <c r="H522" s="336"/>
      <c r="I522" s="341"/>
      <c r="J522" s="341"/>
      <c r="K522" s="336"/>
      <c r="O522" s="336"/>
      <c r="P522" s="336"/>
      <c r="Q522" s="336"/>
      <c r="R522" s="336"/>
    </row>
    <row r="523" spans="1:18" x14ac:dyDescent="0.2">
      <c r="A523"/>
      <c r="B523" s="336"/>
      <c r="C523" s="336"/>
      <c r="D523" s="336"/>
      <c r="E523" s="336"/>
      <c r="F523" s="336"/>
      <c r="G523" s="336"/>
      <c r="H523" s="336"/>
      <c r="I523" s="341"/>
      <c r="J523" s="341"/>
      <c r="K523" s="336"/>
      <c r="O523" s="336"/>
      <c r="P523" s="336"/>
      <c r="Q523" s="336"/>
      <c r="R523" s="336"/>
    </row>
    <row r="524" spans="1:18" x14ac:dyDescent="0.2">
      <c r="A524"/>
      <c r="B524" s="336"/>
      <c r="C524" s="336"/>
      <c r="D524" s="336"/>
      <c r="E524" s="336"/>
      <c r="F524" s="336"/>
      <c r="G524" s="336"/>
      <c r="H524" s="336"/>
      <c r="I524" s="341"/>
      <c r="J524" s="341"/>
      <c r="K524" s="336"/>
      <c r="O524" s="336"/>
      <c r="P524" s="336"/>
      <c r="Q524" s="336"/>
      <c r="R524" s="336"/>
    </row>
    <row r="525" spans="1:18" x14ac:dyDescent="0.2">
      <c r="A525"/>
      <c r="B525" s="336"/>
      <c r="C525" s="336"/>
      <c r="D525" s="336"/>
      <c r="E525" s="336"/>
      <c r="F525" s="336"/>
      <c r="G525" s="336"/>
      <c r="H525" s="336"/>
      <c r="I525" s="341"/>
      <c r="J525" s="341"/>
      <c r="K525" s="336"/>
      <c r="O525" s="336"/>
      <c r="P525" s="336"/>
      <c r="Q525" s="336"/>
      <c r="R525" s="336"/>
    </row>
    <row r="526" spans="1:18" x14ac:dyDescent="0.2">
      <c r="A526"/>
      <c r="B526" s="336"/>
      <c r="C526" s="336"/>
      <c r="D526" s="336"/>
      <c r="E526" s="336"/>
      <c r="F526" s="336"/>
      <c r="G526" s="336"/>
      <c r="H526" s="336"/>
      <c r="I526" s="341"/>
      <c r="J526" s="341"/>
      <c r="K526" s="336"/>
      <c r="O526" s="336"/>
      <c r="P526" s="336"/>
      <c r="Q526" s="336"/>
      <c r="R526" s="336"/>
    </row>
    <row r="527" spans="1:18" x14ac:dyDescent="0.2">
      <c r="A527"/>
      <c r="B527" s="336"/>
      <c r="C527" s="336"/>
      <c r="D527" s="336"/>
      <c r="E527" s="336"/>
      <c r="F527" s="336"/>
      <c r="G527" s="336"/>
      <c r="H527" s="336"/>
      <c r="I527" s="341"/>
      <c r="J527" s="341"/>
      <c r="K527" s="336"/>
      <c r="O527" s="336"/>
      <c r="P527" s="336"/>
      <c r="Q527" s="336"/>
      <c r="R527" s="336"/>
    </row>
    <row r="528" spans="1:18" x14ac:dyDescent="0.2">
      <c r="A528"/>
      <c r="B528" s="336"/>
      <c r="C528" s="336"/>
      <c r="D528" s="336"/>
      <c r="E528" s="336"/>
      <c r="F528" s="336"/>
      <c r="G528" s="336"/>
      <c r="H528" s="336"/>
      <c r="I528" s="341"/>
      <c r="J528" s="341"/>
      <c r="K528" s="336"/>
      <c r="O528" s="336"/>
      <c r="P528" s="336"/>
      <c r="Q528" s="336"/>
      <c r="R528" s="336"/>
    </row>
    <row r="529" spans="1:18" x14ac:dyDescent="0.2">
      <c r="A529"/>
      <c r="B529" s="336"/>
      <c r="C529" s="336"/>
      <c r="D529" s="336"/>
      <c r="E529" s="336"/>
      <c r="F529" s="336"/>
      <c r="G529" s="336"/>
      <c r="H529" s="336"/>
      <c r="I529" s="341"/>
      <c r="J529" s="341"/>
      <c r="K529" s="336"/>
      <c r="O529" s="336"/>
      <c r="P529" s="336"/>
      <c r="Q529" s="336"/>
      <c r="R529" s="336"/>
    </row>
    <row r="530" spans="1:18" x14ac:dyDescent="0.2">
      <c r="A530"/>
      <c r="B530" s="336"/>
      <c r="C530" s="336"/>
      <c r="D530" s="336"/>
      <c r="E530" s="336"/>
      <c r="F530" s="336"/>
      <c r="G530" s="336"/>
      <c r="H530" s="336"/>
      <c r="I530" s="341"/>
      <c r="J530" s="341"/>
      <c r="K530" s="336"/>
      <c r="O530" s="336"/>
      <c r="P530" s="336"/>
      <c r="Q530" s="336"/>
      <c r="R530" s="336"/>
    </row>
    <row r="531" spans="1:18" x14ac:dyDescent="0.2">
      <c r="A531"/>
      <c r="B531" s="336"/>
      <c r="C531" s="336"/>
      <c r="D531" s="336"/>
      <c r="E531" s="336"/>
      <c r="F531" s="336"/>
      <c r="G531" s="336"/>
      <c r="H531" s="336"/>
      <c r="I531" s="341"/>
      <c r="J531" s="341"/>
      <c r="K531" s="336"/>
      <c r="O531" s="336"/>
      <c r="P531" s="336"/>
      <c r="Q531" s="336"/>
      <c r="R531" s="336"/>
    </row>
    <row r="532" spans="1:18" x14ac:dyDescent="0.2">
      <c r="A532"/>
      <c r="B532" s="336"/>
      <c r="C532" s="336"/>
      <c r="D532" s="336"/>
      <c r="E532" s="336"/>
      <c r="F532" s="336"/>
      <c r="G532" s="336"/>
      <c r="H532" s="336"/>
      <c r="I532" s="341"/>
      <c r="J532" s="341"/>
      <c r="K532" s="336"/>
      <c r="O532" s="336"/>
      <c r="P532" s="336"/>
      <c r="Q532" s="336"/>
      <c r="R532" s="336"/>
    </row>
    <row r="533" spans="1:18" x14ac:dyDescent="0.2">
      <c r="A533"/>
      <c r="B533" s="336"/>
      <c r="C533" s="336"/>
      <c r="D533" s="336"/>
      <c r="E533" s="336"/>
      <c r="F533" s="336"/>
      <c r="G533" s="336"/>
      <c r="H533" s="336"/>
      <c r="I533" s="341"/>
      <c r="J533" s="341"/>
      <c r="K533" s="336"/>
      <c r="O533" s="336"/>
      <c r="P533" s="336"/>
      <c r="Q533" s="336"/>
      <c r="R533" s="336"/>
    </row>
    <row r="534" spans="1:18" x14ac:dyDescent="0.2">
      <c r="A534"/>
      <c r="B534" s="336"/>
      <c r="C534" s="336"/>
      <c r="D534" s="336"/>
      <c r="E534" s="336"/>
      <c r="F534" s="336"/>
      <c r="G534" s="336"/>
      <c r="H534" s="336"/>
      <c r="I534" s="341"/>
      <c r="J534" s="341"/>
      <c r="K534" s="336"/>
      <c r="O534" s="336"/>
      <c r="P534" s="336"/>
      <c r="Q534" s="336"/>
      <c r="R534" s="336"/>
    </row>
    <row r="535" spans="1:18" x14ac:dyDescent="0.2">
      <c r="A535"/>
      <c r="B535" s="336"/>
      <c r="C535" s="336"/>
      <c r="D535" s="336"/>
      <c r="E535" s="336"/>
      <c r="F535" s="336"/>
      <c r="G535" s="336"/>
      <c r="H535" s="336"/>
      <c r="I535" s="341"/>
      <c r="J535" s="341"/>
      <c r="K535" s="336"/>
      <c r="O535" s="336"/>
      <c r="P535" s="336"/>
      <c r="Q535" s="336"/>
      <c r="R535" s="336"/>
    </row>
    <row r="536" spans="1:18" x14ac:dyDescent="0.2">
      <c r="A536"/>
      <c r="B536" s="336"/>
      <c r="C536" s="336"/>
      <c r="D536" s="336"/>
      <c r="E536" s="336"/>
      <c r="F536" s="336"/>
      <c r="G536" s="336"/>
      <c r="H536" s="336"/>
      <c r="I536" s="341"/>
      <c r="J536" s="341"/>
      <c r="K536" s="336"/>
      <c r="O536" s="336"/>
      <c r="P536" s="336"/>
      <c r="Q536" s="336"/>
      <c r="R536" s="336"/>
    </row>
    <row r="537" spans="1:18" x14ac:dyDescent="0.2">
      <c r="A537"/>
      <c r="B537" s="336"/>
      <c r="C537" s="336"/>
      <c r="D537" s="336"/>
      <c r="E537" s="336"/>
      <c r="F537" s="336"/>
      <c r="G537" s="336"/>
      <c r="H537" s="336"/>
      <c r="I537" s="341"/>
      <c r="J537" s="341"/>
      <c r="K537" s="336"/>
      <c r="O537" s="336"/>
      <c r="P537" s="336"/>
      <c r="Q537" s="336"/>
      <c r="R537" s="336"/>
    </row>
    <row r="538" spans="1:18" x14ac:dyDescent="0.2">
      <c r="A538"/>
      <c r="B538" s="336"/>
      <c r="C538" s="336"/>
      <c r="D538" s="336"/>
      <c r="E538" s="336"/>
      <c r="F538" s="336"/>
      <c r="G538" s="336"/>
      <c r="H538" s="336"/>
      <c r="I538" s="341"/>
      <c r="J538" s="341"/>
      <c r="K538" s="336"/>
      <c r="O538" s="336"/>
      <c r="P538" s="336"/>
      <c r="Q538" s="336"/>
      <c r="R538" s="336"/>
    </row>
    <row r="539" spans="1:18" x14ac:dyDescent="0.2">
      <c r="A539"/>
      <c r="B539" s="336"/>
      <c r="C539" s="336"/>
      <c r="D539" s="336"/>
      <c r="E539" s="336"/>
      <c r="F539" s="336"/>
      <c r="G539" s="336"/>
      <c r="H539" s="336"/>
      <c r="I539" s="341"/>
      <c r="J539" s="341"/>
      <c r="K539" s="336"/>
      <c r="O539" s="336"/>
      <c r="P539" s="336"/>
      <c r="Q539" s="336"/>
      <c r="R539" s="336"/>
    </row>
    <row r="540" spans="1:18" x14ac:dyDescent="0.2">
      <c r="A540"/>
      <c r="B540" s="336"/>
      <c r="C540" s="336"/>
      <c r="D540" s="336"/>
      <c r="E540" s="336"/>
      <c r="F540" s="336"/>
      <c r="G540" s="336"/>
      <c r="H540" s="336"/>
      <c r="I540" s="341"/>
      <c r="J540" s="341"/>
      <c r="K540" s="336"/>
      <c r="O540" s="336"/>
      <c r="P540" s="336"/>
      <c r="Q540" s="336"/>
      <c r="R540" s="336"/>
    </row>
    <row r="541" spans="1:18" x14ac:dyDescent="0.2">
      <c r="A541"/>
      <c r="B541" s="336"/>
      <c r="C541" s="336"/>
      <c r="D541" s="336"/>
      <c r="E541" s="336"/>
      <c r="F541" s="336"/>
      <c r="G541" s="336"/>
      <c r="H541" s="336"/>
      <c r="I541" s="341"/>
      <c r="J541" s="341"/>
      <c r="K541" s="336"/>
      <c r="O541" s="336"/>
      <c r="P541" s="336"/>
      <c r="Q541" s="336"/>
      <c r="R541" s="336"/>
    </row>
    <row r="542" spans="1:18" x14ac:dyDescent="0.2">
      <c r="A542"/>
      <c r="B542" s="336"/>
      <c r="C542" s="336"/>
      <c r="D542" s="336"/>
      <c r="E542" s="336"/>
      <c r="F542" s="336"/>
      <c r="G542" s="336"/>
      <c r="H542" s="336"/>
      <c r="I542" s="341"/>
      <c r="J542" s="341"/>
      <c r="K542" s="336"/>
      <c r="O542" s="336"/>
      <c r="P542" s="336"/>
      <c r="Q542" s="336"/>
      <c r="R542" s="336"/>
    </row>
    <row r="543" spans="1:18" x14ac:dyDescent="0.2">
      <c r="A543"/>
      <c r="B543" s="336"/>
      <c r="C543" s="336"/>
      <c r="D543" s="336"/>
      <c r="E543" s="336"/>
      <c r="F543" s="336"/>
      <c r="G543" s="336"/>
      <c r="H543" s="336"/>
      <c r="I543" s="341"/>
      <c r="J543" s="341"/>
      <c r="K543" s="336"/>
      <c r="O543" s="336"/>
      <c r="P543" s="336"/>
      <c r="Q543" s="336"/>
      <c r="R543" s="336"/>
    </row>
    <row r="544" spans="1:18" x14ac:dyDescent="0.2">
      <c r="A544"/>
      <c r="B544" s="336"/>
      <c r="C544" s="336"/>
      <c r="D544" s="336"/>
      <c r="E544" s="336"/>
      <c r="F544" s="336"/>
      <c r="G544" s="336"/>
      <c r="H544" s="336"/>
      <c r="I544" s="341"/>
      <c r="J544" s="341"/>
      <c r="K544" s="336"/>
      <c r="O544" s="336"/>
      <c r="P544" s="336"/>
      <c r="Q544" s="336"/>
      <c r="R544" s="336"/>
    </row>
    <row r="545" spans="1:18" x14ac:dyDescent="0.2">
      <c r="A545"/>
      <c r="B545" s="336"/>
      <c r="C545" s="336"/>
      <c r="D545" s="336"/>
      <c r="E545" s="336"/>
      <c r="F545" s="336"/>
      <c r="G545" s="336"/>
      <c r="H545" s="336"/>
      <c r="I545" s="341"/>
      <c r="J545" s="341"/>
      <c r="K545" s="336"/>
      <c r="O545" s="336"/>
      <c r="P545" s="336"/>
      <c r="Q545" s="336"/>
      <c r="R545" s="336"/>
    </row>
    <row r="546" spans="1:18" x14ac:dyDescent="0.2">
      <c r="A546"/>
      <c r="B546" s="336"/>
      <c r="C546" s="336"/>
      <c r="D546" s="336"/>
      <c r="E546" s="336"/>
      <c r="F546" s="336"/>
      <c r="G546" s="336"/>
      <c r="H546" s="336"/>
      <c r="I546" s="341"/>
      <c r="J546" s="341"/>
      <c r="K546" s="336"/>
      <c r="O546" s="336"/>
      <c r="P546" s="336"/>
      <c r="Q546" s="336"/>
      <c r="R546" s="336"/>
    </row>
    <row r="547" spans="1:18" x14ac:dyDescent="0.2">
      <c r="A547"/>
      <c r="B547" s="336"/>
      <c r="C547" s="336"/>
      <c r="D547" s="336"/>
      <c r="E547" s="336"/>
      <c r="F547" s="336"/>
      <c r="G547" s="336"/>
      <c r="H547" s="336"/>
      <c r="I547" s="341"/>
      <c r="J547" s="341"/>
      <c r="K547" s="336"/>
      <c r="O547" s="336"/>
      <c r="P547" s="336"/>
      <c r="Q547" s="336"/>
      <c r="R547" s="336"/>
    </row>
    <row r="548" spans="1:18" x14ac:dyDescent="0.2">
      <c r="A548"/>
      <c r="B548" s="336"/>
      <c r="C548" s="336"/>
      <c r="D548" s="336"/>
      <c r="E548" s="336"/>
      <c r="F548" s="336"/>
      <c r="G548" s="336"/>
      <c r="H548" s="336"/>
      <c r="I548" s="341"/>
      <c r="J548" s="341"/>
      <c r="K548" s="336"/>
      <c r="O548" s="336"/>
      <c r="P548" s="336"/>
      <c r="Q548" s="336"/>
      <c r="R548" s="336"/>
    </row>
    <row r="549" spans="1:18" x14ac:dyDescent="0.2">
      <c r="A549"/>
    </row>
    <row r="550" spans="1:18" x14ac:dyDescent="0.2">
      <c r="A550"/>
    </row>
    <row r="551" spans="1:18" x14ac:dyDescent="0.2">
      <c r="A551"/>
    </row>
    <row r="552" spans="1:18" x14ac:dyDescent="0.2">
      <c r="A552"/>
    </row>
    <row r="553" spans="1:18" x14ac:dyDescent="0.2">
      <c r="A553"/>
    </row>
    <row r="554" spans="1:18" x14ac:dyDescent="0.2">
      <c r="A554"/>
    </row>
    <row r="555" spans="1:18" x14ac:dyDescent="0.2">
      <c r="A555"/>
    </row>
    <row r="556" spans="1:18" x14ac:dyDescent="0.2">
      <c r="A556"/>
    </row>
    <row r="557" spans="1:18" x14ac:dyDescent="0.2">
      <c r="A557"/>
    </row>
    <row r="558" spans="1:18" x14ac:dyDescent="0.2">
      <c r="A558"/>
    </row>
    <row r="559" spans="1:18" x14ac:dyDescent="0.2">
      <c r="A559"/>
    </row>
    <row r="560" spans="1:18" x14ac:dyDescent="0.2">
      <c r="A560"/>
    </row>
    <row r="561" spans="1:1" x14ac:dyDescent="0.2">
      <c r="A561"/>
    </row>
    <row r="562" spans="1:1" x14ac:dyDescent="0.2">
      <c r="A562"/>
    </row>
    <row r="563" spans="1:1" x14ac:dyDescent="0.2">
      <c r="A563"/>
    </row>
    <row r="564" spans="1:1" x14ac:dyDescent="0.2">
      <c r="A564"/>
    </row>
    <row r="565" spans="1:1" x14ac:dyDescent="0.2">
      <c r="A565"/>
    </row>
    <row r="566" spans="1:1" x14ac:dyDescent="0.2">
      <c r="A566"/>
    </row>
    <row r="567" spans="1:1" x14ac:dyDescent="0.2">
      <c r="A567"/>
    </row>
    <row r="568" spans="1:1" x14ac:dyDescent="0.2">
      <c r="A568"/>
    </row>
    <row r="569" spans="1:1" x14ac:dyDescent="0.2">
      <c r="A569"/>
    </row>
    <row r="570" spans="1:1" x14ac:dyDescent="0.2">
      <c r="A570"/>
    </row>
    <row r="571" spans="1:1" x14ac:dyDescent="0.2">
      <c r="A571"/>
    </row>
    <row r="572" spans="1:1" x14ac:dyDescent="0.2">
      <c r="A572"/>
    </row>
    <row r="573" spans="1:1" x14ac:dyDescent="0.2">
      <c r="A573"/>
    </row>
    <row r="574" spans="1:1" x14ac:dyDescent="0.2">
      <c r="A574"/>
    </row>
    <row r="575" spans="1:1" x14ac:dyDescent="0.2">
      <c r="A575"/>
    </row>
    <row r="576" spans="1:1" x14ac:dyDescent="0.2">
      <c r="A576"/>
    </row>
    <row r="577" spans="1:1" x14ac:dyDescent="0.2">
      <c r="A577"/>
    </row>
    <row r="578" spans="1:1" x14ac:dyDescent="0.2">
      <c r="A578"/>
    </row>
    <row r="579" spans="1:1" x14ac:dyDescent="0.2">
      <c r="A579"/>
    </row>
    <row r="580" spans="1:1" x14ac:dyDescent="0.2">
      <c r="A580"/>
    </row>
    <row r="581" spans="1:1" x14ac:dyDescent="0.2">
      <c r="A581"/>
    </row>
    <row r="582" spans="1:1" x14ac:dyDescent="0.2">
      <c r="A582"/>
    </row>
    <row r="583" spans="1:1" x14ac:dyDescent="0.2">
      <c r="A583"/>
    </row>
    <row r="584" spans="1:1" x14ac:dyDescent="0.2">
      <c r="A584"/>
    </row>
    <row r="585" spans="1:1" x14ac:dyDescent="0.2">
      <c r="A585"/>
    </row>
    <row r="586" spans="1:1" x14ac:dyDescent="0.2">
      <c r="A586"/>
    </row>
    <row r="587" spans="1:1" x14ac:dyDescent="0.2">
      <c r="A587"/>
    </row>
    <row r="588" spans="1:1" x14ac:dyDescent="0.2">
      <c r="A588"/>
    </row>
    <row r="589" spans="1:1" x14ac:dyDescent="0.2">
      <c r="A589"/>
    </row>
    <row r="590" spans="1:1" x14ac:dyDescent="0.2">
      <c r="A590"/>
    </row>
    <row r="591" spans="1:1" x14ac:dyDescent="0.2">
      <c r="A591"/>
    </row>
    <row r="592" spans="1:1" x14ac:dyDescent="0.2">
      <c r="A592"/>
    </row>
    <row r="593" spans="1:1" x14ac:dyDescent="0.2">
      <c r="A593"/>
    </row>
    <row r="594" spans="1:1" x14ac:dyDescent="0.2">
      <c r="A594"/>
    </row>
    <row r="595" spans="1:1" x14ac:dyDescent="0.2">
      <c r="A595"/>
    </row>
    <row r="596" spans="1:1" x14ac:dyDescent="0.2">
      <c r="A596"/>
    </row>
    <row r="597" spans="1:1" x14ac:dyDescent="0.2">
      <c r="A597"/>
    </row>
    <row r="598" spans="1:1" x14ac:dyDescent="0.2">
      <c r="A598"/>
    </row>
    <row r="599" spans="1:1" x14ac:dyDescent="0.2">
      <c r="A599"/>
    </row>
    <row r="600" spans="1:1" x14ac:dyDescent="0.2">
      <c r="A600"/>
    </row>
  </sheetData>
  <sortState ref="D1:D600">
    <sortCondition ref="D1"/>
  </sortState>
  <pageMargins left="0.7" right="0.7" top="0.75" bottom="0.75" header="0.3" footer="0.3"/>
  <pageSetup scale="4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SaveDataBase">
                <anchor>
                  <from>
                    <xdr:col>0</xdr:col>
                    <xdr:colOff>0</xdr:colOff>
                    <xdr:row>0</xdr:row>
                    <xdr:rowOff>0</xdr:rowOff>
                  </from>
                  <to>
                    <xdr:col>5</xdr:col>
                    <xdr:colOff>1371600</xdr:colOff>
                    <xdr:row>0</xdr:row>
                    <xdr:rowOff>438150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D">
    <tabColor rgb="FF7030A0"/>
  </sheetPr>
  <dimension ref="A1:T170"/>
  <sheetViews>
    <sheetView view="pageBreakPreview" zoomScaleNormal="70" zoomScaleSheetLayoutView="100" workbookViewId="0">
      <selection activeCell="K8" sqref="K8"/>
    </sheetView>
  </sheetViews>
  <sheetFormatPr defaultRowHeight="15.75" x14ac:dyDescent="0.2"/>
  <cols>
    <col min="1" max="1" width="1.5703125" style="330" customWidth="1"/>
    <col min="2" max="2" width="4" style="429" customWidth="1"/>
    <col min="3" max="3" width="15.7109375" style="399" customWidth="1"/>
    <col min="4" max="4" width="11.42578125" style="399" customWidth="1"/>
    <col min="5" max="5" width="2.42578125" style="399" customWidth="1"/>
    <col min="6" max="6" width="15.7109375" style="399" customWidth="1"/>
    <col min="7" max="7" width="6.42578125" style="399" bestFit="1" customWidth="1"/>
    <col min="8" max="8" width="1.42578125" style="399" customWidth="1"/>
    <col min="9" max="9" width="5.85546875" style="399" customWidth="1"/>
    <col min="10" max="10" width="16.5703125" style="399" customWidth="1"/>
    <col min="11" max="11" width="14.140625" style="399" customWidth="1"/>
    <col min="12" max="12" width="1" style="399" customWidth="1"/>
    <col min="13" max="13" width="12.5703125" style="399" customWidth="1"/>
    <col min="14" max="14" width="5.5703125" style="399" customWidth="1"/>
    <col min="15" max="15" width="6.85546875" style="399" customWidth="1"/>
    <col min="16" max="16" width="1.85546875" style="330" customWidth="1"/>
    <col min="17" max="17" width="9.140625" style="430"/>
    <col min="18" max="18" width="10.42578125" style="399" bestFit="1" customWidth="1"/>
    <col min="19" max="16384" width="9.140625" style="399"/>
  </cols>
  <sheetData>
    <row r="1" spans="1:18" s="429" customFormat="1" ht="12" customHeight="1" thickBot="1" x14ac:dyDescent="0.25">
      <c r="A1" s="427"/>
      <c r="B1" s="427"/>
      <c r="C1" s="427"/>
      <c r="D1" s="427"/>
      <c r="E1" s="427"/>
      <c r="F1" s="427"/>
      <c r="G1" s="427"/>
      <c r="H1" s="427"/>
      <c r="I1" s="427"/>
      <c r="J1" s="427"/>
      <c r="K1" s="427"/>
      <c r="L1" s="427"/>
      <c r="M1" s="427"/>
      <c r="N1" s="427"/>
      <c r="O1" s="427"/>
      <c r="P1" s="427"/>
      <c r="Q1" s="428"/>
    </row>
    <row r="2" spans="1:18" ht="14.1" customHeight="1" thickBot="1" x14ac:dyDescent="0.25">
      <c r="A2" s="427"/>
      <c r="B2" s="386"/>
      <c r="C2" s="387"/>
      <c r="D2" s="387"/>
      <c r="E2" s="387"/>
      <c r="F2" s="388" t="s">
        <v>30</v>
      </c>
      <c r="G2" s="632" t="str">
        <f>IF(T.OC_!M15="","",MID(T.OC_!M15,4,5))</f>
        <v>15212</v>
      </c>
      <c r="H2" s="633"/>
      <c r="I2" s="633"/>
      <c r="J2" s="389" t="str">
        <f>IF(T.OC_!M15="","",RIGHT(T.OC_!M15,5))</f>
        <v>00143</v>
      </c>
      <c r="K2" s="390" t="str">
        <f>"LD"&amp;"/"&amp;G2&amp;"/"&amp;J2</f>
        <v>LD/15212/00143</v>
      </c>
      <c r="L2" s="391"/>
      <c r="M2" s="640" t="str">
        <f>"LD"&amp;G2&amp;J2</f>
        <v>LD1521200143</v>
      </c>
      <c r="N2" s="640"/>
      <c r="O2" s="641"/>
      <c r="P2" s="427"/>
    </row>
    <row r="3" spans="1:18" ht="5.25" customHeight="1" thickBot="1" x14ac:dyDescent="0.25">
      <c r="A3" s="427"/>
      <c r="B3" s="392"/>
      <c r="C3" s="376"/>
      <c r="D3" s="376"/>
      <c r="E3" s="376"/>
      <c r="F3" s="376"/>
      <c r="G3" s="376"/>
      <c r="H3" s="376"/>
      <c r="I3" s="376"/>
      <c r="J3" s="376"/>
      <c r="K3" s="376"/>
      <c r="L3" s="376"/>
      <c r="M3" s="376"/>
      <c r="N3" s="393"/>
      <c r="O3" s="394"/>
      <c r="P3" s="427"/>
    </row>
    <row r="4" spans="1:18" ht="15.75" customHeight="1" thickBot="1" x14ac:dyDescent="0.25">
      <c r="A4" s="427"/>
      <c r="B4" s="392"/>
      <c r="C4" s="646" t="s">
        <v>29</v>
      </c>
      <c r="D4" s="646"/>
      <c r="E4" s="646"/>
      <c r="F4" s="395">
        <f>MIN(T.OC_!A21:A95)</f>
        <v>42216</v>
      </c>
      <c r="G4" s="376"/>
      <c r="H4" s="376"/>
      <c r="I4" s="646" t="s">
        <v>652</v>
      </c>
      <c r="J4" s="646"/>
      <c r="K4" s="389">
        <f>VALUE(IF(T.OC_!O16="","",LEFT(T.OC_!O16,FIND(" ",T.OC_!O16)-1)))</f>
        <v>10</v>
      </c>
      <c r="L4" s="376"/>
      <c r="M4" s="388" t="s">
        <v>24</v>
      </c>
      <c r="N4" s="647">
        <f>VALUE(MID(T.OC_!O17,1,LEN(T.OC_!O17)-1))</f>
        <v>0.6</v>
      </c>
      <c r="O4" s="647"/>
      <c r="P4" s="427"/>
      <c r="Q4" s="431" t="s">
        <v>465</v>
      </c>
      <c r="R4" s="321">
        <v>2</v>
      </c>
    </row>
    <row r="5" spans="1:18" ht="3.95" customHeight="1" thickBot="1" x14ac:dyDescent="0.25">
      <c r="A5" s="427"/>
      <c r="B5" s="392"/>
      <c r="C5" s="376"/>
      <c r="D5" s="634" t="str">
        <f>T.Convert!G2</f>
        <v>«31» İyul 2015-ci il</v>
      </c>
      <c r="E5" s="634"/>
      <c r="F5" s="634"/>
      <c r="G5" s="634"/>
      <c r="H5" s="376"/>
      <c r="I5" s="444"/>
      <c r="J5" s="444"/>
      <c r="K5" s="380" t="str">
        <f>T.Convert!F39</f>
        <v xml:space="preserve">on </v>
      </c>
      <c r="L5" s="376"/>
      <c r="M5" s="330"/>
      <c r="N5" s="630" t="str">
        <f>T.Convert!BA38</f>
        <v>sıfır</v>
      </c>
      <c r="O5" s="635"/>
      <c r="P5" s="427"/>
    </row>
    <row r="6" spans="1:18" ht="15.75" customHeight="1" thickBot="1" x14ac:dyDescent="0.25">
      <c r="A6" s="427"/>
      <c r="B6" s="392"/>
      <c r="C6" s="646" t="s">
        <v>28</v>
      </c>
      <c r="D6" s="646"/>
      <c r="E6" s="646"/>
      <c r="F6" s="395">
        <f>MAX(T.OC_!A21:A95)</f>
        <v>42521</v>
      </c>
      <c r="G6" s="376"/>
      <c r="H6" s="376"/>
      <c r="I6" s="646" t="s">
        <v>27</v>
      </c>
      <c r="J6" s="646"/>
      <c r="K6" s="437">
        <f>COUNTIF(T.OC_!E21:E95,0)</f>
        <v>0</v>
      </c>
      <c r="L6" s="376">
        <v>0</v>
      </c>
      <c r="M6" s="396" t="s">
        <v>653</v>
      </c>
      <c r="N6" s="649">
        <f>VALUE(IF(T.OC_!O18="","",LEFT(T.OC_!O18,1)))</f>
        <v>1</v>
      </c>
      <c r="O6" s="650"/>
      <c r="P6" s="427"/>
      <c r="Q6" s="349" t="b">
        <v>0</v>
      </c>
    </row>
    <row r="7" spans="1:18" ht="3.95" customHeight="1" thickBot="1" x14ac:dyDescent="0.25">
      <c r="A7" s="427"/>
      <c r="B7" s="392"/>
      <c r="C7" s="376"/>
      <c r="D7" s="634" t="str">
        <f>T.Convert!Z2</f>
        <v>«31» May 2016-cı il</v>
      </c>
      <c r="E7" s="634"/>
      <c r="F7" s="634"/>
      <c r="G7" s="634"/>
      <c r="H7" s="376"/>
      <c r="I7" s="376"/>
      <c r="J7" s="376"/>
      <c r="K7" s="380" t="str">
        <f>T.Convert!AR39</f>
        <v>sıfır</v>
      </c>
      <c r="L7" s="376"/>
      <c r="M7" s="376"/>
      <c r="N7" s="380" t="str">
        <f>T.Convert!A93</f>
        <v xml:space="preserve">bir </v>
      </c>
      <c r="O7" s="398" t="str">
        <f>T.Convert!C50</f>
        <v/>
      </c>
      <c r="P7" s="427"/>
    </row>
    <row r="8" spans="1:18" ht="16.5" customHeight="1" thickBot="1" x14ac:dyDescent="0.25">
      <c r="A8" s="427"/>
      <c r="B8" s="392"/>
      <c r="C8" s="646" t="s">
        <v>641</v>
      </c>
      <c r="D8" s="646"/>
      <c r="E8" s="646"/>
      <c r="F8" s="345" t="s">
        <v>747</v>
      </c>
      <c r="G8" s="376"/>
      <c r="H8" s="376"/>
      <c r="I8" s="646" t="s">
        <v>880</v>
      </c>
      <c r="J8" s="646"/>
      <c r="K8" s="345" t="s">
        <v>944</v>
      </c>
      <c r="L8" s="376"/>
      <c r="M8" s="396" t="s">
        <v>26</v>
      </c>
      <c r="N8" s="649" t="str">
        <f>TEXT(ROUND(FIFD!B11*100,2),"#.##")</f>
        <v>2.8</v>
      </c>
      <c r="O8" s="650"/>
      <c r="P8" s="427"/>
      <c r="Q8" s="430">
        <f>VLOOKUP($K$8,T.Convert!$BQ$2:$BR$8,2,FALSE)</f>
        <v>4</v>
      </c>
    </row>
    <row r="9" spans="1:18" ht="3.95" customHeight="1" collapsed="1" x14ac:dyDescent="0.2">
      <c r="A9" s="427"/>
      <c r="B9" s="392"/>
      <c r="C9" s="376"/>
      <c r="D9" s="376"/>
      <c r="E9" s="376"/>
      <c r="F9" s="376"/>
      <c r="G9" s="376"/>
      <c r="H9" s="376"/>
      <c r="L9" s="376"/>
      <c r="M9" s="376"/>
      <c r="O9" s="503"/>
      <c r="P9" s="427"/>
    </row>
    <row r="10" spans="1:18" s="483" customFormat="1" ht="15.75" customHeight="1" x14ac:dyDescent="0.2">
      <c r="A10" s="427"/>
      <c r="B10" s="392"/>
      <c r="C10" s="376"/>
      <c r="D10" s="376"/>
      <c r="E10" s="376"/>
      <c r="F10" s="643" t="s">
        <v>927</v>
      </c>
      <c r="G10" s="643"/>
      <c r="H10" s="643"/>
      <c r="I10" s="643"/>
      <c r="J10" s="643"/>
      <c r="L10" s="376"/>
      <c r="M10" s="376"/>
      <c r="O10" s="503"/>
      <c r="P10" s="427"/>
      <c r="Q10" s="430"/>
    </row>
    <row r="11" spans="1:18" s="483" customFormat="1" ht="3.95" customHeight="1" thickBot="1" x14ac:dyDescent="0.25">
      <c r="A11" s="427"/>
      <c r="B11" s="392"/>
      <c r="C11" s="376"/>
      <c r="D11" s="376"/>
      <c r="E11" s="376"/>
      <c r="F11" s="376"/>
      <c r="G11" s="376"/>
      <c r="H11" s="376"/>
      <c r="L11" s="376"/>
      <c r="M11" s="376"/>
      <c r="O11" s="503"/>
      <c r="P11" s="427"/>
      <c r="Q11" s="430"/>
    </row>
    <row r="12" spans="1:18" s="483" customFormat="1" ht="16.5" customHeight="1" thickBot="1" x14ac:dyDescent="0.25">
      <c r="A12" s="427"/>
      <c r="B12" s="392"/>
      <c r="C12" s="499" t="s">
        <v>928</v>
      </c>
      <c r="D12" s="347" t="s">
        <v>942</v>
      </c>
      <c r="E12" s="422"/>
      <c r="F12" s="388" t="s">
        <v>30</v>
      </c>
      <c r="G12" s="622" t="s">
        <v>930</v>
      </c>
      <c r="H12" s="651"/>
      <c r="I12" s="623"/>
      <c r="K12" s="624" t="s">
        <v>929</v>
      </c>
      <c r="L12" s="625"/>
      <c r="M12" s="622">
        <v>963.03</v>
      </c>
      <c r="N12" s="623"/>
      <c r="O12" s="503"/>
      <c r="P12" s="427"/>
      <c r="Q12" s="430"/>
    </row>
    <row r="13" spans="1:18" s="502" customFormat="1" ht="7.5" customHeight="1" x14ac:dyDescent="0.2">
      <c r="A13" s="501"/>
      <c r="B13" s="412"/>
      <c r="C13" s="634" t="str">
        <f>T.Convert!AS2</f>
        <v>«27» İyul 2014-cü il</v>
      </c>
      <c r="D13" s="634"/>
      <c r="E13" s="498"/>
      <c r="F13" s="498"/>
      <c r="G13" s="498"/>
      <c r="H13" s="498"/>
      <c r="K13" s="626" t="str">
        <f>OLD_MEBLEQ&amp;" USD ("&amp;T.Convert!BI17&amp;")"</f>
        <v>963.03 USD (doqquz yüz altmış üç  ABŞ dolları 3 sent)</v>
      </c>
      <c r="L13" s="626"/>
      <c r="M13" s="626"/>
      <c r="N13" s="626"/>
      <c r="O13" s="503"/>
      <c r="P13" s="501"/>
    </row>
    <row r="14" spans="1:18" ht="15.75" customHeight="1" x14ac:dyDescent="0.2">
      <c r="A14" s="427"/>
      <c r="B14" s="642" t="s">
        <v>23</v>
      </c>
      <c r="C14" s="643"/>
      <c r="D14" s="643"/>
      <c r="E14" s="643"/>
      <c r="F14" s="643"/>
      <c r="G14" s="643"/>
      <c r="H14" s="643"/>
      <c r="I14" s="643"/>
      <c r="J14" s="643"/>
      <c r="K14" s="643"/>
      <c r="L14" s="643"/>
      <c r="M14" s="643"/>
      <c r="N14" s="643"/>
      <c r="O14" s="644"/>
      <c r="P14" s="427"/>
    </row>
    <row r="15" spans="1:18" ht="3.95" customHeight="1" thickBot="1" x14ac:dyDescent="0.25">
      <c r="A15" s="427"/>
      <c r="B15" s="392"/>
      <c r="C15" s="376"/>
      <c r="D15" s="376"/>
      <c r="E15" s="376"/>
      <c r="F15" s="376"/>
      <c r="G15" s="376"/>
      <c r="H15" s="376"/>
      <c r="I15" s="376"/>
      <c r="J15" s="376"/>
      <c r="K15" s="376"/>
      <c r="L15" s="376"/>
      <c r="M15" s="376"/>
      <c r="N15" s="376"/>
      <c r="O15" s="398"/>
      <c r="P15" s="427"/>
    </row>
    <row r="16" spans="1:18" ht="16.5" thickBot="1" x14ac:dyDescent="0.25">
      <c r="A16" s="427"/>
      <c r="B16" s="392"/>
      <c r="C16" s="396" t="s">
        <v>5</v>
      </c>
      <c r="D16" s="624" t="s">
        <v>2</v>
      </c>
      <c r="E16" s="625"/>
      <c r="F16" s="624" t="s">
        <v>1</v>
      </c>
      <c r="G16" s="639"/>
      <c r="H16" s="625"/>
      <c r="I16" s="376"/>
      <c r="J16" s="629" t="s">
        <v>18</v>
      </c>
      <c r="K16" s="629"/>
      <c r="L16" s="376"/>
      <c r="M16" s="648" t="s">
        <v>17</v>
      </c>
      <c r="N16" s="648"/>
      <c r="O16" s="648"/>
      <c r="P16" s="427"/>
      <c r="R16" s="436"/>
    </row>
    <row r="17" spans="1:20" ht="16.5" customHeight="1" thickBot="1" x14ac:dyDescent="0.25">
      <c r="A17" s="427"/>
      <c r="B17" s="392"/>
      <c r="C17" s="347" t="s">
        <v>795</v>
      </c>
      <c r="D17" s="637" t="s">
        <v>796</v>
      </c>
      <c r="E17" s="637"/>
      <c r="F17" s="347" t="s">
        <v>797</v>
      </c>
      <c r="G17" s="645" t="s">
        <v>339</v>
      </c>
      <c r="H17" s="645"/>
      <c r="I17" s="376"/>
      <c r="J17" s="637" t="s">
        <v>798</v>
      </c>
      <c r="K17" s="637"/>
      <c r="L17" s="330"/>
      <c r="M17" s="637"/>
      <c r="N17" s="637"/>
      <c r="O17" s="637"/>
      <c r="P17" s="427"/>
      <c r="R17" s="683"/>
      <c r="S17" s="683"/>
      <c r="T17" s="683"/>
    </row>
    <row r="18" spans="1:20" ht="3.95" customHeight="1" thickBot="1" x14ac:dyDescent="0.25">
      <c r="A18" s="427"/>
      <c r="B18" s="392"/>
      <c r="C18" s="376"/>
      <c r="D18" s="376"/>
      <c r="E18" s="376"/>
      <c r="F18" s="376"/>
      <c r="G18" s="376"/>
      <c r="H18" s="376"/>
      <c r="I18" s="376"/>
      <c r="J18" s="376"/>
      <c r="K18" s="376"/>
      <c r="L18" s="376"/>
      <c r="M18" s="376"/>
      <c r="N18" s="376"/>
      <c r="O18" s="398"/>
      <c r="P18" s="427"/>
    </row>
    <row r="19" spans="1:20" ht="16.5" thickBot="1" x14ac:dyDescent="0.25">
      <c r="A19" s="427"/>
      <c r="B19" s="392"/>
      <c r="C19" s="376"/>
      <c r="D19" s="629" t="s">
        <v>16</v>
      </c>
      <c r="E19" s="629"/>
      <c r="F19" s="629"/>
      <c r="G19" s="629" t="s">
        <v>15</v>
      </c>
      <c r="H19" s="629"/>
      <c r="I19" s="629"/>
      <c r="J19" s="629" t="s">
        <v>14</v>
      </c>
      <c r="K19" s="629"/>
      <c r="L19" s="376"/>
      <c r="M19" s="629" t="s">
        <v>22</v>
      </c>
      <c r="N19" s="629"/>
      <c r="O19" s="629"/>
      <c r="P19" s="427"/>
      <c r="R19" s="432"/>
      <c r="T19" s="433"/>
    </row>
    <row r="20" spans="1:20" ht="15.75" customHeight="1" collapsed="1" thickBot="1" x14ac:dyDescent="0.25">
      <c r="A20" s="427"/>
      <c r="B20" s="392"/>
      <c r="C20" s="396" t="s">
        <v>406</v>
      </c>
      <c r="D20" s="645" t="s">
        <v>586</v>
      </c>
      <c r="E20" s="645"/>
      <c r="F20" s="331" t="s">
        <v>799</v>
      </c>
      <c r="G20" s="638">
        <v>41786</v>
      </c>
      <c r="H20" s="638"/>
      <c r="I20" s="638"/>
      <c r="J20" s="329" t="s">
        <v>776</v>
      </c>
      <c r="K20" s="329" t="s">
        <v>591</v>
      </c>
      <c r="L20" s="376"/>
      <c r="M20" s="379" t="str">
        <f>IF(T.OC_!M18="","",SUBSTITUTE(T.OC_!M18,",","",1))</f>
        <v>1000.00</v>
      </c>
      <c r="N20" s="636" t="str">
        <f>IF(T.OC_!O15="AZN","AZN",IF(T.OC_!O15="AZM","AZN",IF(T.OC_!O15="USD","USD")))</f>
        <v>AZN</v>
      </c>
      <c r="O20" s="636"/>
      <c r="P20" s="427"/>
    </row>
    <row r="21" spans="1:20" ht="3.95" customHeight="1" thickBot="1" x14ac:dyDescent="0.25">
      <c r="A21" s="427"/>
      <c r="B21" s="392"/>
      <c r="C21" s="376"/>
      <c r="D21" s="630" t="str">
        <f>D20 &amp; " "&amp;F20</f>
        <v>AZE № 14577224</v>
      </c>
      <c r="E21" s="630"/>
      <c r="F21" s="630"/>
      <c r="G21" s="634" t="str">
        <f>T.Convert!G60</f>
        <v>«27» May 2014-cü il</v>
      </c>
      <c r="H21" s="634"/>
      <c r="I21" s="634"/>
      <c r="J21" s="630" t="str">
        <f>J20&amp;" "&amp;K20</f>
        <v>Mingəçevir ŞPŞ</v>
      </c>
      <c r="K21" s="630"/>
      <c r="L21" s="378"/>
      <c r="M21" s="380" t="str">
        <f>T.Convert!A20</f>
        <v xml:space="preserve">bir min </v>
      </c>
      <c r="N21" s="630" t="str">
        <f>VLOOKUP(PUL_VAHIDI,DataBase!O2:P5,2,FALSE)</f>
        <v>manat</v>
      </c>
      <c r="O21" s="635"/>
      <c r="P21" s="427"/>
    </row>
    <row r="22" spans="1:20" ht="31.5" customHeight="1" thickBot="1" x14ac:dyDescent="0.25">
      <c r="A22" s="427"/>
      <c r="B22" s="392"/>
      <c r="C22" s="400" t="s">
        <v>521</v>
      </c>
      <c r="D22" s="645" t="s">
        <v>777</v>
      </c>
      <c r="E22" s="645"/>
      <c r="F22" s="371" t="s">
        <v>800</v>
      </c>
      <c r="G22" s="637"/>
      <c r="H22" s="637"/>
      <c r="I22" s="637"/>
      <c r="J22" s="636" t="str">
        <f>D22&amp;" "&amp;F22&amp;" "&amp;G22</f>
        <v xml:space="preserve">Mingəçevir şəh., H.Əliyev PR., ev. 76/1, m. 22 </v>
      </c>
      <c r="K22" s="636"/>
      <c r="L22" s="636"/>
      <c r="M22" s="396" t="s">
        <v>20</v>
      </c>
      <c r="N22" s="638">
        <v>28635</v>
      </c>
      <c r="O22" s="638"/>
      <c r="P22" s="427"/>
    </row>
    <row r="23" spans="1:20" ht="29.25" customHeight="1" thickBot="1" x14ac:dyDescent="0.25">
      <c r="A23" s="427"/>
      <c r="B23" s="392"/>
      <c r="C23" s="400" t="s">
        <v>520</v>
      </c>
      <c r="D23" s="645" t="s">
        <v>777</v>
      </c>
      <c r="E23" s="645"/>
      <c r="F23" s="371" t="s">
        <v>800</v>
      </c>
      <c r="G23" s="637"/>
      <c r="H23" s="637"/>
      <c r="I23" s="637"/>
      <c r="J23" s="636" t="str">
        <f>D23&amp;" "&amp;F23&amp;" "&amp;G23</f>
        <v xml:space="preserve">Mingəçevir şəh., H.Əliyev PR., ev. 76/1, m. 22 </v>
      </c>
      <c r="K23" s="636"/>
      <c r="L23" s="636"/>
      <c r="M23" s="376"/>
      <c r="N23" s="376"/>
      <c r="O23" s="398"/>
      <c r="P23" s="427"/>
    </row>
    <row r="24" spans="1:20" x14ac:dyDescent="0.2">
      <c r="A24" s="427"/>
      <c r="B24" s="642" t="s">
        <v>495</v>
      </c>
      <c r="C24" s="643"/>
      <c r="D24" s="643"/>
      <c r="E24" s="643"/>
      <c r="F24" s="643"/>
      <c r="G24" s="643"/>
      <c r="H24" s="643"/>
      <c r="I24" s="643"/>
      <c r="J24" s="643"/>
      <c r="K24" s="643"/>
      <c r="L24" s="643"/>
      <c r="M24" s="643"/>
      <c r="N24" s="643"/>
      <c r="O24" s="644"/>
      <c r="P24" s="427"/>
    </row>
    <row r="25" spans="1:20" ht="3.95" customHeight="1" thickBot="1" x14ac:dyDescent="0.25">
      <c r="A25" s="427"/>
      <c r="B25" s="392"/>
      <c r="C25" s="376"/>
      <c r="D25" s="376"/>
      <c r="E25" s="376"/>
      <c r="F25" s="376"/>
      <c r="G25" s="376"/>
      <c r="H25" s="376"/>
      <c r="I25" s="376"/>
      <c r="J25" s="376"/>
      <c r="K25" s="376"/>
      <c r="L25" s="376"/>
      <c r="M25" s="376"/>
      <c r="N25" s="376"/>
      <c r="O25" s="398"/>
      <c r="P25" s="427"/>
    </row>
    <row r="26" spans="1:20" ht="16.5" thickBot="1" x14ac:dyDescent="0.25">
      <c r="A26" s="427"/>
      <c r="B26" s="392"/>
      <c r="C26" s="396" t="s">
        <v>5</v>
      </c>
      <c r="D26" s="629" t="s">
        <v>2</v>
      </c>
      <c r="E26" s="629"/>
      <c r="F26" s="396" t="s">
        <v>1</v>
      </c>
      <c r="G26" s="629"/>
      <c r="H26" s="629"/>
      <c r="I26" s="376"/>
      <c r="J26" s="629" t="s">
        <v>18</v>
      </c>
      <c r="K26" s="629"/>
      <c r="L26" s="376"/>
      <c r="M26" s="648" t="s">
        <v>17</v>
      </c>
      <c r="N26" s="648"/>
      <c r="O26" s="648"/>
      <c r="P26" s="427"/>
    </row>
    <row r="27" spans="1:20" ht="16.5" thickBot="1" x14ac:dyDescent="0.25">
      <c r="A27" s="427"/>
      <c r="B27" s="392"/>
      <c r="C27" s="347" t="s">
        <v>801</v>
      </c>
      <c r="D27" s="637" t="s">
        <v>802</v>
      </c>
      <c r="E27" s="637"/>
      <c r="F27" s="347" t="s">
        <v>803</v>
      </c>
      <c r="G27" s="645" t="s">
        <v>339</v>
      </c>
      <c r="H27" s="645"/>
      <c r="I27" s="376"/>
      <c r="J27" s="637" t="s">
        <v>804</v>
      </c>
      <c r="K27" s="637"/>
      <c r="L27" s="330"/>
      <c r="M27" s="637"/>
      <c r="N27" s="637"/>
      <c r="O27" s="637"/>
      <c r="P27" s="427"/>
    </row>
    <row r="28" spans="1:20" ht="3.95" customHeight="1" thickBot="1" x14ac:dyDescent="0.25">
      <c r="A28" s="427"/>
      <c r="B28" s="392"/>
      <c r="C28" s="376"/>
      <c r="D28" s="376"/>
      <c r="E28" s="376"/>
      <c r="F28" s="376"/>
      <c r="G28" s="376"/>
      <c r="H28" s="376"/>
      <c r="I28" s="376"/>
      <c r="J28" s="376"/>
      <c r="K28" s="376"/>
      <c r="L28" s="376"/>
      <c r="M28" s="376"/>
      <c r="N28" s="376"/>
      <c r="O28" s="398"/>
      <c r="P28" s="427"/>
    </row>
    <row r="29" spans="1:20" ht="16.5" thickBot="1" x14ac:dyDescent="0.25">
      <c r="A29" s="427"/>
      <c r="B29" s="392"/>
      <c r="C29" s="376"/>
      <c r="D29" s="629" t="s">
        <v>16</v>
      </c>
      <c r="E29" s="629"/>
      <c r="F29" s="629"/>
      <c r="G29" s="629" t="s">
        <v>15</v>
      </c>
      <c r="H29" s="629"/>
      <c r="I29" s="629"/>
      <c r="J29" s="629" t="s">
        <v>14</v>
      </c>
      <c r="K29" s="629"/>
      <c r="L29" s="376"/>
      <c r="M29" s="376"/>
      <c r="N29" s="376"/>
      <c r="O29" s="398"/>
      <c r="P29" s="427"/>
    </row>
    <row r="30" spans="1:20" ht="15.75" customHeight="1" thickBot="1" x14ac:dyDescent="0.25">
      <c r="A30" s="427"/>
      <c r="B30" s="392"/>
      <c r="C30" s="396" t="s">
        <v>406</v>
      </c>
      <c r="D30" s="645" t="s">
        <v>586</v>
      </c>
      <c r="E30" s="645"/>
      <c r="F30" s="331" t="s">
        <v>805</v>
      </c>
      <c r="G30" s="638">
        <v>38625</v>
      </c>
      <c r="H30" s="638"/>
      <c r="I30" s="638"/>
      <c r="J30" s="329" t="s">
        <v>776</v>
      </c>
      <c r="K30" s="329" t="s">
        <v>591</v>
      </c>
      <c r="L30" s="376"/>
      <c r="M30" s="376"/>
      <c r="N30" s="376"/>
      <c r="O30" s="398"/>
      <c r="P30" s="427"/>
    </row>
    <row r="31" spans="1:20" ht="3.95" customHeight="1" thickBot="1" x14ac:dyDescent="0.25">
      <c r="A31" s="427"/>
      <c r="B31" s="392"/>
      <c r="C31" s="376"/>
      <c r="D31" s="630" t="str">
        <f>D30 &amp; " "&amp;F30</f>
        <v>AZE № 03508631</v>
      </c>
      <c r="E31" s="630"/>
      <c r="F31" s="630"/>
      <c r="G31" s="634" t="str">
        <f>T.Convert!Z60</f>
        <v>«30» Sentyabr 2005-ci il</v>
      </c>
      <c r="H31" s="634"/>
      <c r="I31" s="634"/>
      <c r="J31" s="630" t="str">
        <f>J30&amp;" "&amp;K30</f>
        <v>Mingəçevir ŞPŞ</v>
      </c>
      <c r="K31" s="630"/>
      <c r="L31" s="401"/>
      <c r="M31" s="401"/>
      <c r="N31" s="401"/>
      <c r="O31" s="402"/>
      <c r="P31" s="427"/>
    </row>
    <row r="32" spans="1:20" ht="32.25" customHeight="1" thickBot="1" x14ac:dyDescent="0.25">
      <c r="A32" s="427"/>
      <c r="B32" s="392"/>
      <c r="C32" s="400" t="s">
        <v>13</v>
      </c>
      <c r="D32" s="645" t="s">
        <v>777</v>
      </c>
      <c r="E32" s="645"/>
      <c r="F32" s="371" t="s">
        <v>800</v>
      </c>
      <c r="G32" s="637"/>
      <c r="H32" s="637"/>
      <c r="I32" s="637"/>
      <c r="J32" s="636" t="str">
        <f>D32&amp;" "&amp;F32&amp;" "&amp;G32</f>
        <v xml:space="preserve">Mingəçevir şəh., H.Əliyev PR., ev. 76/1, m. 22 </v>
      </c>
      <c r="K32" s="636"/>
      <c r="L32" s="636"/>
      <c r="M32" s="376"/>
      <c r="N32" s="376"/>
      <c r="O32" s="398"/>
      <c r="P32" s="427"/>
    </row>
    <row r="33" spans="1:16" x14ac:dyDescent="0.2">
      <c r="A33" s="427"/>
      <c r="B33" s="642" t="s">
        <v>496</v>
      </c>
      <c r="C33" s="643"/>
      <c r="D33" s="643"/>
      <c r="E33" s="643"/>
      <c r="F33" s="643"/>
      <c r="G33" s="643"/>
      <c r="H33" s="643"/>
      <c r="I33" s="643"/>
      <c r="J33" s="643"/>
      <c r="K33" s="643"/>
      <c r="L33" s="643"/>
      <c r="M33" s="643"/>
      <c r="N33" s="643"/>
      <c r="O33" s="644"/>
      <c r="P33" s="427"/>
    </row>
    <row r="34" spans="1:16" ht="3.95" customHeight="1" thickBot="1" x14ac:dyDescent="0.25">
      <c r="A34" s="427"/>
      <c r="B34" s="392"/>
      <c r="C34" s="376"/>
      <c r="D34" s="376"/>
      <c r="E34" s="376"/>
      <c r="F34" s="376"/>
      <c r="G34" s="376"/>
      <c r="H34" s="376"/>
      <c r="I34" s="376"/>
      <c r="J34" s="376"/>
      <c r="K34" s="376"/>
      <c r="L34" s="376"/>
      <c r="M34" s="376"/>
      <c r="N34" s="376"/>
      <c r="O34" s="398"/>
      <c r="P34" s="427"/>
    </row>
    <row r="35" spans="1:16" ht="16.5" thickBot="1" x14ac:dyDescent="0.25">
      <c r="A35" s="427"/>
      <c r="B35" s="392"/>
      <c r="C35" s="396" t="s">
        <v>5</v>
      </c>
      <c r="D35" s="629" t="s">
        <v>2</v>
      </c>
      <c r="E35" s="629"/>
      <c r="F35" s="396" t="s">
        <v>1</v>
      </c>
      <c r="G35" s="629"/>
      <c r="H35" s="629"/>
      <c r="I35" s="376"/>
      <c r="J35" s="629" t="s">
        <v>18</v>
      </c>
      <c r="K35" s="629"/>
      <c r="L35" s="376"/>
      <c r="M35" s="648" t="s">
        <v>17</v>
      </c>
      <c r="N35" s="648"/>
      <c r="O35" s="648"/>
      <c r="P35" s="427"/>
    </row>
    <row r="36" spans="1:16" ht="16.5" thickBot="1" x14ac:dyDescent="0.25">
      <c r="A36" s="427"/>
      <c r="B36" s="392"/>
      <c r="C36" s="347" t="s">
        <v>806</v>
      </c>
      <c r="D36" s="637" t="s">
        <v>807</v>
      </c>
      <c r="E36" s="637"/>
      <c r="F36" s="347" t="s">
        <v>808</v>
      </c>
      <c r="G36" s="645" t="s">
        <v>339</v>
      </c>
      <c r="H36" s="645"/>
      <c r="I36" s="376"/>
      <c r="J36" s="637" t="s">
        <v>809</v>
      </c>
      <c r="K36" s="637"/>
      <c r="L36" s="330"/>
      <c r="M36" s="637"/>
      <c r="N36" s="637"/>
      <c r="O36" s="637"/>
      <c r="P36" s="427"/>
    </row>
    <row r="37" spans="1:16" ht="3.95" customHeight="1" thickBot="1" x14ac:dyDescent="0.25">
      <c r="A37" s="427"/>
      <c r="B37" s="392"/>
      <c r="C37" s="376"/>
      <c r="D37" s="376"/>
      <c r="E37" s="376"/>
      <c r="F37" s="376"/>
      <c r="G37" s="376"/>
      <c r="H37" s="376"/>
      <c r="I37" s="376"/>
      <c r="J37" s="376"/>
      <c r="K37" s="376"/>
      <c r="L37" s="376"/>
      <c r="M37" s="376"/>
      <c r="N37" s="376"/>
      <c r="O37" s="398"/>
      <c r="P37" s="427"/>
    </row>
    <row r="38" spans="1:16" ht="16.5" thickBot="1" x14ac:dyDescent="0.25">
      <c r="A38" s="427"/>
      <c r="B38" s="392"/>
      <c r="C38" s="376"/>
      <c r="D38" s="629" t="s">
        <v>16</v>
      </c>
      <c r="E38" s="629"/>
      <c r="F38" s="629"/>
      <c r="G38" s="629" t="s">
        <v>15</v>
      </c>
      <c r="H38" s="629"/>
      <c r="I38" s="629"/>
      <c r="J38" s="629" t="s">
        <v>14</v>
      </c>
      <c r="K38" s="629"/>
      <c r="L38" s="376"/>
      <c r="M38" s="376"/>
      <c r="N38" s="376"/>
      <c r="O38" s="398"/>
      <c r="P38" s="427"/>
    </row>
    <row r="39" spans="1:16" ht="15.75" customHeight="1" thickBot="1" x14ac:dyDescent="0.25">
      <c r="A39" s="427"/>
      <c r="B39" s="392"/>
      <c r="C39" s="396" t="s">
        <v>406</v>
      </c>
      <c r="D39" s="645" t="s">
        <v>586</v>
      </c>
      <c r="E39" s="645"/>
      <c r="F39" s="331" t="s">
        <v>810</v>
      </c>
      <c r="G39" s="638">
        <v>40770</v>
      </c>
      <c r="H39" s="638"/>
      <c r="I39" s="638"/>
      <c r="J39" s="329" t="s">
        <v>776</v>
      </c>
      <c r="K39" s="329" t="s">
        <v>591</v>
      </c>
      <c r="L39" s="376"/>
      <c r="M39" s="376"/>
      <c r="N39" s="376"/>
      <c r="O39" s="398"/>
      <c r="P39" s="427"/>
    </row>
    <row r="40" spans="1:16" ht="3.95" customHeight="1" thickBot="1" x14ac:dyDescent="0.25">
      <c r="A40" s="427"/>
      <c r="B40" s="392"/>
      <c r="C40" s="376"/>
      <c r="D40" s="630" t="str">
        <f>D39 &amp; " "&amp;F39</f>
        <v>AZE № 08959750</v>
      </c>
      <c r="E40" s="630"/>
      <c r="F40" s="630"/>
      <c r="G40" s="634" t="str">
        <f>T.Convert!Z75</f>
        <v>«15» Avqust 2011-ci il</v>
      </c>
      <c r="H40" s="634"/>
      <c r="I40" s="634"/>
      <c r="J40" s="630" t="str">
        <f>J39&amp;" "&amp;K39</f>
        <v>Mingəçevir ŞPŞ</v>
      </c>
      <c r="K40" s="630"/>
      <c r="L40" s="376"/>
      <c r="M40" s="376"/>
      <c r="N40" s="376"/>
      <c r="O40" s="398"/>
      <c r="P40" s="427"/>
    </row>
    <row r="41" spans="1:16" ht="30.75" customHeight="1" thickBot="1" x14ac:dyDescent="0.25">
      <c r="A41" s="434"/>
      <c r="B41" s="392"/>
      <c r="C41" s="400" t="s">
        <v>13</v>
      </c>
      <c r="D41" s="645" t="s">
        <v>777</v>
      </c>
      <c r="E41" s="645"/>
      <c r="F41" s="371" t="s">
        <v>811</v>
      </c>
      <c r="G41" s="622"/>
      <c r="H41" s="651"/>
      <c r="I41" s="623"/>
      <c r="J41" s="636" t="str">
        <f>D41&amp;" "&amp;F41&amp;" "&amp;G41</f>
        <v xml:space="preserve">Mingəçevir şəh., A.Qurbani küç., ev. 4, m. 1 </v>
      </c>
      <c r="K41" s="636"/>
      <c r="L41" s="636"/>
      <c r="M41" s="376"/>
      <c r="N41" s="376"/>
      <c r="O41" s="398"/>
      <c r="P41" s="427"/>
    </row>
    <row r="42" spans="1:16" ht="3.95" customHeight="1" x14ac:dyDescent="0.2">
      <c r="A42" s="434"/>
      <c r="B42" s="392"/>
      <c r="C42" s="376"/>
      <c r="D42" s="376"/>
      <c r="E42" s="376"/>
      <c r="F42" s="376"/>
      <c r="G42" s="376"/>
      <c r="H42" s="376"/>
      <c r="I42" s="376"/>
      <c r="J42" s="376"/>
      <c r="K42" s="376"/>
      <c r="L42" s="376"/>
      <c r="M42" s="376"/>
      <c r="N42" s="376"/>
      <c r="O42" s="398"/>
      <c r="P42" s="427"/>
    </row>
    <row r="43" spans="1:16" x14ac:dyDescent="0.2">
      <c r="A43" s="427"/>
      <c r="B43" s="642" t="s">
        <v>497</v>
      </c>
      <c r="C43" s="643"/>
      <c r="D43" s="643"/>
      <c r="E43" s="643"/>
      <c r="F43" s="643"/>
      <c r="G43" s="643"/>
      <c r="H43" s="643"/>
      <c r="I43" s="643"/>
      <c r="J43" s="643"/>
      <c r="K43" s="643"/>
      <c r="L43" s="643"/>
      <c r="M43" s="643"/>
      <c r="N43" s="643"/>
      <c r="O43" s="644"/>
      <c r="P43" s="427"/>
    </row>
    <row r="44" spans="1:16" ht="3.95" customHeight="1" thickBot="1" x14ac:dyDescent="0.25">
      <c r="A44" s="427"/>
      <c r="B44" s="392"/>
      <c r="C44" s="376"/>
      <c r="D44" s="376"/>
      <c r="E44" s="376"/>
      <c r="F44" s="376"/>
      <c r="G44" s="376"/>
      <c r="H44" s="376"/>
      <c r="I44" s="376"/>
      <c r="J44" s="376"/>
      <c r="K44" s="376"/>
      <c r="L44" s="376"/>
      <c r="M44" s="376"/>
      <c r="N44" s="376"/>
      <c r="O44" s="398"/>
      <c r="P44" s="427"/>
    </row>
    <row r="45" spans="1:16" ht="16.5" thickBot="1" x14ac:dyDescent="0.25">
      <c r="A45" s="427"/>
      <c r="B45" s="392"/>
      <c r="C45" s="396" t="s">
        <v>5</v>
      </c>
      <c r="D45" s="629" t="s">
        <v>2</v>
      </c>
      <c r="E45" s="629"/>
      <c r="F45" s="396" t="s">
        <v>1</v>
      </c>
      <c r="G45" s="629"/>
      <c r="H45" s="629"/>
      <c r="I45" s="376"/>
      <c r="J45" s="629" t="s">
        <v>18</v>
      </c>
      <c r="K45" s="629"/>
      <c r="L45" s="376"/>
      <c r="M45" s="648" t="s">
        <v>17</v>
      </c>
      <c r="N45" s="648"/>
      <c r="O45" s="648"/>
      <c r="P45" s="427"/>
    </row>
    <row r="46" spans="1:16" ht="16.5" thickBot="1" x14ac:dyDescent="0.25">
      <c r="A46" s="427"/>
      <c r="B46" s="392"/>
      <c r="C46" s="347"/>
      <c r="D46" s="637"/>
      <c r="E46" s="637"/>
      <c r="F46" s="347"/>
      <c r="G46" s="645" t="s">
        <v>339</v>
      </c>
      <c r="H46" s="645"/>
      <c r="I46" s="376"/>
      <c r="J46" s="637"/>
      <c r="K46" s="637"/>
      <c r="L46" s="330"/>
      <c r="M46" s="637"/>
      <c r="N46" s="637"/>
      <c r="O46" s="637"/>
      <c r="P46" s="427"/>
    </row>
    <row r="47" spans="1:16" ht="3.95" customHeight="1" thickBot="1" x14ac:dyDescent="0.25">
      <c r="A47" s="427"/>
      <c r="B47" s="392"/>
      <c r="C47" s="376"/>
      <c r="D47" s="376"/>
      <c r="E47" s="376"/>
      <c r="F47" s="376"/>
      <c r="G47" s="376"/>
      <c r="H47" s="376"/>
      <c r="I47" s="376"/>
      <c r="J47" s="376"/>
      <c r="K47" s="376"/>
      <c r="L47" s="376"/>
      <c r="M47" s="376"/>
      <c r="N47" s="376"/>
      <c r="O47" s="398"/>
      <c r="P47" s="427"/>
    </row>
    <row r="48" spans="1:16" ht="16.5" thickBot="1" x14ac:dyDescent="0.25">
      <c r="A48" s="434"/>
      <c r="B48" s="392"/>
      <c r="C48" s="376"/>
      <c r="D48" s="629" t="s">
        <v>16</v>
      </c>
      <c r="E48" s="629"/>
      <c r="F48" s="629"/>
      <c r="G48" s="629" t="s">
        <v>15</v>
      </c>
      <c r="H48" s="629"/>
      <c r="I48" s="629"/>
      <c r="J48" s="629" t="s">
        <v>14</v>
      </c>
      <c r="K48" s="629"/>
      <c r="L48" s="376"/>
      <c r="M48" s="376"/>
      <c r="N48" s="376"/>
      <c r="O48" s="398"/>
      <c r="P48" s="427"/>
    </row>
    <row r="49" spans="1:17" ht="15.75" customHeight="1" thickBot="1" x14ac:dyDescent="0.25">
      <c r="A49" s="434"/>
      <c r="B49" s="392"/>
      <c r="C49" s="396" t="s">
        <v>406</v>
      </c>
      <c r="D49" s="645"/>
      <c r="E49" s="645"/>
      <c r="F49" s="331"/>
      <c r="G49" s="638"/>
      <c r="H49" s="638"/>
      <c r="I49" s="638"/>
      <c r="J49" s="329"/>
      <c r="K49" s="329"/>
      <c r="L49" s="376"/>
      <c r="M49" s="376"/>
      <c r="N49" s="376"/>
      <c r="O49" s="398"/>
      <c r="P49" s="427"/>
    </row>
    <row r="50" spans="1:17" ht="3.95" customHeight="1" thickBot="1" x14ac:dyDescent="0.25">
      <c r="A50" s="434"/>
      <c r="B50" s="392"/>
      <c r="C50" s="376"/>
      <c r="D50" s="630" t="str">
        <f>D49 &amp; " "&amp;F49</f>
        <v xml:space="preserve"> </v>
      </c>
      <c r="E50" s="630"/>
      <c r="F50" s="630"/>
      <c r="G50" s="634" t="str">
        <f>T.Convert!Z90</f>
        <v>«00» Yanvar 1900- il</v>
      </c>
      <c r="H50" s="634"/>
      <c r="I50" s="634"/>
      <c r="J50" s="630" t="str">
        <f>J49&amp;" "&amp;K49</f>
        <v xml:space="preserve"> </v>
      </c>
      <c r="K50" s="630"/>
      <c r="L50" s="376"/>
      <c r="M50" s="376"/>
      <c r="N50" s="376"/>
      <c r="O50" s="398"/>
      <c r="P50" s="427"/>
    </row>
    <row r="51" spans="1:17" ht="33" customHeight="1" thickBot="1" x14ac:dyDescent="0.25">
      <c r="A51" s="434"/>
      <c r="B51" s="392"/>
      <c r="C51" s="400" t="s">
        <v>13</v>
      </c>
      <c r="D51" s="645"/>
      <c r="E51" s="645"/>
      <c r="F51" s="371"/>
      <c r="G51" s="622"/>
      <c r="H51" s="651"/>
      <c r="I51" s="623"/>
      <c r="J51" s="636" t="str">
        <f>D51&amp;" "&amp;F51&amp;" "&amp;G51</f>
        <v xml:space="preserve">  </v>
      </c>
      <c r="K51" s="636"/>
      <c r="L51" s="636"/>
      <c r="M51" s="403"/>
      <c r="N51" s="376"/>
      <c r="O51" s="398"/>
      <c r="P51" s="427"/>
    </row>
    <row r="52" spans="1:17" ht="3.95" customHeight="1" x14ac:dyDescent="0.2">
      <c r="A52" s="427"/>
      <c r="B52" s="392"/>
      <c r="C52" s="376"/>
      <c r="D52" s="376"/>
      <c r="E52" s="376"/>
      <c r="F52" s="376"/>
      <c r="G52" s="376"/>
      <c r="H52" s="376"/>
      <c r="I52" s="376"/>
      <c r="J52" s="376"/>
      <c r="K52" s="376"/>
      <c r="L52" s="376"/>
      <c r="M52" s="403"/>
      <c r="N52" s="376"/>
      <c r="O52" s="398"/>
      <c r="P52" s="427"/>
    </row>
    <row r="53" spans="1:17" hidden="1" x14ac:dyDescent="0.2">
      <c r="A53" s="434"/>
      <c r="B53" s="404"/>
      <c r="C53" s="643" t="s">
        <v>399</v>
      </c>
      <c r="D53" s="643"/>
      <c r="E53" s="643"/>
      <c r="F53" s="643"/>
      <c r="G53" s="643"/>
      <c r="H53" s="643"/>
      <c r="I53" s="643"/>
      <c r="J53" s="643"/>
      <c r="K53" s="643"/>
      <c r="L53" s="643"/>
      <c r="M53" s="643"/>
      <c r="N53" s="643"/>
      <c r="O53" s="644"/>
      <c r="P53" s="427"/>
    </row>
    <row r="54" spans="1:17" ht="58.5" hidden="1" x14ac:dyDescent="0.2">
      <c r="A54" s="427"/>
      <c r="B54" s="405" t="s">
        <v>212</v>
      </c>
      <c r="C54" s="681" t="s">
        <v>593</v>
      </c>
      <c r="D54" s="681"/>
      <c r="E54" s="681"/>
      <c r="F54" s="681"/>
      <c r="G54" s="681"/>
      <c r="H54" s="681"/>
      <c r="I54" s="406" t="s">
        <v>398</v>
      </c>
      <c r="J54" s="407" t="s">
        <v>397</v>
      </c>
      <c r="K54" s="407" t="s">
        <v>396</v>
      </c>
      <c r="L54" s="679" t="s">
        <v>395</v>
      </c>
      <c r="M54" s="680"/>
      <c r="N54" s="681" t="s">
        <v>394</v>
      </c>
      <c r="O54" s="684"/>
      <c r="P54" s="427"/>
    </row>
    <row r="55" spans="1:17" hidden="1" x14ac:dyDescent="0.2">
      <c r="A55" s="427"/>
      <c r="B55" s="408">
        <v>1</v>
      </c>
      <c r="C55" s="652"/>
      <c r="D55" s="653"/>
      <c r="E55" s="654"/>
      <c r="F55" s="652"/>
      <c r="G55" s="653"/>
      <c r="H55" s="654"/>
      <c r="I55" s="409"/>
      <c r="J55" s="409"/>
      <c r="K55" s="409"/>
      <c r="L55" s="652"/>
      <c r="M55" s="654"/>
      <c r="N55" s="655"/>
      <c r="O55" s="656"/>
      <c r="P55" s="427"/>
      <c r="Q55" s="430" t="str">
        <f>IF(OR(C55=0,C55=""),"",N55)</f>
        <v/>
      </c>
    </row>
    <row r="56" spans="1:17" ht="15.75" hidden="1" customHeight="1" x14ac:dyDescent="0.2">
      <c r="A56" s="427"/>
      <c r="B56" s="408">
        <v>2</v>
      </c>
      <c r="C56" s="652"/>
      <c r="D56" s="653"/>
      <c r="E56" s="654"/>
      <c r="F56" s="652"/>
      <c r="G56" s="653"/>
      <c r="H56" s="654"/>
      <c r="I56" s="409"/>
      <c r="J56" s="409"/>
      <c r="K56" s="409"/>
      <c r="L56" s="652"/>
      <c r="M56" s="654"/>
      <c r="N56" s="655"/>
      <c r="O56" s="656"/>
      <c r="P56" s="427"/>
      <c r="Q56" s="430" t="str">
        <f>IF(OR(C56=0,C56=""),"",N56)</f>
        <v/>
      </c>
    </row>
    <row r="57" spans="1:17" ht="15.75" hidden="1" customHeight="1" x14ac:dyDescent="0.2">
      <c r="A57" s="427"/>
      <c r="B57" s="408">
        <v>3</v>
      </c>
      <c r="C57" s="652"/>
      <c r="D57" s="653"/>
      <c r="E57" s="654"/>
      <c r="F57" s="652"/>
      <c r="G57" s="653"/>
      <c r="H57" s="654"/>
      <c r="I57" s="409"/>
      <c r="J57" s="409"/>
      <c r="K57" s="409"/>
      <c r="L57" s="652"/>
      <c r="M57" s="654"/>
      <c r="N57" s="655"/>
      <c r="O57" s="656"/>
      <c r="P57" s="427"/>
      <c r="Q57" s="430" t="str">
        <f t="shared" ref="Q57:Q63" si="0">IF(OR(C57=0,C57=""),"",N57)</f>
        <v/>
      </c>
    </row>
    <row r="58" spans="1:17" ht="15.75" hidden="1" customHeight="1" x14ac:dyDescent="0.2">
      <c r="A58" s="427"/>
      <c r="B58" s="408">
        <v>4</v>
      </c>
      <c r="C58" s="652"/>
      <c r="D58" s="653"/>
      <c r="E58" s="654"/>
      <c r="F58" s="652"/>
      <c r="G58" s="653"/>
      <c r="H58" s="654"/>
      <c r="I58" s="409"/>
      <c r="J58" s="409"/>
      <c r="K58" s="409"/>
      <c r="L58" s="652"/>
      <c r="M58" s="654"/>
      <c r="N58" s="655"/>
      <c r="O58" s="656"/>
      <c r="P58" s="427"/>
      <c r="Q58" s="430" t="str">
        <f t="shared" si="0"/>
        <v/>
      </c>
    </row>
    <row r="59" spans="1:17" ht="15.75" hidden="1" customHeight="1" x14ac:dyDescent="0.2">
      <c r="A59" s="427"/>
      <c r="B59" s="408">
        <v>5</v>
      </c>
      <c r="C59" s="652"/>
      <c r="D59" s="653"/>
      <c r="E59" s="654"/>
      <c r="F59" s="652"/>
      <c r="G59" s="653"/>
      <c r="H59" s="654"/>
      <c r="I59" s="409"/>
      <c r="J59" s="409"/>
      <c r="K59" s="409"/>
      <c r="L59" s="652"/>
      <c r="M59" s="654"/>
      <c r="N59" s="655"/>
      <c r="O59" s="656"/>
      <c r="P59" s="427"/>
      <c r="Q59" s="430" t="str">
        <f t="shared" si="0"/>
        <v/>
      </c>
    </row>
    <row r="60" spans="1:17" ht="15.75" hidden="1" customHeight="1" x14ac:dyDescent="0.2">
      <c r="A60" s="427"/>
      <c r="B60" s="408">
        <v>6</v>
      </c>
      <c r="C60" s="652"/>
      <c r="D60" s="653"/>
      <c r="E60" s="654"/>
      <c r="F60" s="652"/>
      <c r="G60" s="653"/>
      <c r="H60" s="654"/>
      <c r="I60" s="409"/>
      <c r="J60" s="409"/>
      <c r="K60" s="409"/>
      <c r="L60" s="652"/>
      <c r="M60" s="654"/>
      <c r="N60" s="655"/>
      <c r="O60" s="656"/>
      <c r="P60" s="427"/>
      <c r="Q60" s="430" t="str">
        <f t="shared" si="0"/>
        <v/>
      </c>
    </row>
    <row r="61" spans="1:17" ht="15.75" hidden="1" customHeight="1" x14ac:dyDescent="0.2">
      <c r="A61" s="427"/>
      <c r="B61" s="408">
        <v>7</v>
      </c>
      <c r="C61" s="652"/>
      <c r="D61" s="653"/>
      <c r="E61" s="654"/>
      <c r="F61" s="652"/>
      <c r="G61" s="653"/>
      <c r="H61" s="654"/>
      <c r="I61" s="409"/>
      <c r="J61" s="409"/>
      <c r="K61" s="409"/>
      <c r="L61" s="652"/>
      <c r="M61" s="654"/>
      <c r="N61" s="655"/>
      <c r="O61" s="656"/>
      <c r="P61" s="427"/>
      <c r="Q61" s="430" t="str">
        <f t="shared" si="0"/>
        <v/>
      </c>
    </row>
    <row r="62" spans="1:17" ht="15.75" hidden="1" customHeight="1" x14ac:dyDescent="0.2">
      <c r="A62" s="427"/>
      <c r="B62" s="408">
        <v>8</v>
      </c>
      <c r="C62" s="652"/>
      <c r="D62" s="653"/>
      <c r="E62" s="654"/>
      <c r="F62" s="652"/>
      <c r="G62" s="653"/>
      <c r="H62" s="654"/>
      <c r="I62" s="409"/>
      <c r="J62" s="409"/>
      <c r="K62" s="409"/>
      <c r="L62" s="652"/>
      <c r="M62" s="654"/>
      <c r="N62" s="655"/>
      <c r="O62" s="656"/>
      <c r="P62" s="427"/>
      <c r="Q62" s="430" t="str">
        <f t="shared" si="0"/>
        <v/>
      </c>
    </row>
    <row r="63" spans="1:17" ht="15.75" hidden="1" customHeight="1" x14ac:dyDescent="0.2">
      <c r="A63" s="427"/>
      <c r="B63" s="408">
        <v>9</v>
      </c>
      <c r="C63" s="652"/>
      <c r="D63" s="653"/>
      <c r="E63" s="654"/>
      <c r="F63" s="652"/>
      <c r="G63" s="653"/>
      <c r="H63" s="654"/>
      <c r="I63" s="409"/>
      <c r="J63" s="409"/>
      <c r="K63" s="409"/>
      <c r="L63" s="652"/>
      <c r="M63" s="654"/>
      <c r="N63" s="655"/>
      <c r="O63" s="656"/>
      <c r="P63" s="427"/>
      <c r="Q63" s="430" t="str">
        <f t="shared" si="0"/>
        <v/>
      </c>
    </row>
    <row r="64" spans="1:17" ht="15.75" hidden="1" customHeight="1" x14ac:dyDescent="0.2">
      <c r="A64" s="427"/>
      <c r="B64" s="408">
        <v>10</v>
      </c>
      <c r="C64" s="652"/>
      <c r="D64" s="653"/>
      <c r="E64" s="654"/>
      <c r="F64" s="652"/>
      <c r="G64" s="653"/>
      <c r="H64" s="654"/>
      <c r="I64" s="409"/>
      <c r="J64" s="409"/>
      <c r="K64" s="409"/>
      <c r="L64" s="652"/>
      <c r="M64" s="654"/>
      <c r="N64" s="655"/>
      <c r="O64" s="656"/>
      <c r="P64" s="427"/>
      <c r="Q64" s="430" t="str">
        <f>IF(OR(C64=0,C64=""),"",N64)</f>
        <v/>
      </c>
    </row>
    <row r="65" spans="1:18" ht="18.75" x14ac:dyDescent="0.2">
      <c r="A65" s="427"/>
      <c r="B65" s="687" t="s">
        <v>606</v>
      </c>
      <c r="C65" s="688"/>
      <c r="D65" s="688"/>
      <c r="E65" s="688"/>
      <c r="F65" s="688"/>
      <c r="G65" s="689">
        <v>0</v>
      </c>
      <c r="H65" s="689"/>
      <c r="I65" s="689"/>
      <c r="J65" s="689"/>
      <c r="K65" s="410"/>
      <c r="L65" s="410"/>
      <c r="M65" s="411"/>
      <c r="N65" s="685">
        <f>G65</f>
        <v>0</v>
      </c>
      <c r="O65" s="686"/>
      <c r="P65" s="427"/>
      <c r="R65" s="430" t="str">
        <f>IF(OR(SUM(Q55:Q64)=0,SUM(Q55:Q64)=""),"",SUM(Q55:Q64))</f>
        <v/>
      </c>
    </row>
    <row r="66" spans="1:18" ht="3.75" customHeight="1" thickBot="1" x14ac:dyDescent="0.25">
      <c r="A66" s="427"/>
      <c r="B66" s="676" t="s">
        <v>400</v>
      </c>
      <c r="C66" s="677"/>
      <c r="D66" s="677"/>
      <c r="E66" s="677"/>
      <c r="F66" s="677"/>
      <c r="G66" s="677"/>
      <c r="H66" s="677"/>
      <c r="I66" s="677"/>
      <c r="J66" s="677"/>
      <c r="K66" s="677"/>
      <c r="L66" s="677"/>
      <c r="M66" s="677"/>
      <c r="N66" s="677"/>
      <c r="O66" s="678"/>
      <c r="P66" s="427"/>
    </row>
    <row r="67" spans="1:18" ht="16.5" hidden="1" thickBot="1" x14ac:dyDescent="0.25">
      <c r="A67" s="427"/>
      <c r="B67" s="412"/>
      <c r="C67" s="378" t="s">
        <v>5</v>
      </c>
      <c r="D67" s="630" t="s">
        <v>2</v>
      </c>
      <c r="E67" s="630"/>
      <c r="F67" s="378" t="s">
        <v>1</v>
      </c>
      <c r="G67" s="630"/>
      <c r="H67" s="630"/>
      <c r="I67" s="413"/>
      <c r="J67" s="413"/>
      <c r="K67" s="413"/>
      <c r="L67" s="413"/>
      <c r="M67" s="413"/>
      <c r="N67" s="413"/>
      <c r="O67" s="414"/>
      <c r="P67" s="427"/>
    </row>
    <row r="68" spans="1:18" ht="16.5" hidden="1" thickBot="1" x14ac:dyDescent="0.25">
      <c r="A68" s="427"/>
      <c r="B68" s="392"/>
      <c r="C68" s="330"/>
      <c r="D68" s="692"/>
      <c r="E68" s="692"/>
      <c r="F68" s="330"/>
      <c r="G68" s="692"/>
      <c r="H68" s="692"/>
      <c r="I68" s="415"/>
      <c r="J68" s="415"/>
      <c r="K68" s="415"/>
      <c r="L68" s="415"/>
      <c r="M68" s="415"/>
      <c r="N68" s="415"/>
      <c r="O68" s="397"/>
      <c r="P68" s="427"/>
    </row>
    <row r="69" spans="1:18" ht="16.5" thickBot="1" x14ac:dyDescent="0.25">
      <c r="A69" s="427"/>
      <c r="B69" s="392"/>
      <c r="C69" s="690" t="s">
        <v>405</v>
      </c>
      <c r="D69" s="690"/>
      <c r="E69" s="690"/>
      <c r="F69" s="690"/>
      <c r="G69" s="690"/>
      <c r="H69" s="690"/>
      <c r="I69" s="690"/>
      <c r="J69" s="691" t="s">
        <v>603</v>
      </c>
      <c r="K69" s="691"/>
      <c r="L69" s="416"/>
      <c r="M69" s="416"/>
      <c r="N69" s="416"/>
      <c r="O69" s="417"/>
      <c r="P69" s="427"/>
    </row>
    <row r="70" spans="1:18" ht="58.5" x14ac:dyDescent="0.2">
      <c r="A70" s="427"/>
      <c r="B70" s="405" t="s">
        <v>212</v>
      </c>
      <c r="C70" s="681" t="s">
        <v>600</v>
      </c>
      <c r="D70" s="681"/>
      <c r="E70" s="681"/>
      <c r="F70" s="682"/>
      <c r="G70" s="682"/>
      <c r="H70" s="682"/>
      <c r="I70" s="418" t="s">
        <v>398</v>
      </c>
      <c r="J70" s="419" t="s">
        <v>404</v>
      </c>
      <c r="K70" s="419" t="s">
        <v>403</v>
      </c>
      <c r="L70" s="679" t="s">
        <v>402</v>
      </c>
      <c r="M70" s="680"/>
      <c r="N70" s="681" t="s">
        <v>401</v>
      </c>
      <c r="O70" s="684"/>
      <c r="P70" s="427"/>
    </row>
    <row r="71" spans="1:18" x14ac:dyDescent="0.2">
      <c r="A71" s="427"/>
      <c r="B71" s="408">
        <v>1</v>
      </c>
      <c r="C71" s="631" t="s">
        <v>640</v>
      </c>
      <c r="D71" s="631"/>
      <c r="E71" s="631"/>
      <c r="F71" s="673" t="s">
        <v>812</v>
      </c>
      <c r="G71" s="674"/>
      <c r="H71" s="675"/>
      <c r="I71" s="348" t="s">
        <v>328</v>
      </c>
      <c r="J71" s="377" t="s">
        <v>711</v>
      </c>
      <c r="K71" s="377" t="s">
        <v>792</v>
      </c>
      <c r="L71" s="657">
        <v>800</v>
      </c>
      <c r="M71" s="658"/>
      <c r="N71" s="631">
        <v>550</v>
      </c>
      <c r="O71" s="672"/>
      <c r="P71" s="427"/>
      <c r="Q71" s="430">
        <f>IF(OR(C71=0,C71=""),"",N71)</f>
        <v>550</v>
      </c>
    </row>
    <row r="72" spans="1:18" x14ac:dyDescent="0.2">
      <c r="A72" s="427"/>
      <c r="B72" s="408">
        <v>2</v>
      </c>
      <c r="C72" s="631" t="s">
        <v>791</v>
      </c>
      <c r="D72" s="631"/>
      <c r="E72" s="631"/>
      <c r="F72" s="673" t="s">
        <v>813</v>
      </c>
      <c r="G72" s="674"/>
      <c r="H72" s="675"/>
      <c r="I72" s="348" t="s">
        <v>328</v>
      </c>
      <c r="J72" s="449" t="s">
        <v>711</v>
      </c>
      <c r="K72" s="377" t="s">
        <v>715</v>
      </c>
      <c r="L72" s="657">
        <v>600</v>
      </c>
      <c r="M72" s="658"/>
      <c r="N72" s="631">
        <v>400</v>
      </c>
      <c r="O72" s="672"/>
      <c r="P72" s="427"/>
      <c r="Q72" s="430">
        <f>IF(OR(C72=0,C72=""),"",N72)</f>
        <v>400</v>
      </c>
    </row>
    <row r="73" spans="1:18" x14ac:dyDescent="0.2">
      <c r="A73" s="427"/>
      <c r="B73" s="408">
        <v>3</v>
      </c>
      <c r="C73" s="631" t="s">
        <v>814</v>
      </c>
      <c r="D73" s="631"/>
      <c r="E73" s="631"/>
      <c r="F73" s="673" t="s">
        <v>815</v>
      </c>
      <c r="G73" s="674"/>
      <c r="H73" s="675"/>
      <c r="I73" s="348" t="s">
        <v>328</v>
      </c>
      <c r="J73" s="449" t="s">
        <v>711</v>
      </c>
      <c r="K73" s="377" t="s">
        <v>715</v>
      </c>
      <c r="L73" s="657">
        <v>300</v>
      </c>
      <c r="M73" s="658"/>
      <c r="N73" s="631">
        <v>200</v>
      </c>
      <c r="O73" s="672"/>
      <c r="P73" s="427"/>
      <c r="Q73" s="430">
        <f t="shared" ref="Q73:Q90" si="1">IF(OR(C73=0,C73=""),"",N73)</f>
        <v>200</v>
      </c>
    </row>
    <row r="74" spans="1:18" x14ac:dyDescent="0.2">
      <c r="A74" s="427"/>
      <c r="B74" s="408">
        <v>4</v>
      </c>
      <c r="C74" s="631" t="s">
        <v>790</v>
      </c>
      <c r="D74" s="631"/>
      <c r="E74" s="631"/>
      <c r="F74" s="673" t="s">
        <v>816</v>
      </c>
      <c r="G74" s="674"/>
      <c r="H74" s="675"/>
      <c r="I74" s="348" t="s">
        <v>328</v>
      </c>
      <c r="J74" s="449" t="s">
        <v>711</v>
      </c>
      <c r="K74" s="377" t="s">
        <v>792</v>
      </c>
      <c r="L74" s="657">
        <v>700</v>
      </c>
      <c r="M74" s="658"/>
      <c r="N74" s="631">
        <v>490</v>
      </c>
      <c r="O74" s="672"/>
      <c r="P74" s="427"/>
      <c r="Q74" s="430">
        <f t="shared" si="1"/>
        <v>490</v>
      </c>
    </row>
    <row r="75" spans="1:18" x14ac:dyDescent="0.2">
      <c r="A75" s="427"/>
      <c r="B75" s="408">
        <v>5</v>
      </c>
      <c r="C75" s="631" t="s">
        <v>655</v>
      </c>
      <c r="D75" s="631"/>
      <c r="E75" s="631"/>
      <c r="F75" s="673" t="s">
        <v>817</v>
      </c>
      <c r="G75" s="674"/>
      <c r="H75" s="675"/>
      <c r="I75" s="348" t="s">
        <v>328</v>
      </c>
      <c r="J75" s="449" t="s">
        <v>711</v>
      </c>
      <c r="K75" s="377" t="s">
        <v>717</v>
      </c>
      <c r="L75" s="657">
        <v>1500</v>
      </c>
      <c r="M75" s="658"/>
      <c r="N75" s="631">
        <v>1050</v>
      </c>
      <c r="O75" s="672"/>
      <c r="P75" s="427"/>
      <c r="Q75" s="430">
        <f t="shared" si="1"/>
        <v>1050</v>
      </c>
    </row>
    <row r="76" spans="1:18" x14ac:dyDescent="0.2">
      <c r="A76" s="427"/>
      <c r="B76" s="408">
        <v>6</v>
      </c>
      <c r="C76" s="631" t="s">
        <v>818</v>
      </c>
      <c r="D76" s="631"/>
      <c r="E76" s="631"/>
      <c r="F76" s="673" t="s">
        <v>819</v>
      </c>
      <c r="G76" s="674"/>
      <c r="H76" s="675"/>
      <c r="I76" s="348" t="s">
        <v>328</v>
      </c>
      <c r="J76" s="448" t="s">
        <v>711</v>
      </c>
      <c r="K76" s="377" t="s">
        <v>717</v>
      </c>
      <c r="L76" s="657">
        <v>1000</v>
      </c>
      <c r="M76" s="658"/>
      <c r="N76" s="631">
        <v>700</v>
      </c>
      <c r="O76" s="672"/>
      <c r="P76" s="427"/>
      <c r="Q76" s="430">
        <f t="shared" si="1"/>
        <v>700</v>
      </c>
    </row>
    <row r="77" spans="1:18" x14ac:dyDescent="0.2">
      <c r="A77" s="427"/>
      <c r="B77" s="408">
        <v>7</v>
      </c>
      <c r="C77" s="631" t="s">
        <v>655</v>
      </c>
      <c r="D77" s="631"/>
      <c r="E77" s="631"/>
      <c r="F77" s="673" t="s">
        <v>820</v>
      </c>
      <c r="G77" s="674"/>
      <c r="H77" s="675"/>
      <c r="I77" s="348" t="s">
        <v>328</v>
      </c>
      <c r="J77" s="450" t="s">
        <v>711</v>
      </c>
      <c r="K77" s="377" t="s">
        <v>717</v>
      </c>
      <c r="L77" s="657">
        <v>700</v>
      </c>
      <c r="M77" s="658"/>
      <c r="N77" s="631">
        <v>490</v>
      </c>
      <c r="O77" s="672"/>
      <c r="P77" s="427"/>
      <c r="Q77" s="430">
        <f t="shared" si="1"/>
        <v>490</v>
      </c>
    </row>
    <row r="78" spans="1:18" x14ac:dyDescent="0.2">
      <c r="A78" s="427"/>
      <c r="B78" s="408">
        <v>8</v>
      </c>
      <c r="C78" s="631" t="s">
        <v>821</v>
      </c>
      <c r="D78" s="631"/>
      <c r="E78" s="631"/>
      <c r="F78" s="673"/>
      <c r="G78" s="674"/>
      <c r="H78" s="675"/>
      <c r="I78" s="348" t="s">
        <v>328</v>
      </c>
      <c r="J78" s="450" t="s">
        <v>711</v>
      </c>
      <c r="K78" s="377" t="s">
        <v>792</v>
      </c>
      <c r="L78" s="657">
        <v>500</v>
      </c>
      <c r="M78" s="658"/>
      <c r="N78" s="631">
        <v>350</v>
      </c>
      <c r="O78" s="672"/>
      <c r="P78" s="427"/>
      <c r="Q78" s="430">
        <f t="shared" si="1"/>
        <v>350</v>
      </c>
    </row>
    <row r="79" spans="1:18" x14ac:dyDescent="0.2">
      <c r="A79" s="427"/>
      <c r="B79" s="408">
        <v>9</v>
      </c>
      <c r="C79" s="631" t="s">
        <v>822</v>
      </c>
      <c r="D79" s="631"/>
      <c r="E79" s="631"/>
      <c r="F79" s="673"/>
      <c r="G79" s="674"/>
      <c r="H79" s="675"/>
      <c r="I79" s="348" t="s">
        <v>318</v>
      </c>
      <c r="J79" s="450" t="s">
        <v>711</v>
      </c>
      <c r="K79" s="377" t="s">
        <v>719</v>
      </c>
      <c r="L79" s="657">
        <v>1000</v>
      </c>
      <c r="M79" s="658"/>
      <c r="N79" s="631">
        <v>700</v>
      </c>
      <c r="O79" s="672"/>
      <c r="P79" s="427"/>
      <c r="Q79" s="430">
        <f t="shared" si="1"/>
        <v>700</v>
      </c>
    </row>
    <row r="80" spans="1:18" x14ac:dyDescent="0.2">
      <c r="A80" s="427"/>
      <c r="B80" s="408">
        <v>10</v>
      </c>
      <c r="C80" s="631" t="s">
        <v>823</v>
      </c>
      <c r="D80" s="631"/>
      <c r="E80" s="631"/>
      <c r="F80" s="673" t="s">
        <v>824</v>
      </c>
      <c r="G80" s="674"/>
      <c r="H80" s="675"/>
      <c r="I80" s="348" t="s">
        <v>328</v>
      </c>
      <c r="J80" s="450" t="s">
        <v>711</v>
      </c>
      <c r="K80" s="377" t="s">
        <v>792</v>
      </c>
      <c r="L80" s="657">
        <v>150</v>
      </c>
      <c r="M80" s="658"/>
      <c r="N80" s="631">
        <v>100</v>
      </c>
      <c r="O80" s="672"/>
      <c r="P80" s="427"/>
      <c r="Q80" s="430">
        <f t="shared" si="1"/>
        <v>100</v>
      </c>
    </row>
    <row r="81" spans="1:17" x14ac:dyDescent="0.2">
      <c r="A81" s="427"/>
      <c r="B81" s="408">
        <v>11</v>
      </c>
      <c r="C81" s="631"/>
      <c r="D81" s="631"/>
      <c r="E81" s="631"/>
      <c r="F81" s="673"/>
      <c r="G81" s="674"/>
      <c r="H81" s="675"/>
      <c r="I81" s="348"/>
      <c r="J81" s="377"/>
      <c r="K81" s="377"/>
      <c r="L81" s="657"/>
      <c r="M81" s="658"/>
      <c r="N81" s="631"/>
      <c r="O81" s="672"/>
      <c r="P81" s="427"/>
      <c r="Q81" s="430" t="str">
        <f t="shared" si="1"/>
        <v/>
      </c>
    </row>
    <row r="82" spans="1:17" x14ac:dyDescent="0.2">
      <c r="A82" s="427"/>
      <c r="B82" s="408">
        <v>12</v>
      </c>
      <c r="C82" s="631"/>
      <c r="D82" s="631"/>
      <c r="E82" s="631"/>
      <c r="F82" s="673"/>
      <c r="G82" s="674"/>
      <c r="H82" s="675"/>
      <c r="I82" s="348"/>
      <c r="J82" s="377"/>
      <c r="K82" s="377"/>
      <c r="L82" s="657"/>
      <c r="M82" s="658"/>
      <c r="N82" s="631"/>
      <c r="O82" s="672"/>
      <c r="P82" s="427"/>
      <c r="Q82" s="430" t="str">
        <f t="shared" si="1"/>
        <v/>
      </c>
    </row>
    <row r="83" spans="1:17" x14ac:dyDescent="0.2">
      <c r="A83" s="427"/>
      <c r="B83" s="408">
        <v>13</v>
      </c>
      <c r="C83" s="631"/>
      <c r="D83" s="631"/>
      <c r="E83" s="631"/>
      <c r="F83" s="673"/>
      <c r="G83" s="674"/>
      <c r="H83" s="675"/>
      <c r="I83" s="348"/>
      <c r="J83" s="377"/>
      <c r="K83" s="377"/>
      <c r="L83" s="657"/>
      <c r="M83" s="658"/>
      <c r="N83" s="631"/>
      <c r="O83" s="672"/>
      <c r="P83" s="427"/>
      <c r="Q83" s="430" t="str">
        <f t="shared" si="1"/>
        <v/>
      </c>
    </row>
    <row r="84" spans="1:17" x14ac:dyDescent="0.2">
      <c r="A84" s="427"/>
      <c r="B84" s="408">
        <v>14</v>
      </c>
      <c r="C84" s="631"/>
      <c r="D84" s="631"/>
      <c r="E84" s="631"/>
      <c r="F84" s="673"/>
      <c r="G84" s="674"/>
      <c r="H84" s="675"/>
      <c r="I84" s="348"/>
      <c r="J84" s="377"/>
      <c r="K84" s="377"/>
      <c r="L84" s="657"/>
      <c r="M84" s="658"/>
      <c r="N84" s="631"/>
      <c r="O84" s="672"/>
      <c r="P84" s="427"/>
      <c r="Q84" s="430" t="str">
        <f t="shared" si="1"/>
        <v/>
      </c>
    </row>
    <row r="85" spans="1:17" x14ac:dyDescent="0.2">
      <c r="A85" s="427"/>
      <c r="B85" s="408">
        <v>15</v>
      </c>
      <c r="C85" s="631"/>
      <c r="D85" s="631"/>
      <c r="E85" s="631"/>
      <c r="F85" s="673"/>
      <c r="G85" s="674"/>
      <c r="H85" s="675"/>
      <c r="I85" s="348"/>
      <c r="J85" s="377"/>
      <c r="K85" s="377"/>
      <c r="L85" s="657"/>
      <c r="M85" s="658"/>
      <c r="N85" s="631"/>
      <c r="O85" s="672"/>
      <c r="P85" s="427"/>
      <c r="Q85" s="430" t="str">
        <f t="shared" si="1"/>
        <v/>
      </c>
    </row>
    <row r="86" spans="1:17" x14ac:dyDescent="0.2">
      <c r="A86" s="427"/>
      <c r="B86" s="408">
        <v>16</v>
      </c>
      <c r="C86" s="631"/>
      <c r="D86" s="631"/>
      <c r="E86" s="631"/>
      <c r="F86" s="673"/>
      <c r="G86" s="674"/>
      <c r="H86" s="675"/>
      <c r="I86" s="348"/>
      <c r="J86" s="377"/>
      <c r="K86" s="377"/>
      <c r="L86" s="657"/>
      <c r="M86" s="658"/>
      <c r="N86" s="631"/>
      <c r="O86" s="672"/>
      <c r="P86" s="427"/>
      <c r="Q86" s="430" t="str">
        <f t="shared" si="1"/>
        <v/>
      </c>
    </row>
    <row r="87" spans="1:17" x14ac:dyDescent="0.2">
      <c r="A87" s="427"/>
      <c r="B87" s="408">
        <v>17</v>
      </c>
      <c r="C87" s="631"/>
      <c r="D87" s="631"/>
      <c r="E87" s="631"/>
      <c r="F87" s="673"/>
      <c r="G87" s="674"/>
      <c r="H87" s="675"/>
      <c r="I87" s="348"/>
      <c r="J87" s="377"/>
      <c r="K87" s="377"/>
      <c r="L87" s="657"/>
      <c r="M87" s="658"/>
      <c r="N87" s="631"/>
      <c r="O87" s="672"/>
      <c r="P87" s="427"/>
      <c r="Q87" s="430" t="str">
        <f t="shared" si="1"/>
        <v/>
      </c>
    </row>
    <row r="88" spans="1:17" x14ac:dyDescent="0.2">
      <c r="A88" s="427"/>
      <c r="B88" s="408">
        <v>18</v>
      </c>
      <c r="C88" s="631"/>
      <c r="D88" s="631"/>
      <c r="E88" s="631"/>
      <c r="F88" s="673"/>
      <c r="G88" s="674"/>
      <c r="H88" s="675"/>
      <c r="I88" s="348"/>
      <c r="J88" s="377"/>
      <c r="K88" s="377"/>
      <c r="L88" s="657"/>
      <c r="M88" s="658"/>
      <c r="N88" s="631"/>
      <c r="O88" s="672"/>
      <c r="P88" s="427"/>
      <c r="Q88" s="430" t="str">
        <f t="shared" si="1"/>
        <v/>
      </c>
    </row>
    <row r="89" spans="1:17" x14ac:dyDescent="0.2">
      <c r="A89" s="427"/>
      <c r="B89" s="408">
        <v>19</v>
      </c>
      <c r="C89" s="631"/>
      <c r="D89" s="631"/>
      <c r="E89" s="631"/>
      <c r="F89" s="673"/>
      <c r="G89" s="674"/>
      <c r="H89" s="675"/>
      <c r="I89" s="348"/>
      <c r="J89" s="377"/>
      <c r="K89" s="377"/>
      <c r="L89" s="657"/>
      <c r="M89" s="658"/>
      <c r="N89" s="631"/>
      <c r="O89" s="672"/>
      <c r="P89" s="427"/>
      <c r="Q89" s="430" t="str">
        <f t="shared" si="1"/>
        <v/>
      </c>
    </row>
    <row r="90" spans="1:17" x14ac:dyDescent="0.2">
      <c r="A90" s="427"/>
      <c r="B90" s="408">
        <v>20</v>
      </c>
      <c r="C90" s="631"/>
      <c r="D90" s="631"/>
      <c r="E90" s="631"/>
      <c r="F90" s="673"/>
      <c r="G90" s="674"/>
      <c r="H90" s="675"/>
      <c r="I90" s="348"/>
      <c r="J90" s="377"/>
      <c r="K90" s="377"/>
      <c r="L90" s="657"/>
      <c r="M90" s="658"/>
      <c r="N90" s="631"/>
      <c r="O90" s="672"/>
      <c r="P90" s="427"/>
      <c r="Q90" s="430" t="str">
        <f t="shared" si="1"/>
        <v/>
      </c>
    </row>
    <row r="91" spans="1:17" ht="15.75" hidden="1" customHeight="1" x14ac:dyDescent="0.2">
      <c r="A91" s="427"/>
      <c r="B91" s="420">
        <v>1</v>
      </c>
      <c r="C91" s="619" t="s">
        <v>654</v>
      </c>
      <c r="D91" s="619"/>
      <c r="E91" s="619"/>
      <c r="F91" s="619" t="s">
        <v>678</v>
      </c>
      <c r="G91" s="619"/>
      <c r="H91" s="619"/>
      <c r="I91" s="372"/>
      <c r="J91" s="381" t="s">
        <v>709</v>
      </c>
      <c r="K91" s="381" t="s">
        <v>715</v>
      </c>
      <c r="L91" s="627"/>
      <c r="M91" s="628"/>
      <c r="N91" s="620"/>
      <c r="O91" s="621"/>
      <c r="P91" s="427"/>
    </row>
    <row r="92" spans="1:17" ht="15.75" hidden="1" customHeight="1" x14ac:dyDescent="0.2">
      <c r="A92" s="427"/>
      <c r="B92" s="420">
        <v>2</v>
      </c>
      <c r="C92" s="619" t="s">
        <v>655</v>
      </c>
      <c r="D92" s="619"/>
      <c r="E92" s="619"/>
      <c r="F92" s="619" t="s">
        <v>679</v>
      </c>
      <c r="G92" s="619"/>
      <c r="H92" s="619"/>
      <c r="I92" s="372"/>
      <c r="J92" s="381" t="s">
        <v>710</v>
      </c>
      <c r="K92" s="381" t="s">
        <v>716</v>
      </c>
      <c r="L92" s="382"/>
      <c r="M92" s="383"/>
      <c r="N92" s="620"/>
      <c r="O92" s="621"/>
      <c r="P92" s="427"/>
    </row>
    <row r="93" spans="1:17" ht="15.75" hidden="1" customHeight="1" x14ac:dyDescent="0.2">
      <c r="A93" s="427"/>
      <c r="B93" s="420">
        <v>3</v>
      </c>
      <c r="C93" s="619" t="s">
        <v>656</v>
      </c>
      <c r="D93" s="619"/>
      <c r="E93" s="619"/>
      <c r="F93" s="619" t="s">
        <v>680</v>
      </c>
      <c r="G93" s="619"/>
      <c r="H93" s="619"/>
      <c r="I93" s="372"/>
      <c r="J93" s="381" t="s">
        <v>711</v>
      </c>
      <c r="K93" s="381" t="s">
        <v>717</v>
      </c>
      <c r="L93" s="382"/>
      <c r="M93" s="383"/>
      <c r="N93" s="620"/>
      <c r="O93" s="621"/>
      <c r="P93" s="427"/>
    </row>
    <row r="94" spans="1:17" ht="15.75" hidden="1" customHeight="1" x14ac:dyDescent="0.2">
      <c r="A94" s="427"/>
      <c r="B94" s="420">
        <v>4</v>
      </c>
      <c r="C94" s="619" t="s">
        <v>657</v>
      </c>
      <c r="D94" s="619"/>
      <c r="E94" s="619"/>
      <c r="F94" s="619" t="s">
        <v>681</v>
      </c>
      <c r="G94" s="619"/>
      <c r="H94" s="619"/>
      <c r="I94" s="372"/>
      <c r="J94" s="381" t="s">
        <v>712</v>
      </c>
      <c r="K94" s="381" t="s">
        <v>718</v>
      </c>
      <c r="L94" s="382"/>
      <c r="M94" s="383"/>
      <c r="N94" s="620"/>
      <c r="O94" s="621"/>
      <c r="P94" s="427"/>
    </row>
    <row r="95" spans="1:17" ht="15.75" hidden="1" customHeight="1" x14ac:dyDescent="0.2">
      <c r="A95" s="427"/>
      <c r="B95" s="420">
        <v>5</v>
      </c>
      <c r="C95" s="619" t="s">
        <v>658</v>
      </c>
      <c r="D95" s="619"/>
      <c r="E95" s="619"/>
      <c r="F95" s="619" t="s">
        <v>682</v>
      </c>
      <c r="G95" s="619"/>
      <c r="H95" s="619"/>
      <c r="I95" s="372"/>
      <c r="J95" s="381" t="s">
        <v>713</v>
      </c>
      <c r="K95" s="381" t="s">
        <v>719</v>
      </c>
      <c r="L95" s="382"/>
      <c r="M95" s="383"/>
      <c r="N95" s="620"/>
      <c r="O95" s="621"/>
      <c r="P95" s="427"/>
    </row>
    <row r="96" spans="1:17" ht="15.75" hidden="1" customHeight="1" x14ac:dyDescent="0.2">
      <c r="A96" s="427"/>
      <c r="B96" s="420">
        <v>6</v>
      </c>
      <c r="C96" s="619" t="s">
        <v>659</v>
      </c>
      <c r="D96" s="619"/>
      <c r="E96" s="619"/>
      <c r="F96" s="619" t="s">
        <v>683</v>
      </c>
      <c r="G96" s="619"/>
      <c r="H96" s="619"/>
      <c r="I96" s="372"/>
      <c r="J96" s="381" t="s">
        <v>714</v>
      </c>
      <c r="K96" s="381" t="s">
        <v>720</v>
      </c>
      <c r="L96" s="382"/>
      <c r="M96" s="383"/>
      <c r="N96" s="620"/>
      <c r="O96" s="621"/>
      <c r="P96" s="427"/>
    </row>
    <row r="97" spans="1:16" ht="15.75" hidden="1" customHeight="1" x14ac:dyDescent="0.2">
      <c r="A97" s="427"/>
      <c r="B97" s="420">
        <v>7</v>
      </c>
      <c r="C97" s="619" t="s">
        <v>640</v>
      </c>
      <c r="D97" s="619"/>
      <c r="E97" s="619"/>
      <c r="F97" s="619" t="s">
        <v>684</v>
      </c>
      <c r="G97" s="619"/>
      <c r="H97" s="619"/>
      <c r="I97" s="372"/>
      <c r="J97" s="381"/>
      <c r="K97" s="381" t="s">
        <v>721</v>
      </c>
      <c r="L97" s="382"/>
      <c r="M97" s="383"/>
      <c r="N97" s="620"/>
      <c r="O97" s="621"/>
      <c r="P97" s="427"/>
    </row>
    <row r="98" spans="1:16" ht="15.75" hidden="1" customHeight="1" x14ac:dyDescent="0.2">
      <c r="A98" s="427"/>
      <c r="B98" s="420">
        <v>8</v>
      </c>
      <c r="C98" s="619" t="s">
        <v>660</v>
      </c>
      <c r="D98" s="619"/>
      <c r="E98" s="619"/>
      <c r="F98" s="619" t="s">
        <v>685</v>
      </c>
      <c r="G98" s="619"/>
      <c r="H98" s="619"/>
      <c r="I98" s="372"/>
      <c r="J98" s="381"/>
      <c r="K98" s="381" t="s">
        <v>715</v>
      </c>
      <c r="L98" s="382"/>
      <c r="M98" s="383"/>
      <c r="N98" s="620"/>
      <c r="O98" s="621"/>
      <c r="P98" s="427"/>
    </row>
    <row r="99" spans="1:16" ht="15.75" hidden="1" customHeight="1" x14ac:dyDescent="0.2">
      <c r="A99" s="427"/>
      <c r="B99" s="420">
        <v>9</v>
      </c>
      <c r="C99" s="619" t="s">
        <v>661</v>
      </c>
      <c r="D99" s="619"/>
      <c r="E99" s="619"/>
      <c r="F99" s="619" t="s">
        <v>686</v>
      </c>
      <c r="G99" s="619"/>
      <c r="H99" s="619"/>
      <c r="I99" s="372"/>
      <c r="J99" s="381"/>
      <c r="K99" s="381" t="s">
        <v>722</v>
      </c>
      <c r="L99" s="382"/>
      <c r="M99" s="383"/>
      <c r="N99" s="620"/>
      <c r="O99" s="621"/>
      <c r="P99" s="427"/>
    </row>
    <row r="100" spans="1:16" ht="15.75" hidden="1" customHeight="1" x14ac:dyDescent="0.2">
      <c r="A100" s="427"/>
      <c r="B100" s="420">
        <v>10</v>
      </c>
      <c r="C100" s="619" t="s">
        <v>662</v>
      </c>
      <c r="D100" s="619"/>
      <c r="E100" s="619"/>
      <c r="F100" s="619" t="s">
        <v>687</v>
      </c>
      <c r="G100" s="619"/>
      <c r="H100" s="619"/>
      <c r="I100" s="372"/>
      <c r="J100" s="381"/>
      <c r="K100" s="381" t="s">
        <v>723</v>
      </c>
      <c r="L100" s="382"/>
      <c r="M100" s="383"/>
      <c r="N100" s="620"/>
      <c r="O100" s="621"/>
      <c r="P100" s="427"/>
    </row>
    <row r="101" spans="1:16" ht="15.75" hidden="1" customHeight="1" x14ac:dyDescent="0.2">
      <c r="A101" s="427"/>
      <c r="B101" s="420">
        <v>11</v>
      </c>
      <c r="C101" s="619" t="s">
        <v>663</v>
      </c>
      <c r="D101" s="619"/>
      <c r="E101" s="619"/>
      <c r="F101" s="619" t="s">
        <v>688</v>
      </c>
      <c r="G101" s="619"/>
      <c r="H101" s="619"/>
      <c r="I101" s="372"/>
      <c r="J101" s="381"/>
      <c r="K101" s="381" t="s">
        <v>724</v>
      </c>
      <c r="L101" s="382"/>
      <c r="M101" s="383"/>
      <c r="N101" s="620"/>
      <c r="O101" s="621"/>
      <c r="P101" s="427"/>
    </row>
    <row r="102" spans="1:16" ht="15.75" hidden="1" customHeight="1" x14ac:dyDescent="0.2">
      <c r="A102" s="427"/>
      <c r="B102" s="420">
        <v>12</v>
      </c>
      <c r="C102" s="619" t="s">
        <v>664</v>
      </c>
      <c r="D102" s="619"/>
      <c r="E102" s="619"/>
      <c r="F102" s="619" t="s">
        <v>689</v>
      </c>
      <c r="G102" s="619"/>
      <c r="H102" s="619"/>
      <c r="I102" s="372"/>
      <c r="J102" s="381"/>
      <c r="K102" s="381" t="s">
        <v>725</v>
      </c>
      <c r="L102" s="382"/>
      <c r="M102" s="383"/>
      <c r="N102" s="620"/>
      <c r="O102" s="621"/>
      <c r="P102" s="427"/>
    </row>
    <row r="103" spans="1:16" ht="15.75" hidden="1" customHeight="1" x14ac:dyDescent="0.2">
      <c r="A103" s="427"/>
      <c r="B103" s="420">
        <v>13</v>
      </c>
      <c r="C103" s="619" t="s">
        <v>665</v>
      </c>
      <c r="D103" s="619"/>
      <c r="E103" s="619"/>
      <c r="F103" s="619" t="s">
        <v>690</v>
      </c>
      <c r="G103" s="619"/>
      <c r="H103" s="619"/>
      <c r="I103" s="372"/>
      <c r="J103" s="381"/>
      <c r="K103" s="381" t="s">
        <v>726</v>
      </c>
      <c r="L103" s="382"/>
      <c r="M103" s="383"/>
      <c r="N103" s="620"/>
      <c r="O103" s="621"/>
      <c r="P103" s="427"/>
    </row>
    <row r="104" spans="1:16" ht="15.75" hidden="1" customHeight="1" x14ac:dyDescent="0.2">
      <c r="A104" s="427"/>
      <c r="B104" s="420">
        <v>14</v>
      </c>
      <c r="C104" s="619" t="s">
        <v>666</v>
      </c>
      <c r="D104" s="619"/>
      <c r="E104" s="619"/>
      <c r="F104" s="619" t="s">
        <v>691</v>
      </c>
      <c r="G104" s="619"/>
      <c r="H104" s="619"/>
      <c r="I104" s="372"/>
      <c r="J104" s="381"/>
      <c r="K104" s="381" t="s">
        <v>727</v>
      </c>
      <c r="L104" s="382"/>
      <c r="M104" s="383"/>
      <c r="N104" s="620"/>
      <c r="O104" s="621"/>
      <c r="P104" s="427"/>
    </row>
    <row r="105" spans="1:16" ht="15.75" hidden="1" customHeight="1" x14ac:dyDescent="0.2">
      <c r="A105" s="427"/>
      <c r="B105" s="420">
        <v>15</v>
      </c>
      <c r="C105" s="619" t="s">
        <v>667</v>
      </c>
      <c r="D105" s="619"/>
      <c r="E105" s="619"/>
      <c r="F105" s="619" t="s">
        <v>692</v>
      </c>
      <c r="G105" s="619"/>
      <c r="H105" s="619"/>
      <c r="I105" s="372"/>
      <c r="J105" s="381"/>
      <c r="K105" s="381" t="s">
        <v>728</v>
      </c>
      <c r="L105" s="382"/>
      <c r="M105" s="383"/>
      <c r="N105" s="620"/>
      <c r="O105" s="621"/>
      <c r="P105" s="427"/>
    </row>
    <row r="106" spans="1:16" ht="15.75" hidden="1" customHeight="1" x14ac:dyDescent="0.2">
      <c r="A106" s="427"/>
      <c r="B106" s="420">
        <v>16</v>
      </c>
      <c r="C106" s="619" t="s">
        <v>668</v>
      </c>
      <c r="D106" s="619"/>
      <c r="E106" s="619"/>
      <c r="F106" s="619" t="s">
        <v>693</v>
      </c>
      <c r="G106" s="619"/>
      <c r="H106" s="619"/>
      <c r="I106" s="372"/>
      <c r="J106" s="381"/>
      <c r="K106" s="381" t="s">
        <v>729</v>
      </c>
      <c r="L106" s="382"/>
      <c r="M106" s="383"/>
      <c r="N106" s="620"/>
      <c r="O106" s="621"/>
      <c r="P106" s="427"/>
    </row>
    <row r="107" spans="1:16" hidden="1" x14ac:dyDescent="0.2">
      <c r="A107" s="427"/>
      <c r="B107" s="420">
        <v>17</v>
      </c>
      <c r="C107" s="619" t="s">
        <v>669</v>
      </c>
      <c r="D107" s="619"/>
      <c r="E107" s="619"/>
      <c r="F107" s="619" t="s">
        <v>694</v>
      </c>
      <c r="G107" s="619"/>
      <c r="H107" s="619"/>
      <c r="I107" s="372"/>
      <c r="J107" s="381"/>
      <c r="K107" s="381" t="s">
        <v>730</v>
      </c>
      <c r="L107" s="382"/>
      <c r="M107" s="383"/>
      <c r="N107" s="620"/>
      <c r="O107" s="621"/>
      <c r="P107" s="427"/>
    </row>
    <row r="108" spans="1:16" hidden="1" x14ac:dyDescent="0.2">
      <c r="A108" s="427"/>
      <c r="B108" s="420">
        <v>18</v>
      </c>
      <c r="C108" s="619" t="s">
        <v>670</v>
      </c>
      <c r="D108" s="619"/>
      <c r="E108" s="619"/>
      <c r="F108" s="619" t="s">
        <v>695</v>
      </c>
      <c r="G108" s="619"/>
      <c r="H108" s="619"/>
      <c r="I108" s="372"/>
      <c r="J108" s="381"/>
      <c r="K108" s="381"/>
      <c r="L108" s="382"/>
      <c r="M108" s="383"/>
      <c r="N108" s="620"/>
      <c r="O108" s="621"/>
      <c r="P108" s="427"/>
    </row>
    <row r="109" spans="1:16" hidden="1" x14ac:dyDescent="0.2">
      <c r="A109" s="427"/>
      <c r="B109" s="420">
        <v>19</v>
      </c>
      <c r="C109" s="619" t="s">
        <v>671</v>
      </c>
      <c r="D109" s="619"/>
      <c r="E109" s="619"/>
      <c r="F109" s="619" t="s">
        <v>696</v>
      </c>
      <c r="G109" s="619"/>
      <c r="H109" s="619"/>
      <c r="I109" s="372"/>
      <c r="J109" s="381"/>
      <c r="K109" s="381"/>
      <c r="L109" s="382"/>
      <c r="M109" s="383"/>
      <c r="N109" s="620"/>
      <c r="O109" s="621"/>
      <c r="P109" s="427"/>
    </row>
    <row r="110" spans="1:16" hidden="1" x14ac:dyDescent="0.2">
      <c r="A110" s="427"/>
      <c r="B110" s="420">
        <v>20</v>
      </c>
      <c r="C110" s="619" t="s">
        <v>672</v>
      </c>
      <c r="D110" s="619"/>
      <c r="E110" s="619"/>
      <c r="F110" s="619" t="s">
        <v>697</v>
      </c>
      <c r="G110" s="619"/>
      <c r="H110" s="619"/>
      <c r="I110" s="372"/>
      <c r="J110" s="381"/>
      <c r="K110" s="381"/>
      <c r="L110" s="382"/>
      <c r="M110" s="383"/>
      <c r="N110" s="620"/>
      <c r="O110" s="621"/>
      <c r="P110" s="427"/>
    </row>
    <row r="111" spans="1:16" hidden="1" x14ac:dyDescent="0.2">
      <c r="A111" s="427"/>
      <c r="B111" s="420">
        <v>21</v>
      </c>
      <c r="C111" s="619" t="s">
        <v>673</v>
      </c>
      <c r="D111" s="619"/>
      <c r="E111" s="619"/>
      <c r="F111" s="619" t="s">
        <v>698</v>
      </c>
      <c r="G111" s="619"/>
      <c r="H111" s="619"/>
      <c r="I111" s="372"/>
      <c r="J111" s="381"/>
      <c r="K111" s="381"/>
      <c r="L111" s="382"/>
      <c r="M111" s="383"/>
      <c r="N111" s="620"/>
      <c r="O111" s="621"/>
      <c r="P111" s="427"/>
    </row>
    <row r="112" spans="1:16" hidden="1" x14ac:dyDescent="0.2">
      <c r="A112" s="427"/>
      <c r="B112" s="420">
        <v>22</v>
      </c>
      <c r="C112" s="619" t="s">
        <v>674</v>
      </c>
      <c r="D112" s="619"/>
      <c r="E112" s="619"/>
      <c r="F112" s="619" t="s">
        <v>699</v>
      </c>
      <c r="G112" s="619"/>
      <c r="H112" s="619"/>
      <c r="I112" s="372"/>
      <c r="J112" s="381"/>
      <c r="K112" s="381"/>
      <c r="L112" s="382"/>
      <c r="M112" s="383"/>
      <c r="N112" s="620"/>
      <c r="O112" s="621"/>
      <c r="P112" s="427"/>
    </row>
    <row r="113" spans="1:16" hidden="1" x14ac:dyDescent="0.2">
      <c r="A113" s="427"/>
      <c r="B113" s="420">
        <v>23</v>
      </c>
      <c r="C113" s="619" t="s">
        <v>675</v>
      </c>
      <c r="D113" s="619"/>
      <c r="E113" s="619"/>
      <c r="F113" s="619" t="s">
        <v>700</v>
      </c>
      <c r="G113" s="619"/>
      <c r="H113" s="619"/>
      <c r="I113" s="372"/>
      <c r="J113" s="381"/>
      <c r="K113" s="381"/>
      <c r="L113" s="382"/>
      <c r="M113" s="383"/>
      <c r="N113" s="620"/>
      <c r="O113" s="621"/>
      <c r="P113" s="427"/>
    </row>
    <row r="114" spans="1:16" hidden="1" x14ac:dyDescent="0.2">
      <c r="A114" s="427"/>
      <c r="B114" s="420">
        <v>24</v>
      </c>
      <c r="C114" s="619" t="s">
        <v>676</v>
      </c>
      <c r="D114" s="619"/>
      <c r="E114" s="619"/>
      <c r="F114" s="619" t="s">
        <v>701</v>
      </c>
      <c r="G114" s="619"/>
      <c r="H114" s="619"/>
      <c r="I114" s="372"/>
      <c r="J114" s="381"/>
      <c r="K114" s="381"/>
      <c r="L114" s="382"/>
      <c r="M114" s="383"/>
      <c r="N114" s="620"/>
      <c r="O114" s="621"/>
      <c r="P114" s="427"/>
    </row>
    <row r="115" spans="1:16" hidden="1" x14ac:dyDescent="0.2">
      <c r="A115" s="427"/>
      <c r="B115" s="420">
        <v>25</v>
      </c>
      <c r="C115" s="619" t="s">
        <v>677</v>
      </c>
      <c r="D115" s="619"/>
      <c r="E115" s="619"/>
      <c r="F115" s="619" t="s">
        <v>702</v>
      </c>
      <c r="G115" s="619"/>
      <c r="H115" s="619"/>
      <c r="I115" s="372"/>
      <c r="J115" s="381"/>
      <c r="K115" s="381"/>
      <c r="L115" s="382"/>
      <c r="M115" s="383"/>
      <c r="N115" s="620"/>
      <c r="O115" s="621"/>
      <c r="P115" s="427"/>
    </row>
    <row r="116" spans="1:16" hidden="1" x14ac:dyDescent="0.2">
      <c r="A116" s="427"/>
      <c r="B116" s="420">
        <v>26</v>
      </c>
      <c r="C116" s="619"/>
      <c r="D116" s="619"/>
      <c r="E116" s="619"/>
      <c r="F116" s="619" t="s">
        <v>703</v>
      </c>
      <c r="G116" s="619"/>
      <c r="H116" s="619"/>
      <c r="I116" s="372"/>
      <c r="J116" s="381"/>
      <c r="K116" s="381"/>
      <c r="L116" s="382"/>
      <c r="M116" s="383"/>
      <c r="N116" s="620"/>
      <c r="O116" s="621"/>
      <c r="P116" s="427"/>
    </row>
    <row r="117" spans="1:16" hidden="1" x14ac:dyDescent="0.2">
      <c r="A117" s="427"/>
      <c r="B117" s="420">
        <v>27</v>
      </c>
      <c r="C117" s="619"/>
      <c r="D117" s="619"/>
      <c r="E117" s="619"/>
      <c r="F117" s="619" t="s">
        <v>704</v>
      </c>
      <c r="G117" s="619"/>
      <c r="H117" s="619"/>
      <c r="I117" s="372"/>
      <c r="J117" s="381"/>
      <c r="K117" s="381"/>
      <c r="L117" s="382"/>
      <c r="M117" s="383"/>
      <c r="N117" s="620"/>
      <c r="O117" s="621"/>
      <c r="P117" s="427"/>
    </row>
    <row r="118" spans="1:16" hidden="1" x14ac:dyDescent="0.2">
      <c r="A118" s="427"/>
      <c r="B118" s="420">
        <v>28</v>
      </c>
      <c r="C118" s="619"/>
      <c r="D118" s="619"/>
      <c r="E118" s="619"/>
      <c r="F118" s="619" t="s">
        <v>705</v>
      </c>
      <c r="G118" s="619"/>
      <c r="H118" s="619"/>
      <c r="I118" s="372"/>
      <c r="J118" s="381"/>
      <c r="K118" s="381"/>
      <c r="L118" s="382"/>
      <c r="M118" s="383"/>
      <c r="N118" s="620"/>
      <c r="O118" s="621"/>
      <c r="P118" s="427"/>
    </row>
    <row r="119" spans="1:16" hidden="1" x14ac:dyDescent="0.2">
      <c r="A119" s="427"/>
      <c r="B119" s="420">
        <v>29</v>
      </c>
      <c r="C119" s="619"/>
      <c r="D119" s="619"/>
      <c r="E119" s="619"/>
      <c r="F119" s="619" t="s">
        <v>706</v>
      </c>
      <c r="G119" s="619"/>
      <c r="H119" s="619"/>
      <c r="I119" s="372"/>
      <c r="J119" s="381"/>
      <c r="K119" s="381"/>
      <c r="L119" s="382"/>
      <c r="M119" s="383"/>
      <c r="N119" s="620"/>
      <c r="O119" s="621"/>
      <c r="P119" s="427"/>
    </row>
    <row r="120" spans="1:16" hidden="1" x14ac:dyDescent="0.2">
      <c r="A120" s="427"/>
      <c r="B120" s="420">
        <v>30</v>
      </c>
      <c r="C120" s="619"/>
      <c r="D120" s="619"/>
      <c r="E120" s="619"/>
      <c r="F120" s="619" t="s">
        <v>707</v>
      </c>
      <c r="G120" s="619"/>
      <c r="H120" s="619"/>
      <c r="I120" s="372"/>
      <c r="J120" s="381"/>
      <c r="K120" s="381"/>
      <c r="L120" s="382"/>
      <c r="M120" s="383"/>
      <c r="N120" s="620"/>
      <c r="O120" s="621"/>
      <c r="P120" s="427"/>
    </row>
    <row r="121" spans="1:16" hidden="1" x14ac:dyDescent="0.2">
      <c r="A121" s="427"/>
      <c r="B121" s="420">
        <v>31</v>
      </c>
      <c r="C121" s="619"/>
      <c r="D121" s="619"/>
      <c r="E121" s="619"/>
      <c r="F121" s="619" t="s">
        <v>708</v>
      </c>
      <c r="G121" s="619"/>
      <c r="H121" s="619"/>
      <c r="I121" s="372"/>
      <c r="J121" s="381"/>
      <c r="K121" s="381"/>
      <c r="L121" s="382"/>
      <c r="M121" s="383"/>
      <c r="N121" s="620"/>
      <c r="O121" s="621"/>
      <c r="P121" s="427"/>
    </row>
    <row r="122" spans="1:16" hidden="1" x14ac:dyDescent="0.2">
      <c r="A122" s="427"/>
      <c r="B122" s="420">
        <v>32</v>
      </c>
      <c r="C122" s="619"/>
      <c r="D122" s="619"/>
      <c r="E122" s="619"/>
      <c r="F122" s="619"/>
      <c r="G122" s="619"/>
      <c r="H122" s="619"/>
      <c r="I122" s="372"/>
      <c r="J122" s="381"/>
      <c r="K122" s="381"/>
      <c r="L122" s="382"/>
      <c r="M122" s="383"/>
      <c r="N122" s="620"/>
      <c r="O122" s="621"/>
      <c r="P122" s="427"/>
    </row>
    <row r="123" spans="1:16" hidden="1" x14ac:dyDescent="0.2">
      <c r="A123" s="427"/>
      <c r="B123" s="420">
        <v>33</v>
      </c>
      <c r="C123" s="619"/>
      <c r="D123" s="619"/>
      <c r="E123" s="619"/>
      <c r="F123" s="619"/>
      <c r="G123" s="619"/>
      <c r="H123" s="619"/>
      <c r="I123" s="372"/>
      <c r="J123" s="381"/>
      <c r="K123" s="381"/>
      <c r="L123" s="382"/>
      <c r="M123" s="383"/>
      <c r="N123" s="620"/>
      <c r="O123" s="621"/>
      <c r="P123" s="427"/>
    </row>
    <row r="124" spans="1:16" hidden="1" x14ac:dyDescent="0.2">
      <c r="A124" s="427"/>
      <c r="B124" s="420">
        <v>34</v>
      </c>
      <c r="C124" s="619"/>
      <c r="D124" s="619"/>
      <c r="E124" s="619"/>
      <c r="F124" s="619"/>
      <c r="G124" s="619"/>
      <c r="H124" s="619"/>
      <c r="I124" s="372"/>
      <c r="J124" s="381"/>
      <c r="K124" s="381"/>
      <c r="L124" s="382"/>
      <c r="M124" s="383"/>
      <c r="N124" s="620"/>
      <c r="O124" s="621"/>
      <c r="P124" s="427"/>
    </row>
    <row r="125" spans="1:16" hidden="1" x14ac:dyDescent="0.2">
      <c r="A125" s="427"/>
      <c r="B125" s="420">
        <v>35</v>
      </c>
      <c r="C125" s="619"/>
      <c r="D125" s="619"/>
      <c r="E125" s="619"/>
      <c r="F125" s="619"/>
      <c r="G125" s="619"/>
      <c r="H125" s="619"/>
      <c r="I125" s="372"/>
      <c r="J125" s="381"/>
      <c r="K125" s="381"/>
      <c r="L125" s="382"/>
      <c r="M125" s="383"/>
      <c r="N125" s="620"/>
      <c r="O125" s="621"/>
      <c r="P125" s="427"/>
    </row>
    <row r="126" spans="1:16" hidden="1" x14ac:dyDescent="0.2">
      <c r="A126" s="427"/>
      <c r="B126" s="420">
        <v>36</v>
      </c>
      <c r="C126" s="619"/>
      <c r="D126" s="619"/>
      <c r="E126" s="619"/>
      <c r="F126" s="619"/>
      <c r="G126" s="619"/>
      <c r="H126" s="619"/>
      <c r="I126" s="372"/>
      <c r="J126" s="381"/>
      <c r="K126" s="381"/>
      <c r="L126" s="382"/>
      <c r="M126" s="383"/>
      <c r="N126" s="620"/>
      <c r="O126" s="621"/>
      <c r="P126" s="427"/>
    </row>
    <row r="127" spans="1:16" hidden="1" x14ac:dyDescent="0.2">
      <c r="A127" s="427"/>
      <c r="B127" s="420">
        <v>37</v>
      </c>
      <c r="C127" s="619"/>
      <c r="D127" s="619"/>
      <c r="E127" s="619"/>
      <c r="F127" s="619"/>
      <c r="G127" s="619"/>
      <c r="H127" s="619"/>
      <c r="I127" s="372"/>
      <c r="J127" s="381"/>
      <c r="K127" s="381"/>
      <c r="L127" s="382"/>
      <c r="M127" s="383"/>
      <c r="N127" s="620"/>
      <c r="O127" s="621"/>
      <c r="P127" s="427"/>
    </row>
    <row r="128" spans="1:16" hidden="1" x14ac:dyDescent="0.2">
      <c r="A128" s="427"/>
      <c r="B128" s="420">
        <v>38</v>
      </c>
      <c r="C128" s="619"/>
      <c r="D128" s="619"/>
      <c r="E128" s="619"/>
      <c r="F128" s="619"/>
      <c r="G128" s="619"/>
      <c r="H128" s="619"/>
      <c r="I128" s="372"/>
      <c r="J128" s="381"/>
      <c r="K128" s="381"/>
      <c r="L128" s="382"/>
      <c r="M128" s="383"/>
      <c r="N128" s="620"/>
      <c r="O128" s="621"/>
      <c r="P128" s="427"/>
    </row>
    <row r="129" spans="1:16" hidden="1" x14ac:dyDescent="0.2">
      <c r="A129" s="427"/>
      <c r="B129" s="420">
        <v>39</v>
      </c>
      <c r="C129" s="619"/>
      <c r="D129" s="619"/>
      <c r="E129" s="619"/>
      <c r="F129" s="619"/>
      <c r="G129" s="619"/>
      <c r="H129" s="619"/>
      <c r="I129" s="372"/>
      <c r="J129" s="381"/>
      <c r="K129" s="381"/>
      <c r="L129" s="382"/>
      <c r="M129" s="383"/>
      <c r="N129" s="620"/>
      <c r="O129" s="621"/>
      <c r="P129" s="427"/>
    </row>
    <row r="130" spans="1:16" hidden="1" x14ac:dyDescent="0.2">
      <c r="A130" s="427"/>
      <c r="B130" s="420">
        <v>40</v>
      </c>
      <c r="C130" s="619"/>
      <c r="D130" s="619"/>
      <c r="E130" s="619"/>
      <c r="F130" s="619"/>
      <c r="G130" s="619"/>
      <c r="H130" s="619"/>
      <c r="I130" s="372"/>
      <c r="J130" s="381"/>
      <c r="K130" s="381"/>
      <c r="L130" s="382"/>
      <c r="M130" s="383"/>
      <c r="N130" s="620"/>
      <c r="O130" s="621"/>
      <c r="P130" s="427"/>
    </row>
    <row r="131" spans="1:16" hidden="1" x14ac:dyDescent="0.2">
      <c r="A131" s="427"/>
      <c r="B131" s="420">
        <v>41</v>
      </c>
      <c r="C131" s="619"/>
      <c r="D131" s="619"/>
      <c r="E131" s="619"/>
      <c r="F131" s="619"/>
      <c r="G131" s="619"/>
      <c r="H131" s="619"/>
      <c r="I131" s="372"/>
      <c r="J131" s="381"/>
      <c r="K131" s="381"/>
      <c r="L131" s="382"/>
      <c r="M131" s="383"/>
      <c r="N131" s="620"/>
      <c r="O131" s="621"/>
      <c r="P131" s="427"/>
    </row>
    <row r="132" spans="1:16" hidden="1" x14ac:dyDescent="0.2">
      <c r="A132" s="427"/>
      <c r="B132" s="420">
        <v>42</v>
      </c>
      <c r="C132" s="619"/>
      <c r="D132" s="619"/>
      <c r="E132" s="619"/>
      <c r="F132" s="619"/>
      <c r="G132" s="619"/>
      <c r="H132" s="619"/>
      <c r="I132" s="372"/>
      <c r="J132" s="381"/>
      <c r="K132" s="381"/>
      <c r="L132" s="382"/>
      <c r="M132" s="383"/>
      <c r="N132" s="620"/>
      <c r="O132" s="621"/>
      <c r="P132" s="427"/>
    </row>
    <row r="133" spans="1:16" hidden="1" x14ac:dyDescent="0.2">
      <c r="A133" s="427"/>
      <c r="B133" s="420">
        <v>43</v>
      </c>
      <c r="C133" s="619"/>
      <c r="D133" s="619"/>
      <c r="E133" s="619"/>
      <c r="F133" s="619"/>
      <c r="G133" s="619"/>
      <c r="H133" s="619"/>
      <c r="I133" s="372"/>
      <c r="J133" s="381"/>
      <c r="K133" s="381"/>
      <c r="L133" s="382"/>
      <c r="M133" s="383"/>
      <c r="N133" s="620"/>
      <c r="O133" s="621"/>
      <c r="P133" s="427"/>
    </row>
    <row r="134" spans="1:16" hidden="1" x14ac:dyDescent="0.2">
      <c r="A134" s="427"/>
      <c r="B134" s="420">
        <v>44</v>
      </c>
      <c r="C134" s="619"/>
      <c r="D134" s="619"/>
      <c r="E134" s="619"/>
      <c r="F134" s="619"/>
      <c r="G134" s="619"/>
      <c r="H134" s="619"/>
      <c r="I134" s="372"/>
      <c r="J134" s="381"/>
      <c r="K134" s="381"/>
      <c r="L134" s="382"/>
      <c r="M134" s="383"/>
      <c r="N134" s="620"/>
      <c r="O134" s="621"/>
      <c r="P134" s="427"/>
    </row>
    <row r="135" spans="1:16" hidden="1" x14ac:dyDescent="0.2">
      <c r="A135" s="427"/>
      <c r="B135" s="420">
        <v>45</v>
      </c>
      <c r="C135" s="619"/>
      <c r="D135" s="619"/>
      <c r="E135" s="619"/>
      <c r="F135" s="619"/>
      <c r="G135" s="619"/>
      <c r="H135" s="619"/>
      <c r="I135" s="372"/>
      <c r="J135" s="381"/>
      <c r="K135" s="381"/>
      <c r="L135" s="382"/>
      <c r="M135" s="383"/>
      <c r="N135" s="620"/>
      <c r="O135" s="621"/>
      <c r="P135" s="427"/>
    </row>
    <row r="136" spans="1:16" hidden="1" x14ac:dyDescent="0.2">
      <c r="A136" s="427"/>
      <c r="B136" s="420">
        <v>46</v>
      </c>
      <c r="C136" s="619"/>
      <c r="D136" s="619"/>
      <c r="E136" s="619"/>
      <c r="F136" s="619"/>
      <c r="G136" s="619"/>
      <c r="H136" s="619"/>
      <c r="I136" s="372"/>
      <c r="J136" s="381"/>
      <c r="K136" s="381"/>
      <c r="L136" s="382"/>
      <c r="M136" s="383"/>
      <c r="N136" s="620"/>
      <c r="O136" s="621"/>
      <c r="P136" s="427"/>
    </row>
    <row r="137" spans="1:16" hidden="1" x14ac:dyDescent="0.2">
      <c r="A137" s="427"/>
      <c r="B137" s="420">
        <v>47</v>
      </c>
      <c r="C137" s="619"/>
      <c r="D137" s="619"/>
      <c r="E137" s="619"/>
      <c r="F137" s="619"/>
      <c r="G137" s="619"/>
      <c r="H137" s="619"/>
      <c r="I137" s="372"/>
      <c r="J137" s="381"/>
      <c r="K137" s="381"/>
      <c r="L137" s="382"/>
      <c r="M137" s="383"/>
      <c r="N137" s="620"/>
      <c r="O137" s="621"/>
      <c r="P137" s="427"/>
    </row>
    <row r="138" spans="1:16" hidden="1" x14ac:dyDescent="0.2">
      <c r="A138" s="427"/>
      <c r="B138" s="420">
        <v>48</v>
      </c>
      <c r="C138" s="619"/>
      <c r="D138" s="619"/>
      <c r="E138" s="619"/>
      <c r="F138" s="619"/>
      <c r="G138" s="619"/>
      <c r="H138" s="619"/>
      <c r="I138" s="372"/>
      <c r="J138" s="381"/>
      <c r="K138" s="381"/>
      <c r="L138" s="382"/>
      <c r="M138" s="383"/>
      <c r="N138" s="620"/>
      <c r="O138" s="621"/>
      <c r="P138" s="427"/>
    </row>
    <row r="139" spans="1:16" hidden="1" x14ac:dyDescent="0.2">
      <c r="A139" s="427"/>
      <c r="B139" s="420">
        <v>49</v>
      </c>
      <c r="C139" s="619"/>
      <c r="D139" s="619"/>
      <c r="E139" s="619"/>
      <c r="F139" s="619"/>
      <c r="G139" s="619"/>
      <c r="H139" s="619"/>
      <c r="I139" s="372"/>
      <c r="J139" s="381"/>
      <c r="K139" s="381"/>
      <c r="L139" s="627"/>
      <c r="M139" s="628"/>
      <c r="N139" s="620"/>
      <c r="O139" s="621"/>
      <c r="P139" s="427"/>
    </row>
    <row r="140" spans="1:16" hidden="1" x14ac:dyDescent="0.2">
      <c r="A140" s="427"/>
      <c r="B140" s="420">
        <v>50</v>
      </c>
      <c r="C140" s="619"/>
      <c r="D140" s="619"/>
      <c r="E140" s="619"/>
      <c r="F140" s="619"/>
      <c r="G140" s="619"/>
      <c r="H140" s="619"/>
      <c r="I140" s="372"/>
      <c r="J140" s="381"/>
      <c r="K140" s="381"/>
      <c r="L140" s="627"/>
      <c r="M140" s="628"/>
      <c r="N140" s="620"/>
      <c r="O140" s="621"/>
      <c r="P140" s="427"/>
    </row>
    <row r="141" spans="1:16" hidden="1" x14ac:dyDescent="0.2">
      <c r="A141" s="427"/>
      <c r="B141" s="420">
        <v>51</v>
      </c>
      <c r="C141" s="619"/>
      <c r="D141" s="619"/>
      <c r="E141" s="619"/>
      <c r="F141" s="619"/>
      <c r="G141" s="619"/>
      <c r="H141" s="619"/>
      <c r="I141" s="372"/>
      <c r="J141" s="381"/>
      <c r="K141" s="381"/>
      <c r="L141" s="627"/>
      <c r="M141" s="628"/>
      <c r="N141" s="620"/>
      <c r="O141" s="621"/>
      <c r="P141" s="427"/>
    </row>
    <row r="142" spans="1:16" hidden="1" x14ac:dyDescent="0.2">
      <c r="A142" s="427"/>
      <c r="B142" s="420">
        <v>52</v>
      </c>
      <c r="C142" s="619"/>
      <c r="D142" s="619"/>
      <c r="E142" s="619"/>
      <c r="F142" s="619"/>
      <c r="G142" s="619"/>
      <c r="H142" s="619"/>
      <c r="I142" s="372"/>
      <c r="J142" s="381"/>
      <c r="K142" s="381"/>
      <c r="L142" s="627"/>
      <c r="M142" s="628"/>
      <c r="N142" s="620"/>
      <c r="O142" s="621"/>
      <c r="P142" s="427"/>
    </row>
    <row r="143" spans="1:16" hidden="1" x14ac:dyDescent="0.2">
      <c r="A143" s="427"/>
      <c r="B143" s="420">
        <v>53</v>
      </c>
      <c r="C143" s="619"/>
      <c r="D143" s="619"/>
      <c r="E143" s="619"/>
      <c r="F143" s="619"/>
      <c r="G143" s="619"/>
      <c r="H143" s="619"/>
      <c r="I143" s="372"/>
      <c r="J143" s="381"/>
      <c r="K143" s="381"/>
      <c r="L143" s="627"/>
      <c r="M143" s="628"/>
      <c r="N143" s="620"/>
      <c r="O143" s="621"/>
      <c r="P143" s="427"/>
    </row>
    <row r="144" spans="1:16" hidden="1" x14ac:dyDescent="0.2">
      <c r="A144" s="427"/>
      <c r="B144" s="420">
        <v>54</v>
      </c>
      <c r="C144" s="619"/>
      <c r="D144" s="619"/>
      <c r="E144" s="619"/>
      <c r="F144" s="619"/>
      <c r="G144" s="619"/>
      <c r="H144" s="619"/>
      <c r="I144" s="372"/>
      <c r="J144" s="381"/>
      <c r="K144" s="381"/>
      <c r="L144" s="627"/>
      <c r="M144" s="628"/>
      <c r="N144" s="620"/>
      <c r="O144" s="621"/>
      <c r="P144" s="427"/>
    </row>
    <row r="145" spans="1:17" hidden="1" x14ac:dyDescent="0.2">
      <c r="A145" s="427"/>
      <c r="B145" s="420">
        <v>55</v>
      </c>
      <c r="C145" s="619"/>
      <c r="D145" s="619"/>
      <c r="E145" s="619"/>
      <c r="F145" s="619"/>
      <c r="G145" s="619"/>
      <c r="H145" s="619"/>
      <c r="I145" s="372"/>
      <c r="J145" s="381"/>
      <c r="K145" s="381"/>
      <c r="L145" s="627"/>
      <c r="M145" s="628"/>
      <c r="N145" s="620"/>
      <c r="O145" s="621"/>
      <c r="P145" s="427"/>
    </row>
    <row r="146" spans="1:17" hidden="1" x14ac:dyDescent="0.2">
      <c r="A146" s="427"/>
      <c r="B146" s="420">
        <v>56</v>
      </c>
      <c r="C146" s="619"/>
      <c r="D146" s="619"/>
      <c r="E146" s="619"/>
      <c r="F146" s="619"/>
      <c r="G146" s="619"/>
      <c r="H146" s="619"/>
      <c r="I146" s="372"/>
      <c r="J146" s="381"/>
      <c r="K146" s="381"/>
      <c r="L146" s="627"/>
      <c r="M146" s="628"/>
      <c r="N146" s="620"/>
      <c r="O146" s="621"/>
      <c r="P146" s="427"/>
    </row>
    <row r="147" spans="1:17" hidden="1" x14ac:dyDescent="0.2">
      <c r="A147" s="427"/>
      <c r="B147" s="420">
        <v>57</v>
      </c>
      <c r="C147" s="619"/>
      <c r="D147" s="619"/>
      <c r="E147" s="619"/>
      <c r="F147" s="619"/>
      <c r="G147" s="619"/>
      <c r="H147" s="619"/>
      <c r="I147" s="372"/>
      <c r="J147" s="381"/>
      <c r="K147" s="381"/>
      <c r="L147" s="627"/>
      <c r="M147" s="628"/>
      <c r="N147" s="620"/>
      <c r="O147" s="621"/>
      <c r="P147" s="427"/>
    </row>
    <row r="148" spans="1:17" hidden="1" x14ac:dyDescent="0.2">
      <c r="A148" s="427"/>
      <c r="B148" s="420">
        <v>58</v>
      </c>
      <c r="C148" s="619"/>
      <c r="D148" s="619"/>
      <c r="E148" s="619"/>
      <c r="F148" s="619"/>
      <c r="G148" s="619"/>
      <c r="H148" s="619"/>
      <c r="I148" s="372"/>
      <c r="J148" s="381"/>
      <c r="K148" s="381"/>
      <c r="L148" s="627"/>
      <c r="M148" s="628"/>
      <c r="N148" s="620"/>
      <c r="O148" s="621"/>
      <c r="P148" s="427"/>
    </row>
    <row r="149" spans="1:17" hidden="1" x14ac:dyDescent="0.2">
      <c r="A149" s="427"/>
      <c r="B149" s="420">
        <v>59</v>
      </c>
      <c r="C149" s="619"/>
      <c r="D149" s="619"/>
      <c r="E149" s="619"/>
      <c r="F149" s="619"/>
      <c r="G149" s="619"/>
      <c r="H149" s="619"/>
      <c r="I149" s="372"/>
      <c r="J149" s="381"/>
      <c r="K149" s="381"/>
      <c r="L149" s="627"/>
      <c r="M149" s="628"/>
      <c r="N149" s="620"/>
      <c r="O149" s="621"/>
      <c r="P149" s="427"/>
    </row>
    <row r="150" spans="1:17" hidden="1" x14ac:dyDescent="0.2">
      <c r="A150" s="427"/>
      <c r="B150" s="420">
        <v>60</v>
      </c>
      <c r="C150" s="619"/>
      <c r="D150" s="619"/>
      <c r="E150" s="619"/>
      <c r="F150" s="619"/>
      <c r="G150" s="619"/>
      <c r="H150" s="619"/>
      <c r="I150" s="372"/>
      <c r="J150" s="381"/>
      <c r="K150" s="381"/>
      <c r="L150" s="627"/>
      <c r="M150" s="628"/>
      <c r="N150" s="620"/>
      <c r="O150" s="621"/>
      <c r="P150" s="427"/>
    </row>
    <row r="151" spans="1:17" hidden="1" x14ac:dyDescent="0.2">
      <c r="A151" s="427"/>
      <c r="B151" s="420">
        <v>61</v>
      </c>
      <c r="C151" s="619"/>
      <c r="D151" s="619"/>
      <c r="E151" s="619"/>
      <c r="F151" s="619"/>
      <c r="G151" s="619"/>
      <c r="H151" s="619"/>
      <c r="I151" s="372"/>
      <c r="J151" s="381"/>
      <c r="K151" s="381"/>
      <c r="L151" s="627"/>
      <c r="M151" s="628"/>
      <c r="N151" s="620"/>
      <c r="O151" s="621"/>
      <c r="P151" s="427"/>
    </row>
    <row r="152" spans="1:17" hidden="1" x14ac:dyDescent="0.2">
      <c r="A152" s="427"/>
      <c r="B152" s="420">
        <v>62</v>
      </c>
      <c r="C152" s="619"/>
      <c r="D152" s="619"/>
      <c r="E152" s="619"/>
      <c r="F152" s="619"/>
      <c r="G152" s="619"/>
      <c r="H152" s="619"/>
      <c r="I152" s="372"/>
      <c r="J152" s="381"/>
      <c r="K152" s="381"/>
      <c r="L152" s="627"/>
      <c r="M152" s="628"/>
      <c r="N152" s="620"/>
      <c r="O152" s="621"/>
      <c r="P152" s="427"/>
    </row>
    <row r="153" spans="1:17" hidden="1" x14ac:dyDescent="0.2">
      <c r="A153" s="427"/>
      <c r="B153" s="420">
        <v>63</v>
      </c>
      <c r="C153" s="619"/>
      <c r="D153" s="619"/>
      <c r="E153" s="619"/>
      <c r="F153" s="619"/>
      <c r="G153" s="619"/>
      <c r="H153" s="619"/>
      <c r="I153" s="372"/>
      <c r="J153" s="381"/>
      <c r="K153" s="381"/>
      <c r="L153" s="627"/>
      <c r="M153" s="628"/>
      <c r="N153" s="620"/>
      <c r="O153" s="621"/>
      <c r="P153" s="427"/>
    </row>
    <row r="154" spans="1:17" hidden="1" x14ac:dyDescent="0.2">
      <c r="A154" s="427"/>
      <c r="B154" s="420">
        <v>64</v>
      </c>
      <c r="C154" s="619"/>
      <c r="D154" s="619"/>
      <c r="E154" s="619"/>
      <c r="F154" s="619"/>
      <c r="G154" s="619"/>
      <c r="H154" s="619"/>
      <c r="I154" s="372"/>
      <c r="J154" s="381"/>
      <c r="K154" s="381"/>
      <c r="L154" s="627"/>
      <c r="M154" s="628"/>
      <c r="N154" s="620"/>
      <c r="O154" s="621"/>
      <c r="P154" s="427"/>
    </row>
    <row r="155" spans="1:17" x14ac:dyDescent="0.2">
      <c r="A155" s="427"/>
      <c r="B155" s="659" t="s">
        <v>393</v>
      </c>
      <c r="C155" s="660"/>
      <c r="D155" s="660"/>
      <c r="E155" s="660"/>
      <c r="F155" s="660"/>
      <c r="G155" s="660"/>
      <c r="H155" s="660"/>
      <c r="I155" s="660"/>
      <c r="J155" s="660"/>
      <c r="K155" s="660"/>
      <c r="L155" s="660"/>
      <c r="M155" s="661"/>
      <c r="N155" s="667">
        <f>SUM(Q71:Q90)</f>
        <v>5030</v>
      </c>
      <c r="O155" s="668"/>
      <c r="P155" s="427"/>
    </row>
    <row r="156" spans="1:17" ht="3.95" customHeight="1" x14ac:dyDescent="0.2">
      <c r="A156" s="427"/>
      <c r="B156" s="392"/>
      <c r="C156" s="376"/>
      <c r="D156" s="376"/>
      <c r="E156" s="376"/>
      <c r="F156" s="376"/>
      <c r="G156" s="380"/>
      <c r="H156" s="380"/>
      <c r="I156" s="380"/>
      <c r="J156" s="380"/>
      <c r="K156" s="380"/>
      <c r="L156" s="380"/>
      <c r="M156" s="380"/>
      <c r="N156" s="378" t="str">
        <f>T.Convert!R20</f>
        <v xml:space="preserve">beş min otuz </v>
      </c>
      <c r="O156" s="398"/>
      <c r="P156" s="427"/>
    </row>
    <row r="157" spans="1:17" x14ac:dyDescent="0.2">
      <c r="A157" s="427"/>
      <c r="B157" s="663" t="s">
        <v>19</v>
      </c>
      <c r="C157" s="664"/>
      <c r="D157" s="664"/>
      <c r="E157" s="664"/>
      <c r="F157" s="664"/>
      <c r="G157" s="664"/>
      <c r="H157" s="664"/>
      <c r="I157" s="664"/>
      <c r="J157" s="664"/>
      <c r="K157" s="664"/>
      <c r="L157" s="421"/>
      <c r="M157" s="669">
        <f>GEE_SUM+GEZ_SUM</f>
        <v>5030</v>
      </c>
      <c r="N157" s="670"/>
      <c r="O157" s="671"/>
      <c r="P157" s="427"/>
      <c r="Q157" s="430">
        <f>GE_SUM-GOTURDUYU_MEBLEQ</f>
        <v>4030</v>
      </c>
    </row>
    <row r="158" spans="1:17" hidden="1" x14ac:dyDescent="0.2">
      <c r="A158" s="427"/>
      <c r="B158" s="392"/>
      <c r="C158" s="376"/>
      <c r="D158" s="376"/>
      <c r="E158" s="376"/>
      <c r="F158" s="376"/>
      <c r="G158" s="376"/>
      <c r="H158" s="376"/>
      <c r="I158" s="422"/>
      <c r="J158" s="376"/>
      <c r="K158" s="376"/>
      <c r="L158" s="376"/>
      <c r="M158" s="376"/>
      <c r="N158" s="376"/>
      <c r="O158" s="398"/>
      <c r="P158" s="427"/>
    </row>
    <row r="159" spans="1:17" hidden="1" x14ac:dyDescent="0.2">
      <c r="A159" s="427"/>
      <c r="B159" s="392"/>
      <c r="C159" s="662" t="s">
        <v>392</v>
      </c>
      <c r="D159" s="662"/>
      <c r="E159" s="662"/>
      <c r="F159" s="662"/>
      <c r="G159" s="662"/>
      <c r="H159" s="662"/>
      <c r="I159" s="380"/>
      <c r="J159" s="665" t="s">
        <v>391</v>
      </c>
      <c r="K159" s="665"/>
      <c r="L159" s="665"/>
      <c r="M159" s="665"/>
      <c r="N159" s="665"/>
      <c r="O159" s="666"/>
      <c r="P159" s="427"/>
    </row>
    <row r="160" spans="1:17" hidden="1" x14ac:dyDescent="0.2">
      <c r="A160" s="427"/>
      <c r="B160" s="392"/>
      <c r="C160" s="378" t="s">
        <v>5</v>
      </c>
      <c r="D160" s="630" t="s">
        <v>2</v>
      </c>
      <c r="E160" s="630"/>
      <c r="F160" s="378" t="s">
        <v>1</v>
      </c>
      <c r="G160" s="630"/>
      <c r="H160" s="630"/>
      <c r="I160" s="380"/>
      <c r="J160" s="380"/>
      <c r="K160" s="380"/>
      <c r="L160" s="380"/>
      <c r="M160" s="380"/>
      <c r="N160" s="380"/>
      <c r="O160" s="423"/>
      <c r="P160" s="427"/>
    </row>
    <row r="161" spans="1:16" hidden="1" x14ac:dyDescent="0.2">
      <c r="A161" s="427"/>
      <c r="B161" s="392"/>
      <c r="C161" s="378" t="s">
        <v>407</v>
      </c>
      <c r="D161" s="630" t="s">
        <v>408</v>
      </c>
      <c r="E161" s="630"/>
      <c r="F161" s="378" t="s">
        <v>409</v>
      </c>
      <c r="G161" s="630" t="s">
        <v>0</v>
      </c>
      <c r="H161" s="630"/>
      <c r="I161" s="380"/>
      <c r="J161" s="380"/>
      <c r="K161" s="380"/>
      <c r="L161" s="380"/>
      <c r="M161" s="380"/>
      <c r="N161" s="380"/>
      <c r="O161" s="423"/>
      <c r="P161" s="427"/>
    </row>
    <row r="162" spans="1:16" ht="3.95" customHeight="1" thickBot="1" x14ac:dyDescent="0.25">
      <c r="A162" s="427"/>
      <c r="B162" s="424"/>
      <c r="C162" s="425"/>
      <c r="D162" s="425"/>
      <c r="E162" s="425"/>
      <c r="F162" s="425"/>
      <c r="G162" s="425"/>
      <c r="H162" s="425"/>
      <c r="I162" s="425"/>
      <c r="J162" s="425"/>
      <c r="K162" s="425"/>
      <c r="L162" s="425"/>
      <c r="M162" s="425"/>
      <c r="N162" s="425"/>
      <c r="O162" s="426"/>
      <c r="P162" s="427"/>
    </row>
    <row r="163" spans="1:16" x14ac:dyDescent="0.2">
      <c r="A163" s="427"/>
      <c r="B163" s="427"/>
      <c r="C163" s="427"/>
      <c r="D163" s="427"/>
      <c r="E163" s="427"/>
      <c r="F163" s="427"/>
      <c r="G163" s="427"/>
      <c r="H163" s="427"/>
      <c r="I163" s="427"/>
      <c r="J163" s="427"/>
      <c r="K163" s="427"/>
      <c r="L163" s="427"/>
      <c r="M163" s="427"/>
      <c r="N163" s="427"/>
      <c r="O163" s="427"/>
      <c r="P163" s="427"/>
    </row>
    <row r="169" spans="1:16" x14ac:dyDescent="0.2">
      <c r="C169" s="376"/>
    </row>
    <row r="170" spans="1:16" x14ac:dyDescent="0.2">
      <c r="C170" s="435"/>
    </row>
  </sheetData>
  <dataConsolidate/>
  <mergeCells count="464">
    <mergeCell ref="C148:E148"/>
    <mergeCell ref="C149:E149"/>
    <mergeCell ref="C150:E150"/>
    <mergeCell ref="C151:E151"/>
    <mergeCell ref="C152:E152"/>
    <mergeCell ref="C153:E153"/>
    <mergeCell ref="C154:E154"/>
    <mergeCell ref="F139:H139"/>
    <mergeCell ref="F140:H140"/>
    <mergeCell ref="F141:H141"/>
    <mergeCell ref="F142:H142"/>
    <mergeCell ref="F143:H143"/>
    <mergeCell ref="F144:H144"/>
    <mergeCell ref="F145:H145"/>
    <mergeCell ref="F146:H146"/>
    <mergeCell ref="F147:H147"/>
    <mergeCell ref="F148:H148"/>
    <mergeCell ref="F149:H149"/>
    <mergeCell ref="F150:H150"/>
    <mergeCell ref="F151:H151"/>
    <mergeCell ref="F152:H152"/>
    <mergeCell ref="F153:H153"/>
    <mergeCell ref="F154:H154"/>
    <mergeCell ref="C139:E139"/>
    <mergeCell ref="C145:E145"/>
    <mergeCell ref="C146:E146"/>
    <mergeCell ref="C147:E147"/>
    <mergeCell ref="L54:M54"/>
    <mergeCell ref="L90:M90"/>
    <mergeCell ref="L78:M78"/>
    <mergeCell ref="G68:H68"/>
    <mergeCell ref="F62:H62"/>
    <mergeCell ref="C89:E89"/>
    <mergeCell ref="C90:E90"/>
    <mergeCell ref="F83:H83"/>
    <mergeCell ref="F84:H84"/>
    <mergeCell ref="F85:H85"/>
    <mergeCell ref="F86:H86"/>
    <mergeCell ref="F87:H87"/>
    <mergeCell ref="F88:H88"/>
    <mergeCell ref="F89:H89"/>
    <mergeCell ref="F90:H90"/>
    <mergeCell ref="C103:E103"/>
    <mergeCell ref="L85:M85"/>
    <mergeCell ref="L82:M82"/>
    <mergeCell ref="D68:E68"/>
    <mergeCell ref="L61:M61"/>
    <mergeCell ref="C61:E61"/>
    <mergeCell ref="N55:O55"/>
    <mergeCell ref="F60:H60"/>
    <mergeCell ref="F61:H61"/>
    <mergeCell ref="N61:O61"/>
    <mergeCell ref="C140:E140"/>
    <mergeCell ref="C141:E141"/>
    <mergeCell ref="C142:E142"/>
    <mergeCell ref="C143:E143"/>
    <mergeCell ref="C144:E144"/>
    <mergeCell ref="C69:I69"/>
    <mergeCell ref="N70:O70"/>
    <mergeCell ref="J69:K69"/>
    <mergeCell ref="N74:O74"/>
    <mergeCell ref="N90:O90"/>
    <mergeCell ref="N89:O89"/>
    <mergeCell ref="L89:M89"/>
    <mergeCell ref="L81:M81"/>
    <mergeCell ref="L87:M87"/>
    <mergeCell ref="N85:O85"/>
    <mergeCell ref="N83:O83"/>
    <mergeCell ref="L83:M83"/>
    <mergeCell ref="L86:M86"/>
    <mergeCell ref="N81:O81"/>
    <mergeCell ref="N82:O82"/>
    <mergeCell ref="R17:T17"/>
    <mergeCell ref="G45:H45"/>
    <mergeCell ref="J45:K45"/>
    <mergeCell ref="L55:M55"/>
    <mergeCell ref="N54:O54"/>
    <mergeCell ref="N65:O65"/>
    <mergeCell ref="C54:H54"/>
    <mergeCell ref="L60:M60"/>
    <mergeCell ref="N58:O58"/>
    <mergeCell ref="L57:M57"/>
    <mergeCell ref="N62:O62"/>
    <mergeCell ref="L62:M62"/>
    <mergeCell ref="N63:O63"/>
    <mergeCell ref="L64:M64"/>
    <mergeCell ref="C63:E63"/>
    <mergeCell ref="C64:E64"/>
    <mergeCell ref="G36:H36"/>
    <mergeCell ref="J36:K36"/>
    <mergeCell ref="F63:H63"/>
    <mergeCell ref="F64:H64"/>
    <mergeCell ref="L59:M59"/>
    <mergeCell ref="C59:E59"/>
    <mergeCell ref="B65:F65"/>
    <mergeCell ref="G65:J65"/>
    <mergeCell ref="C62:E62"/>
    <mergeCell ref="C82:E82"/>
    <mergeCell ref="D67:E67"/>
    <mergeCell ref="L63:M63"/>
    <mergeCell ref="G67:H67"/>
    <mergeCell ref="L73:M73"/>
    <mergeCell ref="F81:H81"/>
    <mergeCell ref="F82:H82"/>
    <mergeCell ref="C80:E80"/>
    <mergeCell ref="C81:E81"/>
    <mergeCell ref="B66:O66"/>
    <mergeCell ref="N64:O64"/>
    <mergeCell ref="N71:O71"/>
    <mergeCell ref="L77:M77"/>
    <mergeCell ref="L70:M70"/>
    <mergeCell ref="N77:O77"/>
    <mergeCell ref="C70:H70"/>
    <mergeCell ref="N80:O80"/>
    <mergeCell ref="F71:H71"/>
    <mergeCell ref="F72:H72"/>
    <mergeCell ref="F73:H73"/>
    <mergeCell ref="F74:H74"/>
    <mergeCell ref="F75:H75"/>
    <mergeCell ref="F76:H76"/>
    <mergeCell ref="F77:H77"/>
    <mergeCell ref="F78:H78"/>
    <mergeCell ref="F79:H79"/>
    <mergeCell ref="F80:H80"/>
    <mergeCell ref="N73:O73"/>
    <mergeCell ref="L80:M80"/>
    <mergeCell ref="N79:O79"/>
    <mergeCell ref="N76:O76"/>
    <mergeCell ref="L74:M74"/>
    <mergeCell ref="D161:E161"/>
    <mergeCell ref="G161:H161"/>
    <mergeCell ref="L71:M71"/>
    <mergeCell ref="B155:M155"/>
    <mergeCell ref="D160:E160"/>
    <mergeCell ref="C159:H159"/>
    <mergeCell ref="B157:K157"/>
    <mergeCell ref="G160:H160"/>
    <mergeCell ref="J159:O159"/>
    <mergeCell ref="N155:O155"/>
    <mergeCell ref="M157:O157"/>
    <mergeCell ref="N88:O88"/>
    <mergeCell ref="L75:M75"/>
    <mergeCell ref="N87:O87"/>
    <mergeCell ref="N84:O84"/>
    <mergeCell ref="L79:M79"/>
    <mergeCell ref="N75:O75"/>
    <mergeCell ref="L84:M84"/>
    <mergeCell ref="L88:M88"/>
    <mergeCell ref="N86:O86"/>
    <mergeCell ref="N78:O78"/>
    <mergeCell ref="N72:O72"/>
    <mergeCell ref="L72:M72"/>
    <mergeCell ref="L76:M76"/>
    <mergeCell ref="M26:O26"/>
    <mergeCell ref="M27:O27"/>
    <mergeCell ref="M46:O46"/>
    <mergeCell ref="F56:H56"/>
    <mergeCell ref="F57:H57"/>
    <mergeCell ref="D40:F40"/>
    <mergeCell ref="N60:O60"/>
    <mergeCell ref="N56:O56"/>
    <mergeCell ref="L58:M58"/>
    <mergeCell ref="N57:O57"/>
    <mergeCell ref="L56:M56"/>
    <mergeCell ref="J35:K35"/>
    <mergeCell ref="G49:I49"/>
    <mergeCell ref="D45:E45"/>
    <mergeCell ref="D48:F48"/>
    <mergeCell ref="G48:I48"/>
    <mergeCell ref="J48:K48"/>
    <mergeCell ref="C60:E60"/>
    <mergeCell ref="C58:E58"/>
    <mergeCell ref="F55:H55"/>
    <mergeCell ref="F58:H58"/>
    <mergeCell ref="F59:H59"/>
    <mergeCell ref="N59:O59"/>
    <mergeCell ref="M35:O35"/>
    <mergeCell ref="G29:I29"/>
    <mergeCell ref="D51:E51"/>
    <mergeCell ref="J51:L51"/>
    <mergeCell ref="J41:L41"/>
    <mergeCell ref="G30:I30"/>
    <mergeCell ref="J27:K27"/>
    <mergeCell ref="J29:K29"/>
    <mergeCell ref="G41:I41"/>
    <mergeCell ref="J50:K50"/>
    <mergeCell ref="D46:E46"/>
    <mergeCell ref="D49:E49"/>
    <mergeCell ref="G46:H46"/>
    <mergeCell ref="J46:K46"/>
    <mergeCell ref="G50:I50"/>
    <mergeCell ref="B43:O43"/>
    <mergeCell ref="D35:E35"/>
    <mergeCell ref="D38:F38"/>
    <mergeCell ref="M36:O36"/>
    <mergeCell ref="M45:O45"/>
    <mergeCell ref="G20:I20"/>
    <mergeCell ref="D32:E32"/>
    <mergeCell ref="J32:L32"/>
    <mergeCell ref="G32:I32"/>
    <mergeCell ref="G51:I51"/>
    <mergeCell ref="C55:E55"/>
    <mergeCell ref="C56:E56"/>
    <mergeCell ref="C57:E57"/>
    <mergeCell ref="D41:E41"/>
    <mergeCell ref="D39:E39"/>
    <mergeCell ref="G40:I40"/>
    <mergeCell ref="D50:F50"/>
    <mergeCell ref="G38:I38"/>
    <mergeCell ref="G35:H35"/>
    <mergeCell ref="D26:E26"/>
    <mergeCell ref="G39:I39"/>
    <mergeCell ref="D36:E36"/>
    <mergeCell ref="B33:O33"/>
    <mergeCell ref="D27:E27"/>
    <mergeCell ref="C53:O53"/>
    <mergeCell ref="G27:H27"/>
    <mergeCell ref="D22:E22"/>
    <mergeCell ref="D23:E23"/>
    <mergeCell ref="D29:F29"/>
    <mergeCell ref="I4:J4"/>
    <mergeCell ref="G17:H17"/>
    <mergeCell ref="B14:O14"/>
    <mergeCell ref="N4:O4"/>
    <mergeCell ref="M19:O19"/>
    <mergeCell ref="D17:E17"/>
    <mergeCell ref="I6:J6"/>
    <mergeCell ref="J19:K19"/>
    <mergeCell ref="C6:E6"/>
    <mergeCell ref="C4:E4"/>
    <mergeCell ref="D16:E16"/>
    <mergeCell ref="D5:G5"/>
    <mergeCell ref="D7:G7"/>
    <mergeCell ref="J16:K16"/>
    <mergeCell ref="J17:K17"/>
    <mergeCell ref="C8:E8"/>
    <mergeCell ref="M16:O16"/>
    <mergeCell ref="M17:O17"/>
    <mergeCell ref="I8:J8"/>
    <mergeCell ref="N8:O8"/>
    <mergeCell ref="N6:O6"/>
    <mergeCell ref="F10:J10"/>
    <mergeCell ref="G12:I12"/>
    <mergeCell ref="C13:D13"/>
    <mergeCell ref="G2:I2"/>
    <mergeCell ref="N5:O5"/>
    <mergeCell ref="G21:I21"/>
    <mergeCell ref="N21:O21"/>
    <mergeCell ref="J21:K21"/>
    <mergeCell ref="G31:I31"/>
    <mergeCell ref="J22:L22"/>
    <mergeCell ref="J23:L23"/>
    <mergeCell ref="G22:I22"/>
    <mergeCell ref="G23:I23"/>
    <mergeCell ref="N22:O22"/>
    <mergeCell ref="F16:H16"/>
    <mergeCell ref="M2:O2"/>
    <mergeCell ref="J26:K26"/>
    <mergeCell ref="B24:O24"/>
    <mergeCell ref="N20:O20"/>
    <mergeCell ref="D20:E20"/>
    <mergeCell ref="D21:F21"/>
    <mergeCell ref="D31:F31"/>
    <mergeCell ref="D30:E30"/>
    <mergeCell ref="D19:F19"/>
    <mergeCell ref="G19:I19"/>
    <mergeCell ref="C100:E100"/>
    <mergeCell ref="C101:E101"/>
    <mergeCell ref="C102:E102"/>
    <mergeCell ref="F91:H91"/>
    <mergeCell ref="F92:H92"/>
    <mergeCell ref="G26:H26"/>
    <mergeCell ref="J40:K40"/>
    <mergeCell ref="J38:K38"/>
    <mergeCell ref="C83:E83"/>
    <mergeCell ref="C84:E84"/>
    <mergeCell ref="C85:E85"/>
    <mergeCell ref="C86:E86"/>
    <mergeCell ref="C87:E87"/>
    <mergeCell ref="C88:E88"/>
    <mergeCell ref="C71:E71"/>
    <mergeCell ref="C72:E72"/>
    <mergeCell ref="C73:E73"/>
    <mergeCell ref="C74:E74"/>
    <mergeCell ref="C75:E75"/>
    <mergeCell ref="C76:E76"/>
    <mergeCell ref="C77:E77"/>
    <mergeCell ref="C78:E78"/>
    <mergeCell ref="C79:E79"/>
    <mergeCell ref="J31:K31"/>
    <mergeCell ref="C91:E91"/>
    <mergeCell ref="C92:E92"/>
    <mergeCell ref="C93:E93"/>
    <mergeCell ref="C94:E94"/>
    <mergeCell ref="C95:E95"/>
    <mergeCell ref="C96:E96"/>
    <mergeCell ref="C97:E97"/>
    <mergeCell ref="C98:E98"/>
    <mergeCell ref="C99:E99"/>
    <mergeCell ref="L91:M91"/>
    <mergeCell ref="L151:M151"/>
    <mergeCell ref="L152:M152"/>
    <mergeCell ref="L153:M153"/>
    <mergeCell ref="L154:M154"/>
    <mergeCell ref="N91:O91"/>
    <mergeCell ref="N151:O151"/>
    <mergeCell ref="N152:O152"/>
    <mergeCell ref="N153:O153"/>
    <mergeCell ref="N154:O154"/>
    <mergeCell ref="N139:O139"/>
    <mergeCell ref="N140:O140"/>
    <mergeCell ref="N141:O141"/>
    <mergeCell ref="N142:O142"/>
    <mergeCell ref="N143:O143"/>
    <mergeCell ref="N144:O144"/>
    <mergeCell ref="N145:O145"/>
    <mergeCell ref="N146:O146"/>
    <mergeCell ref="N147:O147"/>
    <mergeCell ref="N148:O148"/>
    <mergeCell ref="N149:O149"/>
    <mergeCell ref="N150:O150"/>
    <mergeCell ref="N123:O123"/>
    <mergeCell ref="N124:O124"/>
    <mergeCell ref="L148:M148"/>
    <mergeCell ref="L149:M149"/>
    <mergeCell ref="L150:M150"/>
    <mergeCell ref="F93:H93"/>
    <mergeCell ref="F94:H94"/>
    <mergeCell ref="F95:H95"/>
    <mergeCell ref="F96:H96"/>
    <mergeCell ref="F97:H97"/>
    <mergeCell ref="F98:H98"/>
    <mergeCell ref="F99:H99"/>
    <mergeCell ref="F100:H100"/>
    <mergeCell ref="F101:H101"/>
    <mergeCell ref="L139:M139"/>
    <mergeCell ref="L140:M140"/>
    <mergeCell ref="L141:M141"/>
    <mergeCell ref="L142:M142"/>
    <mergeCell ref="L143:M143"/>
    <mergeCell ref="L144:M144"/>
    <mergeCell ref="L145:M145"/>
    <mergeCell ref="L146:M146"/>
    <mergeCell ref="L147:M147"/>
    <mergeCell ref="F103:H103"/>
    <mergeCell ref="F104:H104"/>
    <mergeCell ref="F105:H105"/>
    <mergeCell ref="C138:E138"/>
    <mergeCell ref="F132:H132"/>
    <mergeCell ref="F133:H133"/>
    <mergeCell ref="F134:H134"/>
    <mergeCell ref="F135:H135"/>
    <mergeCell ref="F136:H136"/>
    <mergeCell ref="F137:H137"/>
    <mergeCell ref="F138:H138"/>
    <mergeCell ref="C123:E123"/>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N135:O135"/>
    <mergeCell ref="N136:O136"/>
    <mergeCell ref="N137:O137"/>
    <mergeCell ref="N138:O138"/>
    <mergeCell ref="C107:E107"/>
    <mergeCell ref="C108:E108"/>
    <mergeCell ref="C109:E109"/>
    <mergeCell ref="F107:H107"/>
    <mergeCell ref="F108:H108"/>
    <mergeCell ref="F109:H109"/>
    <mergeCell ref="C112:E112"/>
    <mergeCell ref="F112:H112"/>
    <mergeCell ref="C116:E116"/>
    <mergeCell ref="F115:H115"/>
    <mergeCell ref="N109:O109"/>
    <mergeCell ref="N110:O110"/>
    <mergeCell ref="C120:E120"/>
    <mergeCell ref="C121:E121"/>
    <mergeCell ref="N118:O118"/>
    <mergeCell ref="N119:O119"/>
    <mergeCell ref="N120:O120"/>
    <mergeCell ref="N121:O121"/>
    <mergeCell ref="N125:O125"/>
    <mergeCell ref="N126:O126"/>
    <mergeCell ref="N108:O108"/>
    <mergeCell ref="F102:H102"/>
    <mergeCell ref="C104:E104"/>
    <mergeCell ref="C105:E105"/>
    <mergeCell ref="C106:E106"/>
    <mergeCell ref="F106:H106"/>
    <mergeCell ref="N133:O133"/>
    <mergeCell ref="N134:O134"/>
    <mergeCell ref="N127:O127"/>
    <mergeCell ref="N128:O128"/>
    <mergeCell ref="N129:O129"/>
    <mergeCell ref="N130:O130"/>
    <mergeCell ref="N131:O131"/>
    <mergeCell ref="N132:O132"/>
    <mergeCell ref="F123:H123"/>
    <mergeCell ref="F124:H124"/>
    <mergeCell ref="F125:H125"/>
    <mergeCell ref="F126:H126"/>
    <mergeCell ref="F127:H127"/>
    <mergeCell ref="F128:H128"/>
    <mergeCell ref="F129:H129"/>
    <mergeCell ref="F130:H130"/>
    <mergeCell ref="F131:H131"/>
    <mergeCell ref="C119:E119"/>
    <mergeCell ref="M12:N12"/>
    <mergeCell ref="K12:L12"/>
    <mergeCell ref="K13:N13"/>
    <mergeCell ref="N114:O114"/>
    <mergeCell ref="C115:E115"/>
    <mergeCell ref="C114:E114"/>
    <mergeCell ref="C113:E113"/>
    <mergeCell ref="F114:H114"/>
    <mergeCell ref="N92:O92"/>
    <mergeCell ref="N93:O93"/>
    <mergeCell ref="N94:O94"/>
    <mergeCell ref="N95:O95"/>
    <mergeCell ref="N96:O96"/>
    <mergeCell ref="N97:O97"/>
    <mergeCell ref="N98:O98"/>
    <mergeCell ref="N99:O99"/>
    <mergeCell ref="N100:O100"/>
    <mergeCell ref="N101:O101"/>
    <mergeCell ref="N102:O102"/>
    <mergeCell ref="N103:O103"/>
    <mergeCell ref="N104:O104"/>
    <mergeCell ref="N105:O105"/>
    <mergeCell ref="N106:O106"/>
    <mergeCell ref="N107:O107"/>
    <mergeCell ref="C122:E122"/>
    <mergeCell ref="C118:E118"/>
    <mergeCell ref="N122:O122"/>
    <mergeCell ref="F110:H110"/>
    <mergeCell ref="F117:H117"/>
    <mergeCell ref="F118:H118"/>
    <mergeCell ref="F119:H119"/>
    <mergeCell ref="F120:H120"/>
    <mergeCell ref="F121:H121"/>
    <mergeCell ref="F122:H122"/>
    <mergeCell ref="F113:H113"/>
    <mergeCell ref="N113:O113"/>
    <mergeCell ref="F116:H116"/>
    <mergeCell ref="N116:O116"/>
    <mergeCell ref="N117:O117"/>
    <mergeCell ref="N115:O115"/>
    <mergeCell ref="N112:O112"/>
    <mergeCell ref="C111:E111"/>
    <mergeCell ref="F111:H111"/>
    <mergeCell ref="N111:O111"/>
    <mergeCell ref="C110:E110"/>
    <mergeCell ref="C117:E117"/>
  </mergeCells>
  <pageMargins left="0.75" right="0.75" top="0.15" bottom="0.15" header="0.12" footer="0.2"/>
  <pageSetup scale="53" fitToWidth="0" fitToHeight="0"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7" r:id="rId4" name="Check Box 9">
              <controlPr defaultSize="0" print="0" autoFill="0" autoLine="0" autoPict="0">
                <anchor moveWithCells="1">
                  <from>
                    <xdr:col>16</xdr:col>
                    <xdr:colOff>123825</xdr:colOff>
                    <xdr:row>1</xdr:row>
                    <xdr:rowOff>47625</xdr:rowOff>
                  </from>
                  <to>
                    <xdr:col>18</xdr:col>
                    <xdr:colOff>104775</xdr:colOff>
                    <xdr:row>3</xdr:row>
                    <xdr:rowOff>0</xdr:rowOff>
                  </to>
                </anchor>
              </controlPr>
            </control>
          </mc:Choice>
        </mc:AlternateContent>
        <mc:AlternateContent xmlns:mc="http://schemas.openxmlformats.org/markup-compatibility/2006">
          <mc:Choice Requires="x14">
            <control shapeId="12313" r:id="rId5" name="Button 25">
              <controlPr defaultSize="0" print="0" autoFill="0" autoPict="0" macro="[0]!Printed">
                <anchor moveWithCells="1" sizeWithCells="1">
                  <from>
                    <xdr:col>0</xdr:col>
                    <xdr:colOff>19050</xdr:colOff>
                    <xdr:row>163</xdr:row>
                    <xdr:rowOff>9525</xdr:rowOff>
                  </from>
                  <to>
                    <xdr:col>16</xdr:col>
                    <xdr:colOff>9525</xdr:colOff>
                    <xdr:row>165</xdr:row>
                    <xdr:rowOff>38100</xdr:rowOff>
                  </to>
                </anchor>
              </controlPr>
            </control>
          </mc:Choice>
        </mc:AlternateContent>
        <mc:AlternateContent xmlns:mc="http://schemas.openxmlformats.org/markup-compatibility/2006">
          <mc:Choice Requires="x14">
            <control shapeId="12316" r:id="rId6" name="Button 28">
              <controlPr defaultSize="0" print="0" autoFill="0" autoPict="0" macro="[0]!acac">
                <anchor moveWithCells="1" sizeWithCells="1">
                  <from>
                    <xdr:col>17</xdr:col>
                    <xdr:colOff>247650</xdr:colOff>
                    <xdr:row>154</xdr:row>
                    <xdr:rowOff>161925</xdr:rowOff>
                  </from>
                  <to>
                    <xdr:col>18</xdr:col>
                    <xdr:colOff>352425</xdr:colOff>
                    <xdr:row>156</xdr:row>
                    <xdr:rowOff>161925</xdr:rowOff>
                  </to>
                </anchor>
              </controlPr>
            </control>
          </mc:Choice>
        </mc:AlternateContent>
        <mc:AlternateContent xmlns:mc="http://schemas.openxmlformats.org/markup-compatibility/2006">
          <mc:Choice Requires="x14">
            <control shapeId="12317" r:id="rId7" name="Button 29">
              <controlPr defaultSize="0" print="0" autoFill="0" autoPict="0" macro="[0]!baqla">
                <anchor moveWithCells="1" sizeWithCells="1">
                  <from>
                    <xdr:col>17</xdr:col>
                    <xdr:colOff>247650</xdr:colOff>
                    <xdr:row>156</xdr:row>
                    <xdr:rowOff>180975</xdr:rowOff>
                  </from>
                  <to>
                    <xdr:col>18</xdr:col>
                    <xdr:colOff>352425</xdr:colOff>
                    <xdr:row>162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14:formula1>
            <xm:f>OFFSET(DataBase!$K$2,0,0,COUNTA(DataBase!$K$2:$K$500),1)</xm:f>
          </x14:formula1>
          <xm:sqref>J69:K69</xm:sqref>
        </x14:dataValidation>
        <x14:dataValidation type="list" allowBlank="1" showInputMessage="1" showErrorMessage="1">
          <x14:formula1>
            <xm:f>DataBase!$L$2:$L$60</xm:f>
          </x14:formula1>
          <xm:sqref>C55:E64</xm:sqref>
        </x14:dataValidation>
        <x14:dataValidation type="list" allowBlank="1" showInputMessage="1" showErrorMessage="1">
          <x14:formula1>
            <xm:f>DataBase!$M$2:$M$60</xm:f>
          </x14:formula1>
          <xm:sqref>F55:H64</xm:sqref>
        </x14:dataValidation>
        <x14:dataValidation type="list" allowBlank="1" showInputMessage="1" showErrorMessage="1">
          <x14:formula1>
            <xm:f>DataBase!$N$2:$N$60</xm:f>
          </x14:formula1>
          <xm:sqref>L55:M64</xm:sqref>
        </x14:dataValidation>
        <x14:dataValidation type="list" allowBlank="1" showInputMessage="1" showErrorMessage="1">
          <x14:formula1>
            <xm:f>OFFSET(KMV!$A$10,0,0,COUNTA(KMV!$A$10:$A$30),1)</xm:f>
          </x14:formula1>
          <xm:sqref>F8</xm:sqref>
        </x14:dataValidation>
        <x14:dataValidation type="list" errorStyle="warning" allowBlank="1" showInputMessage="1" showErrorMessage="1">
          <x14:formula1>
            <xm:f>OFFSET(DataBase!$B$2,0,0,COUNTA(DataBase!$B$2:$B$8),1)</xm:f>
          </x14:formula1>
          <xm:sqref>D20:E20 D30:E30 D39:E39 D49:E49</xm:sqref>
        </x14:dataValidation>
        <x14:dataValidation type="list" allowBlank="1" showInputMessage="1" showErrorMessage="1">
          <x14:formula1>
            <xm:f>OFFSET(DataBase!$E$2,0,0,COUNTA(DataBase!$E$2:$E$500),1)</xm:f>
          </x14:formula1>
          <xm:sqref>D22:E23 D32:E32 D41:E41 D51:E51</xm:sqref>
        </x14:dataValidation>
        <x14:dataValidation type="list" allowBlank="1" showInputMessage="1" showErrorMessage="1">
          <x14:formula1>
            <xm:f>OFFSET(DataBase!$C$2,0,0,COUNTA(DataBase!$C$2:$C$500),1)</xm:f>
          </x14:formula1>
          <xm:sqref>J20 J30 J39 J49</xm:sqref>
        </x14:dataValidation>
        <x14:dataValidation type="list" allowBlank="1" showInputMessage="1" showErrorMessage="1">
          <x14:formula1>
            <xm:f>OFFSET(DataBase!$D$2,0,0,COUNTA(DataBase!$D$2:$D$500),1)</xm:f>
          </x14:formula1>
          <xm:sqref>K20 K30 K39 K49</xm:sqref>
        </x14:dataValidation>
        <x14:dataValidation type="list" allowBlank="1" showInputMessage="1" showErrorMessage="1">
          <x14:formula1>
            <xm:f>OFFSET(DataBase!$Q$2,0,0,COUNTA(DataBase!$Q$2:$Q$4),1)</xm:f>
          </x14:formula1>
          <xm:sqref>G36:H36 G46:H46 G27:H27 G17:H17</xm:sqref>
        </x14:dataValidation>
        <x14:dataValidation type="list" allowBlank="1" showInputMessage="1" showErrorMessage="1">
          <x14:formula1>
            <xm:f>OFFSET(T.Convert!$BQ$2,0,0,COUNTA(T.Convert!$BQ$2:$BQ$8),1)</xm:f>
          </x14:formula1>
          <xm:sqref>K8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KM3">
    <tabColor theme="3" tint="0.39997558519241921"/>
  </sheetPr>
  <dimension ref="A1:BH196"/>
  <sheetViews>
    <sheetView tabSelected="1" view="pageBreakPreview" zoomScaleNormal="120" zoomScaleSheetLayoutView="100" workbookViewId="0">
      <selection activeCell="B32" sqref="B32:AC34"/>
    </sheetView>
  </sheetViews>
  <sheetFormatPr defaultRowHeight="11.25" x14ac:dyDescent="0.2"/>
  <cols>
    <col min="1" max="1" width="3.5703125" style="94" customWidth="1"/>
    <col min="2" max="29" width="1.7109375" style="94" customWidth="1"/>
    <col min="30" max="30" width="2.28515625" style="94" customWidth="1"/>
    <col min="31" max="31" width="3.5703125" style="94" customWidth="1"/>
    <col min="32" max="33" width="1.7109375" style="95" customWidth="1"/>
    <col min="34" max="60" width="1.7109375" style="94" customWidth="1"/>
    <col min="61" max="16384" width="9.140625" style="94"/>
  </cols>
  <sheetData>
    <row r="1" spans="1:59" ht="11.25" customHeight="1" x14ac:dyDescent="0.2">
      <c r="A1" s="695" t="str">
        <f>"KREDİT  MÜQAVİLƏSİ  "&amp;LD_NUM</f>
        <v>KREDİT  MÜQAVİLƏSİ  LD/15212/00143</v>
      </c>
      <c r="B1" s="695"/>
      <c r="C1" s="695"/>
      <c r="D1" s="695"/>
      <c r="E1" s="695"/>
      <c r="F1" s="695"/>
      <c r="G1" s="695"/>
      <c r="H1" s="695"/>
      <c r="I1" s="695"/>
      <c r="J1" s="695"/>
      <c r="K1" s="695"/>
      <c r="L1" s="695"/>
      <c r="M1" s="695"/>
      <c r="N1" s="695"/>
      <c r="O1" s="695"/>
      <c r="P1" s="695"/>
      <c r="Q1" s="695"/>
      <c r="R1" s="695"/>
      <c r="S1" s="695"/>
      <c r="T1" s="695"/>
      <c r="U1" s="695"/>
      <c r="V1" s="695"/>
      <c r="W1" s="695"/>
      <c r="X1" s="695"/>
      <c r="Y1" s="695"/>
      <c r="Z1" s="695"/>
      <c r="AA1" s="695"/>
      <c r="AB1" s="695"/>
      <c r="AC1" s="695"/>
      <c r="AD1" s="93"/>
      <c r="AH1" s="693" t="str">
        <f>"fəaliyyəti, iqtisadi maliyyə imkanları və bu müqavilə üzrə öhdəliyin vaxtında və lazımi qaydada icrası üçün əhəmiyyətli olan digər "&amp;"faktlar (dövlət büdcəsinə, digər hüquqi və fiziki şəxslərə olan borclar,"&amp;"kreditorlar qarşısında icra edilməmiş mülki-hüquqi öhdəliklər  və s.) haqqında verdiyi məlumatla"&amp;"rın və təqdim etdiyi sənədlərin həqiqətə uyğun olmadığı aşkar edildikdə;"</f>
        <v>fəaliyyəti, iqtisadi maliyyə imkanları və bu müqavilə üzrə öhdəliyin vaxtında və lazımi qaydada icrası üçün əhəmiyyətli olan digər faktlar (dövlət büdcəsinə, digər hüquqi və fiziki şəxslərə olan borclar,kreditorlar qarşısında icra edilməmiş mülki-hüquqi öhdəliklər  və s.) haqqında verdiyi məlumatların və təqdim etdiyi sənədlərin həqiqətə uyğun olmadığı aşkar edildikdə;</v>
      </c>
      <c r="AI1" s="693"/>
      <c r="AJ1" s="693"/>
      <c r="AK1" s="693"/>
      <c r="AL1" s="693"/>
      <c r="AM1" s="693"/>
      <c r="AN1" s="693"/>
      <c r="AO1" s="693"/>
      <c r="AP1" s="693"/>
      <c r="AQ1" s="693"/>
      <c r="AR1" s="693"/>
      <c r="AS1" s="693"/>
      <c r="AT1" s="693"/>
      <c r="AU1" s="693"/>
      <c r="AV1" s="693"/>
      <c r="AW1" s="693"/>
      <c r="AX1" s="693"/>
      <c r="AY1" s="693"/>
      <c r="AZ1" s="693"/>
      <c r="BA1" s="693"/>
      <c r="BB1" s="693"/>
      <c r="BC1" s="693"/>
      <c r="BD1" s="693"/>
      <c r="BE1" s="693"/>
      <c r="BF1" s="693"/>
      <c r="BG1" s="693"/>
    </row>
    <row r="2" spans="1:59" x14ac:dyDescent="0.2">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G2" s="456"/>
      <c r="AH2" s="693"/>
      <c r="AI2" s="693"/>
      <c r="AJ2" s="693"/>
      <c r="AK2" s="693"/>
      <c r="AL2" s="693"/>
      <c r="AM2" s="693"/>
      <c r="AN2" s="693"/>
      <c r="AO2" s="693"/>
      <c r="AP2" s="693"/>
      <c r="AQ2" s="693"/>
      <c r="AR2" s="693"/>
      <c r="AS2" s="693"/>
      <c r="AT2" s="693"/>
      <c r="AU2" s="693"/>
      <c r="AV2" s="693"/>
      <c r="AW2" s="693"/>
      <c r="AX2" s="693"/>
      <c r="AY2" s="693"/>
      <c r="AZ2" s="693"/>
      <c r="BA2" s="693"/>
      <c r="BB2" s="693"/>
      <c r="BC2" s="693"/>
      <c r="BD2" s="693"/>
      <c r="BE2" s="693"/>
      <c r="BF2" s="693"/>
      <c r="BG2" s="693"/>
    </row>
    <row r="3" spans="1:59" x14ac:dyDescent="0.2">
      <c r="A3" s="696" t="str">
        <f>NAME_REGION</f>
        <v>Ağcabədi şəhəri</v>
      </c>
      <c r="B3" s="696"/>
      <c r="C3" s="696"/>
      <c r="D3" s="696"/>
      <c r="E3" s="696"/>
      <c r="F3" s="696"/>
      <c r="G3" s="696"/>
      <c r="H3" s="696"/>
      <c r="I3" s="696"/>
      <c r="J3" s="696"/>
      <c r="K3" s="696"/>
      <c r="L3" s="696"/>
      <c r="M3" s="696"/>
      <c r="N3" s="696"/>
      <c r="O3" s="696"/>
      <c r="P3" s="696"/>
      <c r="Q3" s="696"/>
      <c r="R3" s="696"/>
      <c r="S3" s="697" t="str">
        <f>START_DATE_KREDIT_SOZLE</f>
        <v>«31» İyul 2015-ci il</v>
      </c>
      <c r="T3" s="697"/>
      <c r="U3" s="697"/>
      <c r="V3" s="697"/>
      <c r="W3" s="697"/>
      <c r="X3" s="697"/>
      <c r="Y3" s="697"/>
      <c r="Z3" s="697"/>
      <c r="AA3" s="697"/>
      <c r="AB3" s="697"/>
      <c r="AC3" s="697"/>
      <c r="AD3" s="93"/>
      <c r="AG3" s="456"/>
      <c r="AH3" s="693"/>
      <c r="AI3" s="693"/>
      <c r="AJ3" s="693"/>
      <c r="AK3" s="693"/>
      <c r="AL3" s="693"/>
      <c r="AM3" s="693"/>
      <c r="AN3" s="693"/>
      <c r="AO3" s="693"/>
      <c r="AP3" s="693"/>
      <c r="AQ3" s="693"/>
      <c r="AR3" s="693"/>
      <c r="AS3" s="693"/>
      <c r="AT3" s="693"/>
      <c r="AU3" s="693"/>
      <c r="AV3" s="693"/>
      <c r="AW3" s="693"/>
      <c r="AX3" s="693"/>
      <c r="AY3" s="693"/>
      <c r="AZ3" s="693"/>
      <c r="BA3" s="693"/>
      <c r="BB3" s="693"/>
      <c r="BC3" s="693"/>
      <c r="BD3" s="693"/>
      <c r="BE3" s="693"/>
      <c r="BF3" s="693"/>
      <c r="BG3" s="693"/>
    </row>
    <row r="4" spans="1:59" x14ac:dyDescent="0.2">
      <c r="AD4" s="93"/>
      <c r="AG4" s="456"/>
      <c r="AH4" s="693"/>
      <c r="AI4" s="693"/>
      <c r="AJ4" s="693"/>
      <c r="AK4" s="693"/>
      <c r="AL4" s="693"/>
      <c r="AM4" s="693"/>
      <c r="AN4" s="693"/>
      <c r="AO4" s="693"/>
      <c r="AP4" s="693"/>
      <c r="AQ4" s="693"/>
      <c r="AR4" s="693"/>
      <c r="AS4" s="693"/>
      <c r="AT4" s="693"/>
      <c r="AU4" s="693"/>
      <c r="AV4" s="693"/>
      <c r="AW4" s="693"/>
      <c r="AX4" s="693"/>
      <c r="AY4" s="693"/>
      <c r="AZ4" s="693"/>
      <c r="BA4" s="693"/>
      <c r="BB4" s="693"/>
      <c r="BC4" s="693"/>
      <c r="BD4" s="693"/>
      <c r="BE4" s="693"/>
      <c r="BF4" s="693"/>
      <c r="BG4" s="693"/>
    </row>
    <row r="5" spans="1:59" x14ac:dyDescent="0.2">
      <c r="A5" s="694" t="str">
        <f>"Bir tərəfdən bundan sonra «Borc verən» adlanacaq, Azərbaycan Respublikasının Mərkəzi Bankı  tərəfindən  verilmiş  lisenziya və Nizamnamə əsasında fəaliyyət göstərən, Bank Olmayan Kredit Təşkilatı «Vijn Fond Azərkredit» MMC, "&amp;NAME_BRANCH&amp;"  "&amp;POSITION_MENEGER_BRANCH&amp;" "&amp;SURNAME_MENEGER_BRANCH&amp;" "&amp;NAME_MENEGER_BRANCH&amp;" "&amp;FATHERNAME_MENEGER_BRANCH&amp;" "&amp;G_MENEGER_BRANCH&amp;"nun şəxsində və digər tərəfdən  bundan sonra  «Borc alan»  adlanacaq "&amp;SURNAME_KREDITOR&amp;" "&amp;NAME_KREDITOR&amp;" "&amp;FATHERNAME_KREDITOR&amp;" "&amp;G_KREDITOR&amp;"  aşağıdakı məzmunda və şərtlərlə bu müqaviləni bağladılar."</f>
        <v>Bir tərəfdən bundan sonra «Borc verən» adlanacaq, Azərbaycan Respublikasının Mərkəzi Bankı  tərəfindən  verilmiş  lisenziya və Nizamnamə əsasında fəaliyyət göstərən, Bank Olmayan Kredit Təşkilatı «Vijn Fond Azərkredit» MMC, Ağcabədi  Filialının  kredit meneceri Əhmədov  Bəhruz  Tofiq  oğlunun şəxsində və digər tərəfdən  bundan sonra  «Borc alan»  adlanacaq Həsənov Kənan Asdan qızı  aşağıdakı məzmunda və şərtlərlə bu müqaviləni bağladılar.</v>
      </c>
      <c r="B5" s="694"/>
      <c r="C5" s="694"/>
      <c r="D5" s="694"/>
      <c r="E5" s="694"/>
      <c r="F5" s="694"/>
      <c r="G5" s="694"/>
      <c r="H5" s="694"/>
      <c r="I5" s="694"/>
      <c r="J5" s="694"/>
      <c r="K5" s="694"/>
      <c r="L5" s="694"/>
      <c r="M5" s="694"/>
      <c r="N5" s="694"/>
      <c r="O5" s="694"/>
      <c r="P5" s="694"/>
      <c r="Q5" s="694"/>
      <c r="R5" s="694"/>
      <c r="S5" s="694"/>
      <c r="T5" s="694"/>
      <c r="U5" s="694"/>
      <c r="V5" s="694"/>
      <c r="W5" s="694"/>
      <c r="X5" s="694"/>
      <c r="Y5" s="694"/>
      <c r="Z5" s="694"/>
      <c r="AA5" s="694"/>
      <c r="AB5" s="694"/>
      <c r="AC5" s="694"/>
      <c r="AD5" s="93"/>
      <c r="AG5" s="456"/>
      <c r="AH5" s="693"/>
      <c r="AI5" s="693"/>
      <c r="AJ5" s="693"/>
      <c r="AK5" s="693"/>
      <c r="AL5" s="693"/>
      <c r="AM5" s="693"/>
      <c r="AN5" s="693"/>
      <c r="AO5" s="693"/>
      <c r="AP5" s="693"/>
      <c r="AQ5" s="693"/>
      <c r="AR5" s="693"/>
      <c r="AS5" s="693"/>
      <c r="AT5" s="693"/>
      <c r="AU5" s="693"/>
      <c r="AV5" s="693"/>
      <c r="AW5" s="693"/>
      <c r="AX5" s="693"/>
      <c r="AY5" s="693"/>
      <c r="AZ5" s="693"/>
      <c r="BA5" s="693"/>
      <c r="BB5" s="693"/>
      <c r="BC5" s="693"/>
      <c r="BD5" s="693"/>
      <c r="BE5" s="693"/>
      <c r="BF5" s="693"/>
      <c r="BG5" s="693"/>
    </row>
    <row r="6" spans="1:59" x14ac:dyDescent="0.2">
      <c r="A6" s="694"/>
      <c r="B6" s="694"/>
      <c r="C6" s="694"/>
      <c r="D6" s="694"/>
      <c r="E6" s="694"/>
      <c r="F6" s="694"/>
      <c r="G6" s="694"/>
      <c r="H6" s="694"/>
      <c r="I6" s="694"/>
      <c r="J6" s="694"/>
      <c r="K6" s="694"/>
      <c r="L6" s="694"/>
      <c r="M6" s="694"/>
      <c r="N6" s="694"/>
      <c r="O6" s="694"/>
      <c r="P6" s="694"/>
      <c r="Q6" s="694"/>
      <c r="R6" s="694"/>
      <c r="S6" s="694"/>
      <c r="T6" s="694"/>
      <c r="U6" s="694"/>
      <c r="V6" s="694"/>
      <c r="W6" s="694"/>
      <c r="X6" s="694"/>
      <c r="Y6" s="694"/>
      <c r="Z6" s="694"/>
      <c r="AA6" s="694"/>
      <c r="AB6" s="694"/>
      <c r="AC6" s="694"/>
      <c r="AD6" s="93"/>
      <c r="AE6" s="468"/>
      <c r="AG6" s="456"/>
      <c r="AH6" s="693"/>
      <c r="AI6" s="693"/>
      <c r="AJ6" s="693"/>
      <c r="AK6" s="693"/>
      <c r="AL6" s="693"/>
      <c r="AM6" s="693"/>
      <c r="AN6" s="693"/>
      <c r="AO6" s="693"/>
      <c r="AP6" s="693"/>
      <c r="AQ6" s="693"/>
      <c r="AR6" s="693"/>
      <c r="AS6" s="693"/>
      <c r="AT6" s="693"/>
      <c r="AU6" s="693"/>
      <c r="AV6" s="693"/>
      <c r="AW6" s="693"/>
      <c r="AX6" s="693"/>
      <c r="AY6" s="693"/>
      <c r="AZ6" s="693"/>
      <c r="BA6" s="693"/>
      <c r="BB6" s="693"/>
      <c r="BC6" s="693"/>
      <c r="BD6" s="693"/>
      <c r="BE6" s="693"/>
      <c r="BF6" s="693"/>
      <c r="BG6" s="693"/>
    </row>
    <row r="7" spans="1:59" x14ac:dyDescent="0.2">
      <c r="A7" s="694"/>
      <c r="B7" s="694"/>
      <c r="C7" s="694"/>
      <c r="D7" s="694"/>
      <c r="E7" s="694"/>
      <c r="F7" s="694"/>
      <c r="G7" s="694"/>
      <c r="H7" s="694"/>
      <c r="I7" s="694"/>
      <c r="J7" s="694"/>
      <c r="K7" s="694"/>
      <c r="L7" s="694"/>
      <c r="M7" s="694"/>
      <c r="N7" s="694"/>
      <c r="O7" s="694"/>
      <c r="P7" s="694"/>
      <c r="Q7" s="694"/>
      <c r="R7" s="694"/>
      <c r="S7" s="694"/>
      <c r="T7" s="694"/>
      <c r="U7" s="694"/>
      <c r="V7" s="694"/>
      <c r="W7" s="694"/>
      <c r="X7" s="694"/>
      <c r="Y7" s="694"/>
      <c r="Z7" s="694"/>
      <c r="AA7" s="694"/>
      <c r="AB7" s="694"/>
      <c r="AC7" s="694"/>
      <c r="AD7" s="93"/>
      <c r="AG7" s="456" t="s">
        <v>468</v>
      </c>
      <c r="AH7" s="694" t="str">
        <f>"Kreditin təyinati üzrə istifadə edilməsinin yoxlanılması, eləcə də, «Borc alan»ın maliyyə vəziyyətinin təhlil edilməsi, krediti qaytarmaq qabiliyyətinin müəyyənləşdirilməsi məqsədilə "&amp;"«Borc verən» tərəfindən yoxlamaların (monitorinq) aparılmasına hər hansı bir şəkildə maneçilik törətdikdə; "</f>
        <v xml:space="preserve">Kreditin təyinati üzrə istifadə edilməsinin yoxlanılması, eləcə də, «Borc alan»ın maliyyə vəziyyətinin təhlil edilməsi, krediti qaytarmaq qabiliyyətinin müəyyənləşdirilməsi məqsədilə «Borc verən» tərəfindən yoxlamaların (monitorinq) aparılmasına hər hansı bir şəkildə maneçilik törətdikdə; </v>
      </c>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row>
    <row r="8" spans="1:59" x14ac:dyDescent="0.2">
      <c r="A8" s="694"/>
      <c r="B8" s="694"/>
      <c r="C8" s="694"/>
      <c r="D8" s="694"/>
      <c r="E8" s="694"/>
      <c r="F8" s="694"/>
      <c r="G8" s="694"/>
      <c r="H8" s="694"/>
      <c r="I8" s="694"/>
      <c r="J8" s="694"/>
      <c r="K8" s="694"/>
      <c r="L8" s="694"/>
      <c r="M8" s="694"/>
      <c r="N8" s="694"/>
      <c r="O8" s="694"/>
      <c r="P8" s="694"/>
      <c r="Q8" s="694"/>
      <c r="R8" s="694"/>
      <c r="S8" s="694"/>
      <c r="T8" s="694"/>
      <c r="U8" s="694"/>
      <c r="V8" s="694"/>
      <c r="W8" s="694"/>
      <c r="X8" s="694"/>
      <c r="Y8" s="694"/>
      <c r="Z8" s="694"/>
      <c r="AA8" s="694"/>
      <c r="AB8" s="694"/>
      <c r="AC8" s="694"/>
      <c r="AD8" s="93"/>
      <c r="AG8" s="456"/>
      <c r="AH8" s="694"/>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row>
    <row r="9" spans="1:59" x14ac:dyDescent="0.2">
      <c r="A9" s="694"/>
      <c r="B9" s="694"/>
      <c r="C9" s="694"/>
      <c r="D9" s="694"/>
      <c r="E9" s="694"/>
      <c r="F9" s="694"/>
      <c r="G9" s="694"/>
      <c r="H9" s="694"/>
      <c r="I9" s="694"/>
      <c r="J9" s="694"/>
      <c r="K9" s="694"/>
      <c r="L9" s="694"/>
      <c r="M9" s="694"/>
      <c r="N9" s="694"/>
      <c r="O9" s="694"/>
      <c r="P9" s="694"/>
      <c r="Q9" s="694"/>
      <c r="R9" s="694"/>
      <c r="S9" s="694"/>
      <c r="T9" s="694"/>
      <c r="U9" s="694"/>
      <c r="V9" s="694"/>
      <c r="W9" s="694"/>
      <c r="X9" s="694"/>
      <c r="Y9" s="694"/>
      <c r="Z9" s="694"/>
      <c r="AA9" s="694"/>
      <c r="AB9" s="694"/>
      <c r="AC9" s="694"/>
      <c r="AD9" s="93"/>
      <c r="AG9" s="456"/>
      <c r="AH9" s="694"/>
      <c r="AI9" s="694"/>
      <c r="AJ9" s="694"/>
      <c r="AK9" s="694"/>
      <c r="AL9" s="694"/>
      <c r="AM9" s="694"/>
      <c r="AN9" s="694"/>
      <c r="AO9" s="694"/>
      <c r="AP9" s="694"/>
      <c r="AQ9" s="694"/>
      <c r="AR9" s="694"/>
      <c r="AS9" s="694"/>
      <c r="AT9" s="694"/>
      <c r="AU9" s="694"/>
      <c r="AV9" s="694"/>
      <c r="AW9" s="694"/>
      <c r="AX9" s="694"/>
      <c r="AY9" s="694"/>
      <c r="AZ9" s="694"/>
      <c r="BA9" s="694"/>
      <c r="BB9" s="694"/>
      <c r="BC9" s="694"/>
      <c r="BD9" s="694"/>
      <c r="BE9" s="694"/>
      <c r="BF9" s="694"/>
      <c r="BG9" s="694"/>
    </row>
    <row r="10" spans="1:59" x14ac:dyDescent="0.2">
      <c r="A10" s="694"/>
      <c r="B10" s="694"/>
      <c r="C10" s="694"/>
      <c r="D10" s="694"/>
      <c r="E10" s="694"/>
      <c r="F10" s="694"/>
      <c r="G10" s="694"/>
      <c r="H10" s="694"/>
      <c r="I10" s="694"/>
      <c r="J10" s="694"/>
      <c r="K10" s="694"/>
      <c r="L10" s="694"/>
      <c r="M10" s="694"/>
      <c r="N10" s="694"/>
      <c r="O10" s="694"/>
      <c r="P10" s="694"/>
      <c r="Q10" s="694"/>
      <c r="R10" s="694"/>
      <c r="S10" s="694"/>
      <c r="T10" s="694"/>
      <c r="U10" s="694"/>
      <c r="V10" s="694"/>
      <c r="W10" s="694"/>
      <c r="X10" s="694"/>
      <c r="Y10" s="694"/>
      <c r="Z10" s="694"/>
      <c r="AA10" s="694"/>
      <c r="AB10" s="694"/>
      <c r="AC10" s="694"/>
      <c r="AD10" s="93"/>
      <c r="AE10" s="468"/>
      <c r="AG10" s="456"/>
      <c r="AH10" s="694"/>
      <c r="AI10" s="694"/>
      <c r="AJ10" s="694"/>
      <c r="AK10" s="694"/>
      <c r="AL10" s="694"/>
      <c r="AM10" s="694"/>
      <c r="AN10" s="694"/>
      <c r="AO10" s="694"/>
      <c r="AP10" s="694"/>
      <c r="AQ10" s="694"/>
      <c r="AR10" s="694"/>
      <c r="AS10" s="694"/>
      <c r="AT10" s="694"/>
      <c r="AU10" s="694"/>
      <c r="AV10" s="694"/>
      <c r="AW10" s="694"/>
      <c r="AX10" s="694"/>
      <c r="AY10" s="694"/>
      <c r="AZ10" s="694"/>
      <c r="BA10" s="694"/>
      <c r="BB10" s="694"/>
      <c r="BC10" s="694"/>
      <c r="BD10" s="694"/>
      <c r="BE10" s="694"/>
      <c r="BF10" s="694"/>
      <c r="BG10" s="694"/>
    </row>
    <row r="11" spans="1:59" x14ac:dyDescent="0.2">
      <c r="A11" s="694"/>
      <c r="B11" s="694"/>
      <c r="C11" s="694"/>
      <c r="D11" s="694"/>
      <c r="E11" s="694"/>
      <c r="F11" s="694"/>
      <c r="G11" s="694"/>
      <c r="H11" s="694"/>
      <c r="I11" s="694"/>
      <c r="J11" s="694"/>
      <c r="K11" s="694"/>
      <c r="L11" s="694"/>
      <c r="M11" s="694"/>
      <c r="N11" s="694"/>
      <c r="O11" s="694"/>
      <c r="P11" s="694"/>
      <c r="Q11" s="694"/>
      <c r="R11" s="694"/>
      <c r="S11" s="694"/>
      <c r="T11" s="694"/>
      <c r="U11" s="694"/>
      <c r="V11" s="694"/>
      <c r="W11" s="694"/>
      <c r="X11" s="694"/>
      <c r="Y11" s="694"/>
      <c r="Z11" s="694"/>
      <c r="AA11" s="694"/>
      <c r="AB11" s="694"/>
      <c r="AC11" s="694"/>
      <c r="AD11" s="93"/>
      <c r="AG11" s="456"/>
      <c r="AH11" s="694"/>
      <c r="AI11" s="694"/>
      <c r="AJ11" s="694"/>
      <c r="AK11" s="694"/>
      <c r="AL11" s="694"/>
      <c r="AM11" s="694"/>
      <c r="AN11" s="694"/>
      <c r="AO11" s="694"/>
      <c r="AP11" s="694"/>
      <c r="AQ11" s="694"/>
      <c r="AR11" s="694"/>
      <c r="AS11" s="694"/>
      <c r="AT11" s="694"/>
      <c r="AU11" s="694"/>
      <c r="AV11" s="694"/>
      <c r="AW11" s="694"/>
      <c r="AX11" s="694"/>
      <c r="AY11" s="694"/>
      <c r="AZ11" s="694"/>
      <c r="BA11" s="694"/>
      <c r="BB11" s="694"/>
      <c r="BC11" s="694"/>
      <c r="BD11" s="694"/>
      <c r="BE11" s="694"/>
      <c r="BF11" s="694"/>
      <c r="BG11" s="694"/>
    </row>
    <row r="12" spans="1:59" x14ac:dyDescent="0.2">
      <c r="A12" s="695" t="s">
        <v>164</v>
      </c>
      <c r="B12" s="695"/>
      <c r="C12" s="695"/>
      <c r="D12" s="695"/>
      <c r="E12" s="695"/>
      <c r="F12" s="695"/>
      <c r="G12" s="695"/>
      <c r="H12" s="695"/>
      <c r="I12" s="695"/>
      <c r="J12" s="695"/>
      <c r="K12" s="695"/>
      <c r="L12" s="695"/>
      <c r="M12" s="695"/>
      <c r="N12" s="695"/>
      <c r="O12" s="695"/>
      <c r="P12" s="695"/>
      <c r="Q12" s="695"/>
      <c r="R12" s="695"/>
      <c r="S12" s="695"/>
      <c r="T12" s="695"/>
      <c r="U12" s="695"/>
      <c r="V12" s="695"/>
      <c r="W12" s="695"/>
      <c r="X12" s="695"/>
      <c r="Y12" s="695"/>
      <c r="Z12" s="695"/>
      <c r="AA12" s="695"/>
      <c r="AB12" s="695"/>
      <c r="AC12" s="695"/>
      <c r="AD12" s="93"/>
      <c r="AG12" s="456" t="s">
        <v>469</v>
      </c>
      <c r="AH12" s="694" t="s">
        <v>453</v>
      </c>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row>
    <row r="13" spans="1:59" ht="11.25" customHeight="1" x14ac:dyDescent="0.2">
      <c r="A13" s="99" t="s">
        <v>93</v>
      </c>
      <c r="B13" s="694" t="str">
        <f>"Bu müqaviləyə görə  «Borc verən» «Borc alan»a sonuncunun öz biznesini inkişaf etdirmək və həyat səviyyəsini yaxşılaşdırmaq üçün bu müqavilənin 1.2 və 1.3-cü bəndlərində göstərilən məbləğdə və faizlə kredit verir."&amp;" «Borc alan» isə həmin kreditdən təyinatına "&amp;"uyğun istifadə etməyi və müəyyən olunmuş müddətdə faizi ilə birlikdə  «Borc verən»ə qaytarmağı öz öhdəsinə götürür."</f>
        <v>Bu müqaviləyə görə  «Borc verən» «Borc alan»a sonuncunun öz biznesini inkişaf etdirmək və həyat səviyyəsini yaxşılaşdırmaq üçün bu müqavilənin 1.2 və 1.3-cü bəndlərində göstərilən məbləğdə və faizlə kredit verir. «Borc alan» isə həmin kreditdən təyinatına uyğun istifadə etməyi və müəyyən olunmuş müddətdə faizi ilə birlikdə  «Borc verən»ə qaytarmağı öz öhdəsinə götürür.</v>
      </c>
      <c r="C13" s="694"/>
      <c r="D13" s="694"/>
      <c r="E13" s="694"/>
      <c r="F13" s="694"/>
      <c r="G13" s="694"/>
      <c r="H13" s="694"/>
      <c r="I13" s="694"/>
      <c r="J13" s="694"/>
      <c r="K13" s="694"/>
      <c r="L13" s="694"/>
      <c r="M13" s="694"/>
      <c r="N13" s="694"/>
      <c r="O13" s="694"/>
      <c r="P13" s="694"/>
      <c r="Q13" s="694"/>
      <c r="R13" s="694"/>
      <c r="S13" s="694"/>
      <c r="T13" s="694"/>
      <c r="U13" s="694"/>
      <c r="V13" s="694"/>
      <c r="W13" s="694"/>
      <c r="X13" s="694"/>
      <c r="Y13" s="694"/>
      <c r="Z13" s="694"/>
      <c r="AA13" s="694"/>
      <c r="AB13" s="694"/>
      <c r="AC13" s="694"/>
      <c r="AD13" s="93"/>
      <c r="AG13" s="456"/>
      <c r="AH13" s="694"/>
      <c r="AI13" s="694"/>
      <c r="AJ13" s="694"/>
      <c r="AK13" s="694"/>
      <c r="AL13" s="694"/>
      <c r="AM13" s="694"/>
      <c r="AN13" s="694"/>
      <c r="AO13" s="694"/>
      <c r="AP13" s="694"/>
      <c r="AQ13" s="694"/>
      <c r="AR13" s="694"/>
      <c r="AS13" s="694"/>
      <c r="AT13" s="694"/>
      <c r="AU13" s="694"/>
      <c r="AV13" s="694"/>
      <c r="AW13" s="694"/>
      <c r="AX13" s="694"/>
      <c r="AY13" s="694"/>
      <c r="AZ13" s="694"/>
      <c r="BA13" s="694"/>
      <c r="BB13" s="694"/>
      <c r="BC13" s="694"/>
      <c r="BD13" s="694"/>
      <c r="BE13" s="694"/>
      <c r="BF13" s="694"/>
      <c r="BG13" s="694"/>
    </row>
    <row r="14" spans="1:59" x14ac:dyDescent="0.2">
      <c r="A14" s="99"/>
      <c r="B14" s="694"/>
      <c r="C14" s="694"/>
      <c r="D14" s="694"/>
      <c r="E14" s="694"/>
      <c r="F14" s="694"/>
      <c r="G14" s="694"/>
      <c r="H14" s="694"/>
      <c r="I14" s="694"/>
      <c r="J14" s="694"/>
      <c r="K14" s="694"/>
      <c r="L14" s="694"/>
      <c r="M14" s="694"/>
      <c r="N14" s="694"/>
      <c r="O14" s="694"/>
      <c r="P14" s="694"/>
      <c r="Q14" s="694"/>
      <c r="R14" s="694"/>
      <c r="S14" s="694"/>
      <c r="T14" s="694"/>
      <c r="U14" s="694"/>
      <c r="V14" s="694"/>
      <c r="W14" s="694"/>
      <c r="X14" s="694"/>
      <c r="Y14" s="694"/>
      <c r="Z14" s="694"/>
      <c r="AA14" s="694"/>
      <c r="AB14" s="694"/>
      <c r="AC14" s="694"/>
      <c r="AD14" s="93"/>
      <c r="AG14" s="456" t="s">
        <v>470</v>
      </c>
      <c r="AH14" s="694" t="s">
        <v>454</v>
      </c>
      <c r="AI14" s="694"/>
      <c r="AJ14" s="694"/>
      <c r="AK14" s="694"/>
      <c r="AL14" s="694"/>
      <c r="AM14" s="694"/>
      <c r="AN14" s="694"/>
      <c r="AO14" s="694"/>
      <c r="AP14" s="694"/>
      <c r="AQ14" s="694"/>
      <c r="AR14" s="694"/>
      <c r="AS14" s="694"/>
      <c r="AT14" s="694"/>
      <c r="AU14" s="694"/>
      <c r="AV14" s="694"/>
      <c r="AW14" s="694"/>
      <c r="AX14" s="694"/>
      <c r="AY14" s="694"/>
      <c r="AZ14" s="694"/>
      <c r="BA14" s="694"/>
      <c r="BB14" s="694"/>
      <c r="BC14" s="694"/>
      <c r="BD14" s="694"/>
      <c r="BE14" s="694"/>
      <c r="BF14" s="694"/>
      <c r="BG14" s="694"/>
    </row>
    <row r="15" spans="1:59" x14ac:dyDescent="0.2">
      <c r="B15" s="694"/>
      <c r="C15" s="694"/>
      <c r="D15" s="694"/>
      <c r="E15" s="694"/>
      <c r="F15" s="694"/>
      <c r="G15" s="694"/>
      <c r="H15" s="694"/>
      <c r="I15" s="694"/>
      <c r="J15" s="694"/>
      <c r="K15" s="694"/>
      <c r="L15" s="694"/>
      <c r="M15" s="694"/>
      <c r="N15" s="694"/>
      <c r="O15" s="694"/>
      <c r="P15" s="694"/>
      <c r="Q15" s="694"/>
      <c r="R15" s="694"/>
      <c r="S15" s="694"/>
      <c r="T15" s="694"/>
      <c r="U15" s="694"/>
      <c r="V15" s="694"/>
      <c r="W15" s="694"/>
      <c r="X15" s="694"/>
      <c r="Y15" s="694"/>
      <c r="Z15" s="694"/>
      <c r="AA15" s="694"/>
      <c r="AB15" s="694"/>
      <c r="AC15" s="694"/>
      <c r="AD15" s="93"/>
      <c r="AG15" s="456"/>
      <c r="AH15" s="694"/>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row>
    <row r="16" spans="1:59" x14ac:dyDescent="0.2">
      <c r="B16" s="694"/>
      <c r="C16" s="694"/>
      <c r="D16" s="694"/>
      <c r="E16" s="694"/>
      <c r="F16" s="694"/>
      <c r="G16" s="694"/>
      <c r="H16" s="694"/>
      <c r="I16" s="694"/>
      <c r="J16" s="694"/>
      <c r="K16" s="694"/>
      <c r="L16" s="694"/>
      <c r="M16" s="694"/>
      <c r="N16" s="694"/>
      <c r="O16" s="694"/>
      <c r="P16" s="694"/>
      <c r="Q16" s="694"/>
      <c r="R16" s="694"/>
      <c r="S16" s="694"/>
      <c r="T16" s="694"/>
      <c r="U16" s="694"/>
      <c r="V16" s="694"/>
      <c r="W16" s="694"/>
      <c r="X16" s="694"/>
      <c r="Y16" s="694"/>
      <c r="Z16" s="694"/>
      <c r="AA16" s="694"/>
      <c r="AB16" s="694"/>
      <c r="AC16" s="694"/>
      <c r="AD16" s="93"/>
      <c r="AF16" s="94"/>
      <c r="AG16" s="456" t="s">
        <v>471</v>
      </c>
      <c r="AH16" s="702" t="s">
        <v>476</v>
      </c>
      <c r="AI16" s="702"/>
      <c r="AJ16" s="702"/>
      <c r="AK16" s="702"/>
      <c r="AL16" s="702"/>
      <c r="AM16" s="702"/>
      <c r="AN16" s="702"/>
      <c r="AO16" s="702"/>
      <c r="AP16" s="702"/>
      <c r="AQ16" s="702"/>
      <c r="AR16" s="702"/>
      <c r="AS16" s="702"/>
      <c r="AT16" s="702"/>
      <c r="AU16" s="702"/>
      <c r="AV16" s="702"/>
      <c r="AW16" s="702"/>
      <c r="AX16" s="702"/>
      <c r="AY16" s="702"/>
      <c r="AZ16" s="702"/>
      <c r="BA16" s="702"/>
      <c r="BB16" s="702"/>
      <c r="BC16" s="702"/>
      <c r="BD16" s="702"/>
      <c r="BE16" s="702"/>
      <c r="BF16" s="702"/>
      <c r="BG16" s="702"/>
    </row>
    <row r="17" spans="1:59" x14ac:dyDescent="0.2">
      <c r="B17" s="694"/>
      <c r="C17" s="694"/>
      <c r="D17" s="694"/>
      <c r="E17" s="694"/>
      <c r="F17" s="694"/>
      <c r="G17" s="694"/>
      <c r="H17" s="694"/>
      <c r="I17" s="694"/>
      <c r="J17" s="694"/>
      <c r="K17" s="694"/>
      <c r="L17" s="694"/>
      <c r="M17" s="694"/>
      <c r="N17" s="694"/>
      <c r="O17" s="694"/>
      <c r="P17" s="694"/>
      <c r="Q17" s="694"/>
      <c r="R17" s="694"/>
      <c r="S17" s="694"/>
      <c r="T17" s="694"/>
      <c r="U17" s="694"/>
      <c r="V17" s="694"/>
      <c r="W17" s="694"/>
      <c r="X17" s="694"/>
      <c r="Y17" s="694"/>
      <c r="Z17" s="694"/>
      <c r="AA17" s="694"/>
      <c r="AB17" s="694"/>
      <c r="AC17" s="694"/>
      <c r="AD17" s="93"/>
      <c r="AF17" s="86"/>
      <c r="AG17" s="456" t="s">
        <v>95</v>
      </c>
      <c r="AH17" s="702" t="s">
        <v>477</v>
      </c>
      <c r="AI17" s="702"/>
      <c r="AJ17" s="702"/>
      <c r="AK17" s="702"/>
      <c r="AL17" s="702"/>
      <c r="AM17" s="702"/>
      <c r="AN17" s="702"/>
      <c r="AO17" s="702"/>
      <c r="AP17" s="702"/>
      <c r="AQ17" s="702"/>
      <c r="AR17" s="702"/>
      <c r="AS17" s="702"/>
      <c r="AT17" s="702"/>
      <c r="AU17" s="702"/>
      <c r="AV17" s="702"/>
      <c r="AW17" s="702"/>
      <c r="AX17" s="702"/>
      <c r="AY17" s="702"/>
      <c r="AZ17" s="702"/>
      <c r="BA17" s="702"/>
      <c r="BB17" s="702"/>
      <c r="BC17" s="702"/>
      <c r="BD17" s="702"/>
      <c r="BE17" s="702"/>
      <c r="BF17" s="702"/>
      <c r="BG17" s="702"/>
    </row>
    <row r="18" spans="1:59" s="468" customFormat="1" ht="12.75" customHeight="1" x14ac:dyDescent="0.2">
      <c r="B18" s="694"/>
      <c r="C18" s="694"/>
      <c r="D18" s="694"/>
      <c r="E18" s="694"/>
      <c r="F18" s="694"/>
      <c r="G18" s="694"/>
      <c r="H18" s="694"/>
      <c r="I18" s="694"/>
      <c r="J18" s="694"/>
      <c r="K18" s="694"/>
      <c r="L18" s="694"/>
      <c r="M18" s="694"/>
      <c r="N18" s="694"/>
      <c r="O18" s="694"/>
      <c r="P18" s="694"/>
      <c r="Q18" s="694"/>
      <c r="R18" s="694"/>
      <c r="S18" s="694"/>
      <c r="T18" s="694"/>
      <c r="U18" s="694"/>
      <c r="V18" s="694"/>
      <c r="W18" s="694"/>
      <c r="X18" s="694"/>
      <c r="Y18" s="694"/>
      <c r="Z18" s="694"/>
      <c r="AA18" s="694"/>
      <c r="AB18" s="694"/>
      <c r="AC18" s="694"/>
      <c r="AD18" s="456"/>
      <c r="AE18" s="94"/>
      <c r="AF18" s="95"/>
      <c r="AG18" s="95"/>
      <c r="AH18" s="702"/>
      <c r="AI18" s="702"/>
      <c r="AJ18" s="702"/>
      <c r="AK18" s="702"/>
      <c r="AL18" s="702"/>
      <c r="AM18" s="702"/>
      <c r="AN18" s="702"/>
      <c r="AO18" s="702"/>
      <c r="AP18" s="702"/>
      <c r="AQ18" s="702"/>
      <c r="AR18" s="702"/>
      <c r="AS18" s="702"/>
      <c r="AT18" s="702"/>
      <c r="AU18" s="702"/>
      <c r="AV18" s="702"/>
      <c r="AW18" s="702"/>
      <c r="AX18" s="702"/>
      <c r="AY18" s="702"/>
      <c r="AZ18" s="702"/>
      <c r="BA18" s="702"/>
      <c r="BB18" s="702"/>
      <c r="BC18" s="702"/>
      <c r="BD18" s="702"/>
      <c r="BE18" s="702"/>
      <c r="BF18" s="702"/>
      <c r="BG18" s="702"/>
    </row>
    <row r="19" spans="1:59" x14ac:dyDescent="0.2">
      <c r="A19" s="100" t="s">
        <v>88</v>
      </c>
      <c r="B19" s="694" t="str">
        <f>"Bu müqavilə üzrə «Borc verən» «Borc alan»a   "&amp;GOTURDUYU_MEBLEQ&amp;" "&amp;PUL_VAHIDI&amp;" ("&amp;GOTURDUYU_MEBLEQ_SOZLE&amp;"  "&amp;PUL_VAHIDI_SOZLE&amp;")  məbləğində kredit verir."</f>
        <v>Bu müqavilə üzrə «Borc verən» «Borc alan»a   1000.00 AZN (bir min   manat)  məbləğində kredit verir.</v>
      </c>
      <c r="C19" s="694"/>
      <c r="D19" s="694"/>
      <c r="E19" s="694"/>
      <c r="F19" s="694"/>
      <c r="G19" s="694"/>
      <c r="H19" s="694"/>
      <c r="I19" s="694"/>
      <c r="J19" s="694"/>
      <c r="K19" s="694"/>
      <c r="L19" s="694"/>
      <c r="M19" s="694"/>
      <c r="N19" s="694"/>
      <c r="O19" s="694"/>
      <c r="P19" s="694"/>
      <c r="Q19" s="694"/>
      <c r="R19" s="694"/>
      <c r="S19" s="694"/>
      <c r="T19" s="694"/>
      <c r="U19" s="694"/>
      <c r="V19" s="694"/>
      <c r="W19" s="694"/>
      <c r="X19" s="694"/>
      <c r="Y19" s="694"/>
      <c r="Z19" s="694"/>
      <c r="AA19" s="694"/>
      <c r="AB19" s="694"/>
      <c r="AC19" s="694"/>
      <c r="AD19" s="93"/>
      <c r="AE19" s="114" t="s">
        <v>91</v>
      </c>
      <c r="AF19" s="703" t="s">
        <v>90</v>
      </c>
      <c r="AG19" s="703"/>
      <c r="AH19" s="703"/>
      <c r="AI19" s="703"/>
      <c r="AJ19" s="703"/>
      <c r="AK19" s="703"/>
      <c r="AL19" s="703"/>
      <c r="AM19" s="703"/>
      <c r="AN19" s="703"/>
      <c r="AO19" s="703"/>
      <c r="AP19" s="703"/>
      <c r="AQ19" s="703"/>
      <c r="AR19" s="703"/>
      <c r="AS19" s="703"/>
      <c r="AT19" s="703"/>
      <c r="AU19" s="703"/>
      <c r="AV19" s="703"/>
      <c r="AW19" s="703"/>
      <c r="AX19" s="703"/>
      <c r="AY19" s="703"/>
      <c r="AZ19" s="703"/>
      <c r="BA19" s="703"/>
      <c r="BB19" s="703"/>
      <c r="BC19" s="703"/>
      <c r="BD19" s="703"/>
      <c r="BE19" s="703"/>
      <c r="BF19" s="703"/>
      <c r="BG19" s="703"/>
    </row>
    <row r="20" spans="1:59" x14ac:dyDescent="0.2">
      <c r="A20" s="89"/>
      <c r="B20" s="694"/>
      <c r="C20" s="694"/>
      <c r="D20" s="694"/>
      <c r="E20" s="694"/>
      <c r="F20" s="694"/>
      <c r="G20" s="694"/>
      <c r="H20" s="694"/>
      <c r="I20" s="694"/>
      <c r="J20" s="694"/>
      <c r="K20" s="694"/>
      <c r="L20" s="694"/>
      <c r="M20" s="694"/>
      <c r="N20" s="694"/>
      <c r="O20" s="694"/>
      <c r="P20" s="694"/>
      <c r="Q20" s="694"/>
      <c r="R20" s="694"/>
      <c r="S20" s="694"/>
      <c r="T20" s="694"/>
      <c r="U20" s="694"/>
      <c r="V20" s="694"/>
      <c r="W20" s="694"/>
      <c r="X20" s="694"/>
      <c r="Y20" s="694"/>
      <c r="Z20" s="694"/>
      <c r="AA20" s="694"/>
      <c r="AB20" s="694"/>
      <c r="AC20" s="694"/>
      <c r="AD20" s="93"/>
      <c r="AE20" s="701" t="s">
        <v>89</v>
      </c>
      <c r="AF20" s="701"/>
      <c r="AG20" s="694" t="s">
        <v>449</v>
      </c>
      <c r="AH20" s="694"/>
      <c r="AI20" s="694"/>
      <c r="AJ20" s="694"/>
      <c r="AK20" s="694"/>
      <c r="AL20" s="694"/>
      <c r="AM20" s="694"/>
      <c r="AN20" s="694"/>
      <c r="AO20" s="694"/>
      <c r="AP20" s="694"/>
      <c r="AQ20" s="694"/>
      <c r="AR20" s="694"/>
      <c r="AS20" s="694"/>
      <c r="AT20" s="694"/>
      <c r="AU20" s="694"/>
      <c r="AV20" s="694"/>
      <c r="AW20" s="694"/>
      <c r="AX20" s="694"/>
      <c r="AY20" s="694"/>
      <c r="AZ20" s="694"/>
      <c r="BA20" s="694"/>
      <c r="BB20" s="694"/>
      <c r="BC20" s="694"/>
      <c r="BD20" s="694"/>
      <c r="BE20" s="694"/>
      <c r="BF20" s="694"/>
      <c r="BG20" s="694"/>
    </row>
    <row r="21" spans="1:59" x14ac:dyDescent="0.2">
      <c r="A21" s="97" t="s">
        <v>85</v>
      </c>
      <c r="B21" s="698" t="str">
        <f>"Kredit "&amp;MONTH_KREDIT&amp;" ("&amp;LEFT(MONTH_KREDIT_SOZLE,LEN(MONTH_KREDIT_SOZLE)-1)&amp;") ay müddətinə "&amp;END_DATE_KREDIT_SOZLE&amp;" tarixinədək, ilin 360 günü hesabı ilə illik "&amp;TEXT(IFF,"0.00")&amp;" % dərəcəsi tətbiq edilməklə verilir. Faktiki illik faiz dərəcəsi (FİFD) "&amp;TEXT(FIFD,"0.00")&amp;" % təşkil edir.  Burada nəzərdə tutulan FİFD Azərbaycan Respublikasının Mərkəzi Bankının müvafiq təlimatlarına və göstərişlərinə müvafiq olmaqla müəyyən edilmişdir."</f>
        <v>Kredit 10 (on) ay müddətinə «31» May 2016-cı il tarixinədək, ilin 360 günü hesabı ilə illik 0.60 % dərəcəsi tətbiq edilməklə verilir. Faktiki illik faiz dərəcəsi (FİFD) 2.80 % təşkil edir.  Burada nəzərdə tutulan FİFD Azərbaycan Respublikasının Mərkəzi Bankının müvafiq təlimatlarına və göstərişlərinə müvafiq olmaqla müəyyən edilmişdir.</v>
      </c>
      <c r="C21" s="698"/>
      <c r="D21" s="698"/>
      <c r="E21" s="698"/>
      <c r="F21" s="698"/>
      <c r="G21" s="698"/>
      <c r="H21" s="698"/>
      <c r="I21" s="698"/>
      <c r="J21" s="698"/>
      <c r="K21" s="698"/>
      <c r="L21" s="698"/>
      <c r="M21" s="698"/>
      <c r="N21" s="698"/>
      <c r="O21" s="698"/>
      <c r="P21" s="698"/>
      <c r="Q21" s="698"/>
      <c r="R21" s="698"/>
      <c r="S21" s="698"/>
      <c r="T21" s="698"/>
      <c r="U21" s="698"/>
      <c r="V21" s="698"/>
      <c r="W21" s="698"/>
      <c r="X21" s="698"/>
      <c r="Y21" s="698"/>
      <c r="Z21" s="698"/>
      <c r="AA21" s="698"/>
      <c r="AB21" s="698"/>
      <c r="AC21" s="698"/>
      <c r="AD21" s="93"/>
      <c r="AE21" s="98"/>
      <c r="AF21" s="98"/>
      <c r="AG21" s="694"/>
      <c r="AH21" s="694"/>
      <c r="AI21" s="694"/>
      <c r="AJ21" s="694"/>
      <c r="AK21" s="694"/>
      <c r="AL21" s="694"/>
      <c r="AM21" s="694"/>
      <c r="AN21" s="694"/>
      <c r="AO21" s="694"/>
      <c r="AP21" s="694"/>
      <c r="AQ21" s="694"/>
      <c r="AR21" s="694"/>
      <c r="AS21" s="694"/>
      <c r="AT21" s="694"/>
      <c r="AU21" s="694"/>
      <c r="AV21" s="694"/>
      <c r="AW21" s="694"/>
      <c r="AX21" s="694"/>
      <c r="AY21" s="694"/>
      <c r="AZ21" s="694"/>
      <c r="BA21" s="694"/>
      <c r="BB21" s="694"/>
      <c r="BC21" s="694"/>
      <c r="BD21" s="694"/>
      <c r="BE21" s="694"/>
      <c r="BF21" s="694"/>
      <c r="BG21" s="694"/>
    </row>
    <row r="22" spans="1:59" x14ac:dyDescent="0.2">
      <c r="B22" s="698"/>
      <c r="C22" s="698"/>
      <c r="D22" s="698"/>
      <c r="E22" s="698"/>
      <c r="F22" s="698"/>
      <c r="G22" s="698"/>
      <c r="H22" s="698"/>
      <c r="I22" s="698"/>
      <c r="J22" s="698"/>
      <c r="K22" s="698"/>
      <c r="L22" s="698"/>
      <c r="M22" s="698"/>
      <c r="N22" s="698"/>
      <c r="O22" s="698"/>
      <c r="P22" s="698"/>
      <c r="Q22" s="698"/>
      <c r="R22" s="698"/>
      <c r="S22" s="698"/>
      <c r="T22" s="698"/>
      <c r="U22" s="698"/>
      <c r="V22" s="698"/>
      <c r="W22" s="698"/>
      <c r="X22" s="698"/>
      <c r="Y22" s="698"/>
      <c r="Z22" s="698"/>
      <c r="AA22" s="698"/>
      <c r="AB22" s="698"/>
      <c r="AC22" s="698"/>
      <c r="AD22" s="93"/>
      <c r="AE22" s="699" t="s">
        <v>87</v>
      </c>
      <c r="AF22" s="699"/>
      <c r="AG22" s="702" t="s">
        <v>86</v>
      </c>
      <c r="AH22" s="702"/>
      <c r="AI22" s="702"/>
      <c r="AJ22" s="702"/>
      <c r="AK22" s="702"/>
      <c r="AL22" s="702"/>
      <c r="AM22" s="702"/>
      <c r="AN22" s="702"/>
      <c r="AO22" s="702"/>
      <c r="AP22" s="702"/>
      <c r="AQ22" s="702"/>
      <c r="AR22" s="702"/>
      <c r="AS22" s="702"/>
      <c r="AT22" s="702"/>
      <c r="AU22" s="702"/>
      <c r="AV22" s="702"/>
      <c r="AW22" s="702"/>
      <c r="AX22" s="702"/>
      <c r="AY22" s="702"/>
      <c r="AZ22" s="702"/>
      <c r="BA22" s="702"/>
      <c r="BB22" s="702"/>
      <c r="BC22" s="702"/>
      <c r="BD22" s="702"/>
      <c r="BE22" s="702"/>
      <c r="BF22" s="702"/>
      <c r="BG22" s="702"/>
    </row>
    <row r="23" spans="1:59" x14ac:dyDescent="0.2">
      <c r="B23" s="698"/>
      <c r="C23" s="698"/>
      <c r="D23" s="698"/>
      <c r="E23" s="698"/>
      <c r="F23" s="698"/>
      <c r="G23" s="698"/>
      <c r="H23" s="698"/>
      <c r="I23" s="698"/>
      <c r="J23" s="698"/>
      <c r="K23" s="698"/>
      <c r="L23" s="698"/>
      <c r="M23" s="698"/>
      <c r="N23" s="698"/>
      <c r="O23" s="698"/>
      <c r="P23" s="698"/>
      <c r="Q23" s="698"/>
      <c r="R23" s="698"/>
      <c r="S23" s="698"/>
      <c r="T23" s="698"/>
      <c r="U23" s="698"/>
      <c r="V23" s="698"/>
      <c r="W23" s="698"/>
      <c r="X23" s="698"/>
      <c r="Y23" s="698"/>
      <c r="Z23" s="698"/>
      <c r="AA23" s="698"/>
      <c r="AB23" s="698"/>
      <c r="AC23" s="698"/>
      <c r="AD23" s="93"/>
      <c r="AE23" s="699" t="s">
        <v>84</v>
      </c>
      <c r="AF23" s="699"/>
      <c r="AG23" s="694" t="s">
        <v>450</v>
      </c>
      <c r="AH23" s="694"/>
      <c r="AI23" s="694"/>
      <c r="AJ23" s="694"/>
      <c r="AK23" s="694"/>
      <c r="AL23" s="694"/>
      <c r="AM23" s="694"/>
      <c r="AN23" s="694"/>
      <c r="AO23" s="694"/>
      <c r="AP23" s="694"/>
      <c r="AQ23" s="694"/>
      <c r="AR23" s="694"/>
      <c r="AS23" s="694"/>
      <c r="AT23" s="694"/>
      <c r="AU23" s="694"/>
      <c r="AV23" s="694"/>
      <c r="AW23" s="694"/>
      <c r="AX23" s="694"/>
      <c r="AY23" s="694"/>
      <c r="AZ23" s="694"/>
      <c r="BA23" s="694"/>
      <c r="BB23" s="694"/>
      <c r="BC23" s="694"/>
      <c r="BD23" s="694"/>
      <c r="BE23" s="694"/>
      <c r="BF23" s="694"/>
      <c r="BG23" s="694"/>
    </row>
    <row r="24" spans="1:59" x14ac:dyDescent="0.2">
      <c r="B24" s="698"/>
      <c r="C24" s="698"/>
      <c r="D24" s="698"/>
      <c r="E24" s="698"/>
      <c r="F24" s="698"/>
      <c r="G24" s="698"/>
      <c r="H24" s="698"/>
      <c r="I24" s="698"/>
      <c r="J24" s="698"/>
      <c r="K24" s="698"/>
      <c r="L24" s="698"/>
      <c r="M24" s="698"/>
      <c r="N24" s="698"/>
      <c r="O24" s="698"/>
      <c r="P24" s="698"/>
      <c r="Q24" s="698"/>
      <c r="R24" s="698"/>
      <c r="S24" s="698"/>
      <c r="T24" s="698"/>
      <c r="U24" s="698"/>
      <c r="V24" s="698"/>
      <c r="W24" s="698"/>
      <c r="X24" s="698"/>
      <c r="Y24" s="698"/>
      <c r="Z24" s="698"/>
      <c r="AA24" s="698"/>
      <c r="AB24" s="698"/>
      <c r="AC24" s="698"/>
      <c r="AD24" s="93"/>
      <c r="AE24" s="98"/>
      <c r="AF24" s="98"/>
      <c r="AG24" s="694"/>
      <c r="AH24" s="694"/>
      <c r="AI24" s="694"/>
      <c r="AJ24" s="694"/>
      <c r="AK24" s="694"/>
      <c r="AL24" s="694"/>
      <c r="AM24" s="694"/>
      <c r="AN24" s="694"/>
      <c r="AO24" s="694"/>
      <c r="AP24" s="694"/>
      <c r="AQ24" s="694"/>
      <c r="AR24" s="694"/>
      <c r="AS24" s="694"/>
      <c r="AT24" s="694"/>
      <c r="AU24" s="694"/>
      <c r="AV24" s="694"/>
      <c r="AW24" s="694"/>
      <c r="AX24" s="694"/>
      <c r="AY24" s="694"/>
      <c r="AZ24" s="694"/>
      <c r="BA24" s="694"/>
      <c r="BB24" s="694"/>
      <c r="BC24" s="694"/>
      <c r="BD24" s="694"/>
      <c r="BE24" s="694"/>
      <c r="BF24" s="694"/>
      <c r="BG24" s="694"/>
    </row>
    <row r="25" spans="1:59" x14ac:dyDescent="0.2">
      <c r="B25" s="698"/>
      <c r="C25" s="698"/>
      <c r="D25" s="698"/>
      <c r="E25" s="698"/>
      <c r="F25" s="698"/>
      <c r="G25" s="698"/>
      <c r="H25" s="698"/>
      <c r="I25" s="698"/>
      <c r="J25" s="698"/>
      <c r="K25" s="698"/>
      <c r="L25" s="698"/>
      <c r="M25" s="698"/>
      <c r="N25" s="698"/>
      <c r="O25" s="698"/>
      <c r="P25" s="698"/>
      <c r="Q25" s="698"/>
      <c r="R25" s="698"/>
      <c r="S25" s="698"/>
      <c r="T25" s="698"/>
      <c r="U25" s="698"/>
      <c r="V25" s="698"/>
      <c r="W25" s="698"/>
      <c r="X25" s="698"/>
      <c r="Y25" s="698"/>
      <c r="Z25" s="698"/>
      <c r="AA25" s="698"/>
      <c r="AB25" s="698"/>
      <c r="AC25" s="698"/>
      <c r="AD25" s="93"/>
      <c r="AE25" s="699" t="s">
        <v>83</v>
      </c>
      <c r="AF25" s="699"/>
      <c r="AG25" s="694" t="s">
        <v>451</v>
      </c>
      <c r="AH25" s="694"/>
      <c r="AI25" s="694"/>
      <c r="AJ25" s="694"/>
      <c r="AK25" s="694"/>
      <c r="AL25" s="694"/>
      <c r="AM25" s="694"/>
      <c r="AN25" s="694"/>
      <c r="AO25" s="694"/>
      <c r="AP25" s="694"/>
      <c r="AQ25" s="694"/>
      <c r="AR25" s="694"/>
      <c r="AS25" s="694"/>
      <c r="AT25" s="694"/>
      <c r="AU25" s="694"/>
      <c r="AV25" s="694"/>
      <c r="AW25" s="694"/>
      <c r="AX25" s="694"/>
      <c r="AY25" s="694"/>
      <c r="AZ25" s="694"/>
      <c r="BA25" s="694"/>
      <c r="BB25" s="694"/>
      <c r="BC25" s="694"/>
      <c r="BD25" s="694"/>
      <c r="BE25" s="694"/>
      <c r="BF25" s="694"/>
      <c r="BG25" s="694"/>
    </row>
    <row r="26" spans="1:59" x14ac:dyDescent="0.2">
      <c r="A26" s="97" t="s">
        <v>81</v>
      </c>
      <c r="B26" s="694" t="str">
        <f>"«Borc alan» kreditin verilməsinə görə  «Borc verən»ə   kreditin ümumi  məbləğinin "&amp;KH&amp;" % məbləğində komisyon haqqı ödəyir."</f>
        <v>«Borc alan» kreditin verilməsinə görə  «Borc verən»ə   kreditin ümumi  məbləğinin 1 % məbləğində komisyon haqqı ödəyir.</v>
      </c>
      <c r="C26" s="694"/>
      <c r="D26" s="694"/>
      <c r="E26" s="694"/>
      <c r="F26" s="694"/>
      <c r="G26" s="694"/>
      <c r="H26" s="694"/>
      <c r="I26" s="694"/>
      <c r="J26" s="694"/>
      <c r="K26" s="694"/>
      <c r="L26" s="694"/>
      <c r="M26" s="694"/>
      <c r="N26" s="694"/>
      <c r="O26" s="694"/>
      <c r="P26" s="694"/>
      <c r="Q26" s="694"/>
      <c r="R26" s="694"/>
      <c r="S26" s="694"/>
      <c r="T26" s="694"/>
      <c r="U26" s="694"/>
      <c r="V26" s="694"/>
      <c r="W26" s="694"/>
      <c r="X26" s="694"/>
      <c r="Y26" s="694"/>
      <c r="Z26" s="694"/>
      <c r="AA26" s="694"/>
      <c r="AB26" s="694"/>
      <c r="AC26" s="694"/>
      <c r="AD26" s="93"/>
      <c r="AE26" s="98"/>
      <c r="AF26" s="98"/>
      <c r="AG26" s="694"/>
      <c r="AH26" s="694"/>
      <c r="AI26" s="694"/>
      <c r="AJ26" s="694"/>
      <c r="AK26" s="694"/>
      <c r="AL26" s="694"/>
      <c r="AM26" s="694"/>
      <c r="AN26" s="694"/>
      <c r="AO26" s="694"/>
      <c r="AP26" s="694"/>
      <c r="AQ26" s="694"/>
      <c r="AR26" s="694"/>
      <c r="AS26" s="694"/>
      <c r="AT26" s="694"/>
      <c r="AU26" s="694"/>
      <c r="AV26" s="694"/>
      <c r="AW26" s="694"/>
      <c r="AX26" s="694"/>
      <c r="AY26" s="694"/>
      <c r="AZ26" s="694"/>
      <c r="BA26" s="694"/>
      <c r="BB26" s="694"/>
      <c r="BC26" s="694"/>
      <c r="BD26" s="694"/>
      <c r="BE26" s="694"/>
      <c r="BF26" s="694"/>
      <c r="BG26" s="694"/>
    </row>
    <row r="27" spans="1:59" x14ac:dyDescent="0.2">
      <c r="A27" s="91"/>
      <c r="B27" s="694"/>
      <c r="C27" s="694"/>
      <c r="D27" s="694"/>
      <c r="E27" s="694"/>
      <c r="F27" s="694"/>
      <c r="G27" s="694"/>
      <c r="H27" s="694"/>
      <c r="I27" s="694"/>
      <c r="J27" s="694"/>
      <c r="K27" s="694"/>
      <c r="L27" s="694"/>
      <c r="M27" s="694"/>
      <c r="N27" s="694"/>
      <c r="O27" s="694"/>
      <c r="P27" s="694"/>
      <c r="Q27" s="694"/>
      <c r="R27" s="694"/>
      <c r="S27" s="694"/>
      <c r="T27" s="694"/>
      <c r="U27" s="694"/>
      <c r="V27" s="694"/>
      <c r="W27" s="694"/>
      <c r="X27" s="694"/>
      <c r="Y27" s="694"/>
      <c r="Z27" s="694"/>
      <c r="AA27" s="694"/>
      <c r="AB27" s="694"/>
      <c r="AC27" s="694"/>
      <c r="AD27" s="93"/>
      <c r="AE27" s="114" t="s">
        <v>82</v>
      </c>
      <c r="AF27" s="704" t="s">
        <v>444</v>
      </c>
      <c r="AG27" s="704"/>
      <c r="AH27" s="704"/>
      <c r="AI27" s="704"/>
      <c r="AJ27" s="704"/>
      <c r="AK27" s="704"/>
      <c r="AL27" s="704"/>
      <c r="AM27" s="704"/>
      <c r="AN27" s="704"/>
      <c r="AO27" s="704"/>
      <c r="AP27" s="704"/>
      <c r="AQ27" s="704"/>
      <c r="AR27" s="704"/>
      <c r="AS27" s="704"/>
      <c r="AT27" s="704"/>
      <c r="AU27" s="704"/>
      <c r="AV27" s="704"/>
      <c r="AW27" s="704"/>
      <c r="AX27" s="704"/>
      <c r="AY27" s="704"/>
      <c r="AZ27" s="704"/>
      <c r="BA27" s="704"/>
      <c r="BB27" s="704"/>
      <c r="BC27" s="704"/>
      <c r="BD27" s="704"/>
      <c r="BE27" s="704"/>
      <c r="BF27" s="704"/>
      <c r="BG27" s="704"/>
    </row>
    <row r="28" spans="1:59" x14ac:dyDescent="0.2">
      <c r="B28" s="102"/>
      <c r="C28" s="102"/>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93"/>
      <c r="AE28" s="701" t="s">
        <v>80</v>
      </c>
      <c r="AF28" s="701"/>
      <c r="AG28" s="696" t="s">
        <v>79</v>
      </c>
      <c r="AH28" s="696"/>
      <c r="AI28" s="696"/>
      <c r="AJ28" s="696"/>
      <c r="AK28" s="696"/>
      <c r="AL28" s="696"/>
      <c r="AM28" s="696"/>
      <c r="AN28" s="696"/>
      <c r="AO28" s="696"/>
      <c r="AP28" s="696"/>
      <c r="AQ28" s="696"/>
      <c r="AR28" s="696"/>
      <c r="AS28" s="696"/>
      <c r="AT28" s="696"/>
      <c r="AU28" s="696"/>
      <c r="AV28" s="696"/>
      <c r="AW28" s="696"/>
      <c r="AX28" s="696"/>
      <c r="AY28" s="696"/>
      <c r="AZ28" s="696"/>
      <c r="BA28" s="696"/>
      <c r="BB28" s="696"/>
      <c r="BC28" s="696"/>
      <c r="BD28" s="696"/>
      <c r="BE28" s="696"/>
      <c r="BF28" s="696"/>
      <c r="BG28" s="696"/>
    </row>
    <row r="29" spans="1:59" x14ac:dyDescent="0.2">
      <c r="A29" s="700" t="s">
        <v>76</v>
      </c>
      <c r="B29" s="700"/>
      <c r="C29" s="700"/>
      <c r="D29" s="700"/>
      <c r="E29" s="700"/>
      <c r="F29" s="700"/>
      <c r="G29" s="700"/>
      <c r="H29" s="700"/>
      <c r="I29" s="700"/>
      <c r="J29" s="700"/>
      <c r="K29" s="700"/>
      <c r="L29" s="700"/>
      <c r="M29" s="700"/>
      <c r="N29" s="700"/>
      <c r="O29" s="700"/>
      <c r="P29" s="700"/>
      <c r="Q29" s="700"/>
      <c r="R29" s="700"/>
      <c r="S29" s="700"/>
      <c r="T29" s="700"/>
      <c r="U29" s="700"/>
      <c r="V29" s="700"/>
      <c r="W29" s="700"/>
      <c r="X29" s="700"/>
      <c r="Y29" s="700"/>
      <c r="Z29" s="700"/>
      <c r="AA29" s="700"/>
      <c r="AB29" s="700"/>
      <c r="AC29" s="700"/>
      <c r="AD29" s="93"/>
      <c r="AE29" s="701" t="s">
        <v>78</v>
      </c>
      <c r="AF29" s="701"/>
      <c r="AG29" s="694" t="s">
        <v>77</v>
      </c>
      <c r="AH29" s="694"/>
      <c r="AI29" s="694"/>
      <c r="AJ29" s="694"/>
      <c r="AK29" s="694"/>
      <c r="AL29" s="694"/>
      <c r="AM29" s="694"/>
      <c r="AN29" s="694"/>
      <c r="AO29" s="694"/>
      <c r="AP29" s="694"/>
      <c r="AQ29" s="694"/>
      <c r="AR29" s="694"/>
      <c r="AS29" s="694"/>
      <c r="AT29" s="694"/>
      <c r="AU29" s="694"/>
      <c r="AV29" s="694"/>
      <c r="AW29" s="694"/>
      <c r="AX29" s="694"/>
      <c r="AY29" s="694"/>
      <c r="AZ29" s="694"/>
      <c r="BA29" s="694"/>
      <c r="BB29" s="694"/>
      <c r="BC29" s="694"/>
      <c r="BD29" s="694"/>
      <c r="BE29" s="694"/>
      <c r="BF29" s="694"/>
      <c r="BG29" s="694"/>
    </row>
    <row r="30" spans="1:59" x14ac:dyDescent="0.2">
      <c r="A30" s="695" t="s">
        <v>415</v>
      </c>
      <c r="B30" s="695"/>
      <c r="C30" s="695"/>
      <c r="D30" s="695"/>
      <c r="E30" s="695"/>
      <c r="F30" s="695"/>
      <c r="G30" s="695"/>
      <c r="H30" s="695"/>
      <c r="I30" s="695"/>
      <c r="J30" s="695"/>
      <c r="K30" s="695"/>
      <c r="L30" s="695"/>
      <c r="M30" s="695"/>
      <c r="N30" s="695"/>
      <c r="O30" s="695"/>
      <c r="P30" s="695"/>
      <c r="Q30" s="695"/>
      <c r="R30" s="695"/>
      <c r="S30" s="695"/>
      <c r="T30" s="695"/>
      <c r="U30" s="695"/>
      <c r="V30" s="695"/>
      <c r="W30" s="695"/>
      <c r="X30" s="695"/>
      <c r="Y30" s="695"/>
      <c r="Z30" s="695"/>
      <c r="AA30" s="695"/>
      <c r="AB30" s="695"/>
      <c r="AC30" s="695"/>
      <c r="AD30" s="93"/>
      <c r="AE30" s="98"/>
      <c r="AF30" s="98"/>
      <c r="AG30" s="694"/>
      <c r="AH30" s="694"/>
      <c r="AI30" s="694"/>
      <c r="AJ30" s="694"/>
      <c r="AK30" s="694"/>
      <c r="AL30" s="694"/>
      <c r="AM30" s="694"/>
      <c r="AN30" s="694"/>
      <c r="AO30" s="694"/>
      <c r="AP30" s="694"/>
      <c r="AQ30" s="694"/>
      <c r="AR30" s="694"/>
      <c r="AS30" s="694"/>
      <c r="AT30" s="694"/>
      <c r="AU30" s="694"/>
      <c r="AV30" s="694"/>
      <c r="AW30" s="694"/>
      <c r="AX30" s="694"/>
      <c r="AY30" s="694"/>
      <c r="AZ30" s="694"/>
      <c r="BA30" s="694"/>
      <c r="BB30" s="694"/>
      <c r="BC30" s="694"/>
      <c r="BD30" s="694"/>
      <c r="BE30" s="694"/>
      <c r="BF30" s="694"/>
      <c r="BG30" s="694"/>
    </row>
    <row r="31" spans="1:59" x14ac:dyDescent="0.2">
      <c r="A31" s="93"/>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8"/>
      <c r="AF31" s="98"/>
      <c r="AG31" s="694"/>
      <c r="AH31" s="694"/>
      <c r="AI31" s="694"/>
      <c r="AJ31" s="694"/>
      <c r="AK31" s="694"/>
      <c r="AL31" s="694"/>
      <c r="AM31" s="694"/>
      <c r="AN31" s="694"/>
      <c r="AO31" s="694"/>
      <c r="AP31" s="694"/>
      <c r="AQ31" s="694"/>
      <c r="AR31" s="694"/>
      <c r="AS31" s="694"/>
      <c r="AT31" s="694"/>
      <c r="AU31" s="694"/>
      <c r="AV31" s="694"/>
      <c r="AW31" s="694"/>
      <c r="AX31" s="694"/>
      <c r="AY31" s="694"/>
      <c r="AZ31" s="694"/>
      <c r="BA31" s="694"/>
      <c r="BB31" s="694"/>
      <c r="BC31" s="694"/>
      <c r="BD31" s="694"/>
      <c r="BE31" s="694"/>
      <c r="BF31" s="694"/>
      <c r="BG31" s="694"/>
    </row>
    <row r="32" spans="1:59" x14ac:dyDescent="0.2">
      <c r="A32" s="97" t="s">
        <v>73</v>
      </c>
      <c r="B32" s="694" t="str">
        <f>"Kreditin və kreditdən istifadəyə görə faizlərin ödənilməsi bu müqaviləyə əlavə olunmuş  və müqav"&amp;"ilənin ayrılmaz tərkib hissəsi olan ödəniş cədvəlinə (Əlavə № 1) müvafiq həyata keçirilir."</f>
        <v>Kreditin və kreditdən istifadəyə görə faizlərin ödənilməsi bu müqaviləyə əlavə olunmuş  və müqavilənin ayrılmaz tərkib hissəsi olan ödəniş cədvəlinə (Əlavə № 1) müvafiq həyata keçirilir.</v>
      </c>
      <c r="C32" s="694"/>
      <c r="D32" s="694"/>
      <c r="E32" s="694"/>
      <c r="F32" s="694"/>
      <c r="G32" s="694"/>
      <c r="H32" s="694"/>
      <c r="I32" s="694"/>
      <c r="J32" s="694"/>
      <c r="K32" s="694"/>
      <c r="L32" s="694"/>
      <c r="M32" s="694"/>
      <c r="N32" s="694"/>
      <c r="O32" s="694"/>
      <c r="P32" s="694"/>
      <c r="Q32" s="694"/>
      <c r="R32" s="694"/>
      <c r="S32" s="694"/>
      <c r="T32" s="694"/>
      <c r="U32" s="694"/>
      <c r="V32" s="694"/>
      <c r="W32" s="694"/>
      <c r="X32" s="694"/>
      <c r="Y32" s="694"/>
      <c r="Z32" s="694"/>
      <c r="AA32" s="694"/>
      <c r="AB32" s="694"/>
      <c r="AC32" s="694"/>
      <c r="AD32" s="93"/>
      <c r="AE32" s="701" t="s">
        <v>75</v>
      </c>
      <c r="AF32" s="701"/>
      <c r="AG32" s="694" t="s">
        <v>74</v>
      </c>
      <c r="AH32" s="694"/>
      <c r="AI32" s="694"/>
      <c r="AJ32" s="694"/>
      <c r="AK32" s="694"/>
      <c r="AL32" s="694"/>
      <c r="AM32" s="694"/>
      <c r="AN32" s="694"/>
      <c r="AO32" s="694"/>
      <c r="AP32" s="694"/>
      <c r="AQ32" s="694"/>
      <c r="AR32" s="694"/>
      <c r="AS32" s="694"/>
      <c r="AT32" s="694"/>
      <c r="AU32" s="694"/>
      <c r="AV32" s="694"/>
      <c r="AW32" s="694"/>
      <c r="AX32" s="694"/>
      <c r="AY32" s="694"/>
      <c r="AZ32" s="694"/>
      <c r="BA32" s="694"/>
      <c r="BB32" s="694"/>
      <c r="BC32" s="694"/>
      <c r="BD32" s="694"/>
      <c r="BE32" s="694"/>
      <c r="BF32" s="694"/>
      <c r="BG32" s="694"/>
    </row>
    <row r="33" spans="1:59" x14ac:dyDescent="0.2">
      <c r="A33" s="97"/>
      <c r="B33" s="694"/>
      <c r="C33" s="694"/>
      <c r="D33" s="694"/>
      <c r="E33" s="694"/>
      <c r="F33" s="694"/>
      <c r="G33" s="694"/>
      <c r="H33" s="694"/>
      <c r="I33" s="694"/>
      <c r="J33" s="694"/>
      <c r="K33" s="694"/>
      <c r="L33" s="694"/>
      <c r="M33" s="694"/>
      <c r="N33" s="694"/>
      <c r="O33" s="694"/>
      <c r="P33" s="694"/>
      <c r="Q33" s="694"/>
      <c r="R33" s="694"/>
      <c r="S33" s="694"/>
      <c r="T33" s="694"/>
      <c r="U33" s="694"/>
      <c r="V33" s="694"/>
      <c r="W33" s="694"/>
      <c r="X33" s="694"/>
      <c r="Y33" s="694"/>
      <c r="Z33" s="694"/>
      <c r="AA33" s="694"/>
      <c r="AB33" s="694"/>
      <c r="AC33" s="694"/>
      <c r="AD33" s="93"/>
      <c r="AE33" s="98"/>
      <c r="AF33" s="98"/>
      <c r="AG33" s="694"/>
      <c r="AH33" s="694"/>
      <c r="AI33" s="694"/>
      <c r="AJ33" s="694"/>
      <c r="AK33" s="694"/>
      <c r="AL33" s="694"/>
      <c r="AM33" s="694"/>
      <c r="AN33" s="694"/>
      <c r="AO33" s="694"/>
      <c r="AP33" s="694"/>
      <c r="AQ33" s="694"/>
      <c r="AR33" s="694"/>
      <c r="AS33" s="694"/>
      <c r="AT33" s="694"/>
      <c r="AU33" s="694"/>
      <c r="AV33" s="694"/>
      <c r="AW33" s="694"/>
      <c r="AX33" s="694"/>
      <c r="AY33" s="694"/>
      <c r="AZ33" s="694"/>
      <c r="BA33" s="694"/>
      <c r="BB33" s="694"/>
      <c r="BC33" s="694"/>
      <c r="BD33" s="694"/>
      <c r="BE33" s="694"/>
      <c r="BF33" s="694"/>
      <c r="BG33" s="694"/>
    </row>
    <row r="34" spans="1:59" x14ac:dyDescent="0.2">
      <c r="A34" s="97"/>
      <c r="B34" s="694"/>
      <c r="C34" s="694"/>
      <c r="D34" s="694"/>
      <c r="E34" s="694"/>
      <c r="F34" s="694"/>
      <c r="G34" s="694"/>
      <c r="H34" s="694"/>
      <c r="I34" s="694"/>
      <c r="J34" s="694"/>
      <c r="K34" s="694"/>
      <c r="L34" s="694"/>
      <c r="M34" s="694"/>
      <c r="N34" s="694"/>
      <c r="O34" s="694"/>
      <c r="P34" s="694"/>
      <c r="Q34" s="694"/>
      <c r="R34" s="694"/>
      <c r="S34" s="694"/>
      <c r="T34" s="694"/>
      <c r="U34" s="694"/>
      <c r="V34" s="694"/>
      <c r="W34" s="694"/>
      <c r="X34" s="694"/>
      <c r="Y34" s="694"/>
      <c r="Z34" s="694"/>
      <c r="AA34" s="694"/>
      <c r="AB34" s="694"/>
      <c r="AC34" s="694"/>
      <c r="AD34" s="93"/>
      <c r="AE34" s="701" t="s">
        <v>72</v>
      </c>
      <c r="AF34" s="701"/>
      <c r="AG34" s="702" t="s">
        <v>452</v>
      </c>
      <c r="AH34" s="702"/>
      <c r="AI34" s="702"/>
      <c r="AJ34" s="702"/>
      <c r="AK34" s="702"/>
      <c r="AL34" s="702"/>
      <c r="AM34" s="702"/>
      <c r="AN34" s="702"/>
      <c r="AO34" s="702"/>
      <c r="AP34" s="702"/>
      <c r="AQ34" s="702"/>
      <c r="AR34" s="702"/>
      <c r="AS34" s="702"/>
      <c r="AT34" s="702"/>
      <c r="AU34" s="702"/>
      <c r="AV34" s="702"/>
      <c r="AW34" s="702"/>
      <c r="AX34" s="702"/>
      <c r="AY34" s="702"/>
      <c r="AZ34" s="702"/>
      <c r="BA34" s="702"/>
      <c r="BB34" s="702"/>
      <c r="BC34" s="702"/>
      <c r="BD34" s="702"/>
      <c r="BE34" s="702"/>
      <c r="BF34" s="702"/>
      <c r="BG34" s="702"/>
    </row>
    <row r="35" spans="1:59" x14ac:dyDescent="0.2">
      <c r="A35" s="97" t="s">
        <v>70</v>
      </c>
      <c r="B35" s="694" t="str">
        <f>"Bu müqaviləyə görə «Borc alan»ın aparmalı olduğu ödənişlər kreditin verildiyi valyutada həyata keçirilir. Kreditdən istifadəyə görə faizlər kreditin verildiyi gündən onun tam qaytarıldığı günə qədər hesablanır. Bu zaman əsas kimi ayda 30 gün və ildə "&amp;"360 gün götürülür."</f>
        <v>Bu müqaviləyə görə «Borc alan»ın aparmalı olduğu ödənişlər kreditin verildiyi valyutada həyata keçirilir. Kreditdən istifadəyə görə faizlər kreditin verildiyi gündən onun tam qaytarıldığı günə qədər hesablanır. Bu zaman əsas kimi ayda 30 gün və ildə 360 gün götürülür.</v>
      </c>
      <c r="C35" s="694"/>
      <c r="D35" s="694"/>
      <c r="E35" s="694"/>
      <c r="F35" s="694"/>
      <c r="G35" s="694"/>
      <c r="H35" s="694"/>
      <c r="I35" s="694"/>
      <c r="J35" s="694"/>
      <c r="K35" s="694"/>
      <c r="L35" s="694"/>
      <c r="M35" s="694"/>
      <c r="N35" s="694"/>
      <c r="O35" s="694"/>
      <c r="P35" s="694"/>
      <c r="Q35" s="694"/>
      <c r="R35" s="694"/>
      <c r="S35" s="694"/>
      <c r="T35" s="694"/>
      <c r="U35" s="694"/>
      <c r="V35" s="694"/>
      <c r="W35" s="694"/>
      <c r="X35" s="694"/>
      <c r="Y35" s="694"/>
      <c r="Z35" s="694"/>
      <c r="AA35" s="694"/>
      <c r="AB35" s="694"/>
      <c r="AC35" s="694"/>
      <c r="AD35" s="93"/>
      <c r="AE35" s="701" t="s">
        <v>71</v>
      </c>
      <c r="AF35" s="701"/>
      <c r="AG35" s="694" t="str">
        <f>"«Borc alan»ın öz kredit borcları haqqında məlumatların alınması və onun haqqında toplanan məlumatlarda qeyri-dəqiqliyinin aradan qaldırılması üçün yazılı formada Mərkəzləşdirilmiş Kredit Reyestrinə müraciət etmək hüququ var;"</f>
        <v>«Borc alan»ın öz kredit borcları haqqında məlumatların alınması və onun haqqında toplanan məlumatlarda qeyri-dəqiqliyinin aradan qaldırılması üçün yazılı formada Mərkəzləşdirilmiş Kredit Reyestrinə müraciət etmək hüququ var;</v>
      </c>
      <c r="AH35" s="694"/>
      <c r="AI35" s="694"/>
      <c r="AJ35" s="694"/>
      <c r="AK35" s="694"/>
      <c r="AL35" s="694"/>
      <c r="AM35" s="694"/>
      <c r="AN35" s="694"/>
      <c r="AO35" s="694"/>
      <c r="AP35" s="694"/>
      <c r="AQ35" s="694"/>
      <c r="AR35" s="694"/>
      <c r="AS35" s="694"/>
      <c r="AT35" s="694"/>
      <c r="AU35" s="694"/>
      <c r="AV35" s="694"/>
      <c r="AW35" s="694"/>
      <c r="AX35" s="694"/>
      <c r="AY35" s="694"/>
      <c r="AZ35" s="694"/>
      <c r="BA35" s="694"/>
      <c r="BB35" s="694"/>
      <c r="BC35" s="694"/>
      <c r="BD35" s="694"/>
      <c r="BE35" s="694"/>
      <c r="BF35" s="694"/>
      <c r="BG35" s="694"/>
    </row>
    <row r="36" spans="1:59" x14ac:dyDescent="0.2">
      <c r="B36" s="694"/>
      <c r="C36" s="694"/>
      <c r="D36" s="694"/>
      <c r="E36" s="694"/>
      <c r="F36" s="694"/>
      <c r="G36" s="694"/>
      <c r="H36" s="694"/>
      <c r="I36" s="694"/>
      <c r="J36" s="694"/>
      <c r="K36" s="694"/>
      <c r="L36" s="694"/>
      <c r="M36" s="694"/>
      <c r="N36" s="694"/>
      <c r="O36" s="694"/>
      <c r="P36" s="694"/>
      <c r="Q36" s="694"/>
      <c r="R36" s="694"/>
      <c r="S36" s="694"/>
      <c r="T36" s="694"/>
      <c r="U36" s="694"/>
      <c r="V36" s="694"/>
      <c r="W36" s="694"/>
      <c r="X36" s="694"/>
      <c r="Y36" s="694"/>
      <c r="Z36" s="694"/>
      <c r="AA36" s="694"/>
      <c r="AB36" s="694"/>
      <c r="AC36" s="694"/>
      <c r="AD36" s="93"/>
      <c r="AE36" s="98"/>
      <c r="AF36" s="98"/>
      <c r="AG36" s="694"/>
      <c r="AH36" s="694"/>
      <c r="AI36" s="694"/>
      <c r="AJ36" s="694"/>
      <c r="AK36" s="694"/>
      <c r="AL36" s="694"/>
      <c r="AM36" s="694"/>
      <c r="AN36" s="694"/>
      <c r="AO36" s="694"/>
      <c r="AP36" s="694"/>
      <c r="AQ36" s="694"/>
      <c r="AR36" s="694"/>
      <c r="AS36" s="694"/>
      <c r="AT36" s="694"/>
      <c r="AU36" s="694"/>
      <c r="AV36" s="694"/>
      <c r="AW36" s="694"/>
      <c r="AX36" s="694"/>
      <c r="AY36" s="694"/>
      <c r="AZ36" s="694"/>
      <c r="BA36" s="694"/>
      <c r="BB36" s="694"/>
      <c r="BC36" s="694"/>
      <c r="BD36" s="694"/>
      <c r="BE36" s="694"/>
      <c r="BF36" s="694"/>
      <c r="BG36" s="694"/>
    </row>
    <row r="37" spans="1:59" x14ac:dyDescent="0.2">
      <c r="B37" s="694"/>
      <c r="C37" s="694"/>
      <c r="D37" s="694"/>
      <c r="E37" s="694"/>
      <c r="F37" s="694"/>
      <c r="G37" s="694"/>
      <c r="H37" s="694"/>
      <c r="I37" s="694"/>
      <c r="J37" s="694"/>
      <c r="K37" s="694"/>
      <c r="L37" s="694"/>
      <c r="M37" s="694"/>
      <c r="N37" s="694"/>
      <c r="O37" s="694"/>
      <c r="P37" s="694"/>
      <c r="Q37" s="694"/>
      <c r="R37" s="694"/>
      <c r="S37" s="694"/>
      <c r="T37" s="694"/>
      <c r="U37" s="694"/>
      <c r="V37" s="694"/>
      <c r="W37" s="694"/>
      <c r="X37" s="694"/>
      <c r="Y37" s="694"/>
      <c r="Z37" s="694"/>
      <c r="AA37" s="694"/>
      <c r="AB37" s="694"/>
      <c r="AC37" s="694"/>
      <c r="AD37" s="93"/>
      <c r="AE37" s="466"/>
      <c r="AF37" s="466"/>
      <c r="AG37" s="694"/>
      <c r="AH37" s="694"/>
      <c r="AI37" s="694"/>
      <c r="AJ37" s="694"/>
      <c r="AK37" s="694"/>
      <c r="AL37" s="694"/>
      <c r="AM37" s="694"/>
      <c r="AN37" s="694"/>
      <c r="AO37" s="694"/>
      <c r="AP37" s="694"/>
      <c r="AQ37" s="694"/>
      <c r="AR37" s="694"/>
      <c r="AS37" s="694"/>
      <c r="AT37" s="694"/>
      <c r="AU37" s="694"/>
      <c r="AV37" s="694"/>
      <c r="AW37" s="694"/>
      <c r="AX37" s="694"/>
      <c r="AY37" s="694"/>
      <c r="AZ37" s="694"/>
      <c r="BA37" s="694"/>
      <c r="BB37" s="694"/>
      <c r="BC37" s="694"/>
      <c r="BD37" s="694"/>
      <c r="BE37" s="694"/>
      <c r="BF37" s="694"/>
      <c r="BG37" s="694"/>
    </row>
    <row r="38" spans="1:59" x14ac:dyDescent="0.2">
      <c r="B38" s="694"/>
      <c r="C38" s="694"/>
      <c r="D38" s="694"/>
      <c r="E38" s="694"/>
      <c r="F38" s="694"/>
      <c r="G38" s="694"/>
      <c r="H38" s="694"/>
      <c r="I38" s="694"/>
      <c r="J38" s="694"/>
      <c r="K38" s="694"/>
      <c r="L38" s="694"/>
      <c r="M38" s="694"/>
      <c r="N38" s="694"/>
      <c r="O38" s="694"/>
      <c r="P38" s="694"/>
      <c r="Q38" s="694"/>
      <c r="R38" s="694"/>
      <c r="S38" s="694"/>
      <c r="T38" s="694"/>
      <c r="U38" s="694"/>
      <c r="V38" s="694"/>
      <c r="W38" s="694"/>
      <c r="X38" s="694"/>
      <c r="Y38" s="694"/>
      <c r="Z38" s="694"/>
      <c r="AA38" s="694"/>
      <c r="AB38" s="694"/>
      <c r="AC38" s="694"/>
      <c r="AD38" s="93"/>
      <c r="AE38" s="98"/>
      <c r="AF38" s="98"/>
      <c r="AG38" s="694"/>
      <c r="AH38" s="694"/>
      <c r="AI38" s="694"/>
      <c r="AJ38" s="694"/>
      <c r="AK38" s="694"/>
      <c r="AL38" s="694"/>
      <c r="AM38" s="694"/>
      <c r="AN38" s="694"/>
      <c r="AO38" s="694"/>
      <c r="AP38" s="694"/>
      <c r="AQ38" s="694"/>
      <c r="AR38" s="694"/>
      <c r="AS38" s="694"/>
      <c r="AT38" s="694"/>
      <c r="AU38" s="694"/>
      <c r="AV38" s="694"/>
      <c r="AW38" s="694"/>
      <c r="AX38" s="694"/>
      <c r="AY38" s="694"/>
      <c r="AZ38" s="694"/>
      <c r="BA38" s="694"/>
      <c r="BB38" s="694"/>
      <c r="BC38" s="694"/>
      <c r="BD38" s="694"/>
      <c r="BE38" s="694"/>
      <c r="BF38" s="694"/>
      <c r="BG38" s="694"/>
    </row>
    <row r="39" spans="1:59" x14ac:dyDescent="0.2">
      <c r="A39" s="230">
        <v>2.2999999999999998</v>
      </c>
      <c r="B39" s="694" t="s">
        <v>499</v>
      </c>
      <c r="C39" s="694"/>
      <c r="D39" s="694"/>
      <c r="E39" s="694"/>
      <c r="F39" s="694"/>
      <c r="G39" s="694"/>
      <c r="H39" s="694"/>
      <c r="I39" s="694"/>
      <c r="J39" s="694"/>
      <c r="K39" s="694"/>
      <c r="L39" s="694"/>
      <c r="M39" s="694"/>
      <c r="N39" s="694"/>
      <c r="O39" s="694"/>
      <c r="P39" s="694"/>
      <c r="Q39" s="694"/>
      <c r="R39" s="694"/>
      <c r="S39" s="694"/>
      <c r="T39" s="694"/>
      <c r="U39" s="694"/>
      <c r="V39" s="694"/>
      <c r="W39" s="694"/>
      <c r="X39" s="694"/>
      <c r="Y39" s="694"/>
      <c r="Z39" s="694"/>
      <c r="AA39" s="694"/>
      <c r="AB39" s="694"/>
      <c r="AC39" s="694"/>
      <c r="AD39" s="93"/>
      <c r="AE39" s="701" t="s">
        <v>69</v>
      </c>
      <c r="AF39" s="701"/>
      <c r="AG39" s="706" t="str">
        <f>"Hüquqlarının pozulduğunu  düşündükdə və ya hər hansı məsələ ilə bağlı şikayəti   və ya təklifi olduqda,  «Borc alan» iş günləri (saat 09:00-dan 18:00-dək) ərzində həm birbaşa olaraq kredit  götürdüyü filialın menecerinə,   həm də təşkilatın qaynar xətti –"&amp;" (+994 50) 287 30 37,  şəhərdaxili  telefon nömrəsi– (+994 12) 597 48 17 (daxili 303),  faks– (+994 12) 597 30 39,  elektron poçt ün"&amp;"vanı– muraciet@azercredit.az, internet səhifəsindəki «Müraciət»  bölməsi və ya ofislərdə qoyulan Şikayət və Təklif Qutuları vasitəsilə və yaxud da birbaşa  olaraq təşkilatın Baş Ofisinə (ünvan: Bakı  şəh., AZ1009, S. Rəhimov/ S.Vurğun küçələrin kəsişm"&amp;"əsi, World Business Center, 3-cü mərtəbə) gəlməklə  Müştəri xidmətləri üzrə məsul şəxsə  müraciət edə bilər. "</f>
        <v xml:space="preserve">Hüquqlarının pozulduğunu  düşündükdə və ya hər hansı məsələ ilə bağlı şikayəti   və ya təklifi olduqda,  «Borc alan» iş günləri (saat 09:00-dan 18:00-dək) ərzində həm birbaşa olaraq kredit  götürdüyü filialın menecerinə,   həm də təşkilatın qaynar xətti – (+994 50) 287 30 37,  şəhərdaxili  telefon nömrəsi– (+994 12) 597 48 17 (daxili 303),  faks– (+994 12) 597 30 39,  elektron poçt ünvanı– muraciet@azercredit.az, internet səhifəsindəki «Müraciət»  bölməsi və ya ofislərdə qoyulan Şikayət və Təklif Qutuları vasitəsilə və yaxud da birbaşa  olaraq təşkilatın Baş Ofisinə (ünvan: Bakı  şəh., AZ1009, S. Rəhimov/ S.Vurğun küçələrin kəsişməsi, World Business Center, 3-cü mərtəbə) gəlməklə  Müştəri xidmətləri üzrə məsul şəxsə  müraciət edə bilər. </v>
      </c>
      <c r="AH39" s="706"/>
      <c r="AI39" s="706"/>
      <c r="AJ39" s="706"/>
      <c r="AK39" s="706"/>
      <c r="AL39" s="706"/>
      <c r="AM39" s="706"/>
      <c r="AN39" s="706"/>
      <c r="AO39" s="706"/>
      <c r="AP39" s="706"/>
      <c r="AQ39" s="706"/>
      <c r="AR39" s="706"/>
      <c r="AS39" s="706"/>
      <c r="AT39" s="706"/>
      <c r="AU39" s="706"/>
      <c r="AV39" s="706"/>
      <c r="AW39" s="706"/>
      <c r="AX39" s="706"/>
      <c r="AY39" s="706"/>
      <c r="AZ39" s="706"/>
      <c r="BA39" s="706"/>
      <c r="BB39" s="706"/>
      <c r="BC39" s="706"/>
      <c r="BD39" s="706"/>
      <c r="BE39" s="706"/>
      <c r="BF39" s="706"/>
      <c r="BG39" s="706"/>
    </row>
    <row r="40" spans="1:59" x14ac:dyDescent="0.2">
      <c r="B40" s="694"/>
      <c r="C40" s="694"/>
      <c r="D40" s="694"/>
      <c r="E40" s="694"/>
      <c r="F40" s="694"/>
      <c r="G40" s="694"/>
      <c r="H40" s="694"/>
      <c r="I40" s="694"/>
      <c r="J40" s="694"/>
      <c r="K40" s="694"/>
      <c r="L40" s="694"/>
      <c r="M40" s="694"/>
      <c r="N40" s="694"/>
      <c r="O40" s="694"/>
      <c r="P40" s="694"/>
      <c r="Q40" s="694"/>
      <c r="R40" s="694"/>
      <c r="S40" s="694"/>
      <c r="T40" s="694"/>
      <c r="U40" s="694"/>
      <c r="V40" s="694"/>
      <c r="W40" s="694"/>
      <c r="X40" s="694"/>
      <c r="Y40" s="694"/>
      <c r="Z40" s="694"/>
      <c r="AA40" s="694"/>
      <c r="AB40" s="694"/>
      <c r="AC40" s="694"/>
      <c r="AD40" s="93"/>
      <c r="AE40" s="98"/>
      <c r="AF40" s="98"/>
      <c r="AG40" s="706"/>
      <c r="AH40" s="706"/>
      <c r="AI40" s="706"/>
      <c r="AJ40" s="706"/>
      <c r="AK40" s="706"/>
      <c r="AL40" s="706"/>
      <c r="AM40" s="706"/>
      <c r="AN40" s="706"/>
      <c r="AO40" s="706"/>
      <c r="AP40" s="706"/>
      <c r="AQ40" s="706"/>
      <c r="AR40" s="706"/>
      <c r="AS40" s="706"/>
      <c r="AT40" s="706"/>
      <c r="AU40" s="706"/>
      <c r="AV40" s="706"/>
      <c r="AW40" s="706"/>
      <c r="AX40" s="706"/>
      <c r="AY40" s="706"/>
      <c r="AZ40" s="706"/>
      <c r="BA40" s="706"/>
      <c r="BB40" s="706"/>
      <c r="BC40" s="706"/>
      <c r="BD40" s="706"/>
      <c r="BE40" s="706"/>
      <c r="BF40" s="706"/>
      <c r="BG40" s="706"/>
    </row>
    <row r="41" spans="1:59" x14ac:dyDescent="0.2">
      <c r="A41" s="91"/>
      <c r="B41" s="694"/>
      <c r="C41" s="694"/>
      <c r="D41" s="694"/>
      <c r="E41" s="694"/>
      <c r="F41" s="694"/>
      <c r="G41" s="694"/>
      <c r="H41" s="694"/>
      <c r="I41" s="694"/>
      <c r="J41" s="694"/>
      <c r="K41" s="694"/>
      <c r="L41" s="694"/>
      <c r="M41" s="694"/>
      <c r="N41" s="694"/>
      <c r="O41" s="694"/>
      <c r="P41" s="694"/>
      <c r="Q41" s="694"/>
      <c r="R41" s="694"/>
      <c r="S41" s="694"/>
      <c r="T41" s="694"/>
      <c r="U41" s="694"/>
      <c r="V41" s="694"/>
      <c r="W41" s="694"/>
      <c r="X41" s="694"/>
      <c r="Y41" s="694"/>
      <c r="Z41" s="694"/>
      <c r="AA41" s="694"/>
      <c r="AB41" s="694"/>
      <c r="AC41" s="694"/>
      <c r="AD41" s="93"/>
      <c r="AE41" s="98"/>
      <c r="AF41" s="98"/>
      <c r="AG41" s="706"/>
      <c r="AH41" s="706"/>
      <c r="AI41" s="706"/>
      <c r="AJ41" s="706"/>
      <c r="AK41" s="706"/>
      <c r="AL41" s="706"/>
      <c r="AM41" s="706"/>
      <c r="AN41" s="706"/>
      <c r="AO41" s="706"/>
      <c r="AP41" s="706"/>
      <c r="AQ41" s="706"/>
      <c r="AR41" s="706"/>
      <c r="AS41" s="706"/>
      <c r="AT41" s="706"/>
      <c r="AU41" s="706"/>
      <c r="AV41" s="706"/>
      <c r="AW41" s="706"/>
      <c r="AX41" s="706"/>
      <c r="AY41" s="706"/>
      <c r="AZ41" s="706"/>
      <c r="BA41" s="706"/>
      <c r="BB41" s="706"/>
      <c r="BC41" s="706"/>
      <c r="BD41" s="706"/>
      <c r="BE41" s="706"/>
      <c r="BF41" s="706"/>
      <c r="BG41" s="706"/>
    </row>
    <row r="42" spans="1:59" ht="13.5" customHeight="1" x14ac:dyDescent="0.2">
      <c r="A42" s="230">
        <v>2.4</v>
      </c>
      <c r="B42" s="694" t="s">
        <v>862</v>
      </c>
      <c r="C42" s="694"/>
      <c r="D42" s="694"/>
      <c r="E42" s="694"/>
      <c r="F42" s="694"/>
      <c r="G42" s="694"/>
      <c r="H42" s="694"/>
      <c r="I42" s="694"/>
      <c r="J42" s="694"/>
      <c r="K42" s="694"/>
      <c r="L42" s="694"/>
      <c r="M42" s="694"/>
      <c r="N42" s="694"/>
      <c r="O42" s="694"/>
      <c r="P42" s="694"/>
      <c r="Q42" s="694"/>
      <c r="R42" s="694"/>
      <c r="S42" s="694"/>
      <c r="T42" s="694"/>
      <c r="U42" s="694"/>
      <c r="V42" s="694"/>
      <c r="W42" s="694"/>
      <c r="X42" s="694"/>
      <c r="Y42" s="694"/>
      <c r="Z42" s="694"/>
      <c r="AA42" s="694"/>
      <c r="AB42" s="694"/>
      <c r="AC42" s="694"/>
      <c r="AD42" s="93"/>
      <c r="AE42" s="466"/>
      <c r="AF42" s="466"/>
      <c r="AG42" s="706"/>
      <c r="AH42" s="706"/>
      <c r="AI42" s="706"/>
      <c r="AJ42" s="706"/>
      <c r="AK42" s="706"/>
      <c r="AL42" s="706"/>
      <c r="AM42" s="706"/>
      <c r="AN42" s="706"/>
      <c r="AO42" s="706"/>
      <c r="AP42" s="706"/>
      <c r="AQ42" s="706"/>
      <c r="AR42" s="706"/>
      <c r="AS42" s="706"/>
      <c r="AT42" s="706"/>
      <c r="AU42" s="706"/>
      <c r="AV42" s="706"/>
      <c r="AW42" s="706"/>
      <c r="AX42" s="706"/>
      <c r="AY42" s="706"/>
      <c r="AZ42" s="706"/>
      <c r="BA42" s="706"/>
      <c r="BB42" s="706"/>
      <c r="BC42" s="706"/>
      <c r="BD42" s="706"/>
      <c r="BE42" s="706"/>
      <c r="BF42" s="706"/>
      <c r="BG42" s="706"/>
    </row>
    <row r="43" spans="1:59" x14ac:dyDescent="0.2">
      <c r="A43" s="457"/>
      <c r="B43" s="694"/>
      <c r="C43" s="694"/>
      <c r="D43" s="694"/>
      <c r="E43" s="694"/>
      <c r="F43" s="694"/>
      <c r="G43" s="694"/>
      <c r="H43" s="694"/>
      <c r="I43" s="694"/>
      <c r="J43" s="694"/>
      <c r="K43" s="694"/>
      <c r="L43" s="694"/>
      <c r="M43" s="694"/>
      <c r="N43" s="694"/>
      <c r="O43" s="694"/>
      <c r="P43" s="694"/>
      <c r="Q43" s="694"/>
      <c r="R43" s="694"/>
      <c r="S43" s="694"/>
      <c r="T43" s="694"/>
      <c r="U43" s="694"/>
      <c r="V43" s="694"/>
      <c r="W43" s="694"/>
      <c r="X43" s="694"/>
      <c r="Y43" s="694"/>
      <c r="Z43" s="694"/>
      <c r="AA43" s="694"/>
      <c r="AB43" s="694"/>
      <c r="AC43" s="694"/>
      <c r="AD43" s="93"/>
      <c r="AE43" s="466"/>
      <c r="AF43" s="466"/>
      <c r="AG43" s="706"/>
      <c r="AH43" s="706"/>
      <c r="AI43" s="706"/>
      <c r="AJ43" s="706"/>
      <c r="AK43" s="706"/>
      <c r="AL43" s="706"/>
      <c r="AM43" s="706"/>
      <c r="AN43" s="706"/>
      <c r="AO43" s="706"/>
      <c r="AP43" s="706"/>
      <c r="AQ43" s="706"/>
      <c r="AR43" s="706"/>
      <c r="AS43" s="706"/>
      <c r="AT43" s="706"/>
      <c r="AU43" s="706"/>
      <c r="AV43" s="706"/>
      <c r="AW43" s="706"/>
      <c r="AX43" s="706"/>
      <c r="AY43" s="706"/>
      <c r="AZ43" s="706"/>
      <c r="BA43" s="706"/>
      <c r="BB43" s="706"/>
      <c r="BC43" s="706"/>
      <c r="BD43" s="706"/>
      <c r="BE43" s="706"/>
      <c r="BF43" s="706"/>
      <c r="BG43" s="706"/>
    </row>
    <row r="44" spans="1:59" x14ac:dyDescent="0.2">
      <c r="A44" s="457"/>
      <c r="B44" s="694"/>
      <c r="C44" s="694"/>
      <c r="D44" s="694"/>
      <c r="E44" s="694"/>
      <c r="F44" s="694"/>
      <c r="G44" s="694"/>
      <c r="H44" s="694"/>
      <c r="I44" s="694"/>
      <c r="J44" s="694"/>
      <c r="K44" s="694"/>
      <c r="L44" s="694"/>
      <c r="M44" s="694"/>
      <c r="N44" s="694"/>
      <c r="O44" s="694"/>
      <c r="P44" s="694"/>
      <c r="Q44" s="694"/>
      <c r="R44" s="694"/>
      <c r="S44" s="694"/>
      <c r="T44" s="694"/>
      <c r="U44" s="694"/>
      <c r="V44" s="694"/>
      <c r="W44" s="694"/>
      <c r="X44" s="694"/>
      <c r="Y44" s="694"/>
      <c r="Z44" s="694"/>
      <c r="AA44" s="694"/>
      <c r="AB44" s="694"/>
      <c r="AC44" s="694"/>
      <c r="AD44" s="93"/>
      <c r="AE44" s="98"/>
      <c r="AF44" s="98"/>
      <c r="AG44" s="706"/>
      <c r="AH44" s="706"/>
      <c r="AI44" s="706"/>
      <c r="AJ44" s="706"/>
      <c r="AK44" s="706"/>
      <c r="AL44" s="706"/>
      <c r="AM44" s="706"/>
      <c r="AN44" s="706"/>
      <c r="AO44" s="706"/>
      <c r="AP44" s="706"/>
      <c r="AQ44" s="706"/>
      <c r="AR44" s="706"/>
      <c r="AS44" s="706"/>
      <c r="AT44" s="706"/>
      <c r="AU44" s="706"/>
      <c r="AV44" s="706"/>
      <c r="AW44" s="706"/>
      <c r="AX44" s="706"/>
      <c r="AY44" s="706"/>
      <c r="AZ44" s="706"/>
      <c r="BA44" s="706"/>
      <c r="BB44" s="706"/>
      <c r="BC44" s="706"/>
      <c r="BD44" s="706"/>
      <c r="BE44" s="706"/>
      <c r="BF44" s="706"/>
      <c r="BG44" s="706"/>
    </row>
    <row r="45" spans="1:59" x14ac:dyDescent="0.2">
      <c r="A45" s="468"/>
      <c r="B45" s="694"/>
      <c r="C45" s="694"/>
      <c r="D45" s="694"/>
      <c r="E45" s="694"/>
      <c r="F45" s="694"/>
      <c r="G45" s="694"/>
      <c r="H45" s="694"/>
      <c r="I45" s="694"/>
      <c r="J45" s="694"/>
      <c r="K45" s="694"/>
      <c r="L45" s="694"/>
      <c r="M45" s="694"/>
      <c r="N45" s="694"/>
      <c r="O45" s="694"/>
      <c r="P45" s="694"/>
      <c r="Q45" s="694"/>
      <c r="R45" s="694"/>
      <c r="S45" s="694"/>
      <c r="T45" s="694"/>
      <c r="U45" s="694"/>
      <c r="V45" s="694"/>
      <c r="W45" s="694"/>
      <c r="X45" s="694"/>
      <c r="Y45" s="694"/>
      <c r="Z45" s="694"/>
      <c r="AA45" s="694"/>
      <c r="AB45" s="694"/>
      <c r="AC45" s="694"/>
      <c r="AD45" s="93"/>
      <c r="AE45" s="98"/>
      <c r="AF45" s="98"/>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c r="BC45" s="706"/>
      <c r="BD45" s="706"/>
      <c r="BE45" s="706"/>
      <c r="BF45" s="706"/>
      <c r="BG45" s="706"/>
    </row>
    <row r="46" spans="1:59" x14ac:dyDescent="0.2">
      <c r="AD46" s="93"/>
      <c r="AE46" s="466"/>
      <c r="AF46" s="466"/>
      <c r="AG46" s="706"/>
      <c r="AH46" s="706"/>
      <c r="AI46" s="706"/>
      <c r="AJ46" s="706"/>
      <c r="AK46" s="706"/>
      <c r="AL46" s="706"/>
      <c r="AM46" s="706"/>
      <c r="AN46" s="706"/>
      <c r="AO46" s="706"/>
      <c r="AP46" s="706"/>
      <c r="AQ46" s="706"/>
      <c r="AR46" s="706"/>
      <c r="AS46" s="706"/>
      <c r="AT46" s="706"/>
      <c r="AU46" s="706"/>
      <c r="AV46" s="706"/>
      <c r="AW46" s="706"/>
      <c r="AX46" s="706"/>
      <c r="AY46" s="706"/>
      <c r="AZ46" s="706"/>
      <c r="BA46" s="706"/>
      <c r="BB46" s="706"/>
      <c r="BC46" s="706"/>
      <c r="BD46" s="706"/>
      <c r="BE46" s="706"/>
      <c r="BF46" s="706"/>
      <c r="BG46" s="706"/>
    </row>
    <row r="47" spans="1:59" x14ac:dyDescent="0.2">
      <c r="A47" s="695" t="s">
        <v>60</v>
      </c>
      <c r="B47" s="695"/>
      <c r="C47" s="695"/>
      <c r="D47" s="695"/>
      <c r="E47" s="695"/>
      <c r="F47" s="695"/>
      <c r="G47" s="695"/>
      <c r="H47" s="695"/>
      <c r="I47" s="695"/>
      <c r="J47" s="695"/>
      <c r="K47" s="695"/>
      <c r="L47" s="695"/>
      <c r="M47" s="695"/>
      <c r="N47" s="695"/>
      <c r="O47" s="695"/>
      <c r="P47" s="695"/>
      <c r="Q47" s="695"/>
      <c r="R47" s="695"/>
      <c r="S47" s="695"/>
      <c r="T47" s="695"/>
      <c r="U47" s="695"/>
      <c r="V47" s="695"/>
      <c r="W47" s="695"/>
      <c r="X47" s="695"/>
      <c r="Y47" s="695"/>
      <c r="Z47" s="695"/>
      <c r="AA47" s="695"/>
      <c r="AB47" s="695"/>
      <c r="AC47" s="695"/>
      <c r="AD47" s="93"/>
      <c r="AE47" s="466"/>
      <c r="AF47" s="466"/>
      <c r="AG47" s="706"/>
      <c r="AH47" s="706"/>
      <c r="AI47" s="706"/>
      <c r="AJ47" s="706"/>
      <c r="AK47" s="706"/>
      <c r="AL47" s="706"/>
      <c r="AM47" s="706"/>
      <c r="AN47" s="706"/>
      <c r="AO47" s="706"/>
      <c r="AP47" s="706"/>
      <c r="AQ47" s="706"/>
      <c r="AR47" s="706"/>
      <c r="AS47" s="706"/>
      <c r="AT47" s="706"/>
      <c r="AU47" s="706"/>
      <c r="AV47" s="706"/>
      <c r="AW47" s="706"/>
      <c r="AX47" s="706"/>
      <c r="AY47" s="706"/>
      <c r="AZ47" s="706"/>
      <c r="BA47" s="706"/>
      <c r="BB47" s="706"/>
      <c r="BC47" s="706"/>
      <c r="BD47" s="706"/>
      <c r="BE47" s="706"/>
      <c r="BF47" s="706"/>
      <c r="BG47" s="706"/>
    </row>
    <row r="48" spans="1:59" x14ac:dyDescent="0.2">
      <c r="AD48" s="93"/>
      <c r="AE48" s="466"/>
      <c r="AF48" s="466"/>
      <c r="AG48" s="706"/>
      <c r="AH48" s="706"/>
      <c r="AI48" s="706"/>
      <c r="AJ48" s="706"/>
      <c r="AK48" s="706"/>
      <c r="AL48" s="706"/>
      <c r="AM48" s="706"/>
      <c r="AN48" s="706"/>
      <c r="AO48" s="706"/>
      <c r="AP48" s="706"/>
      <c r="AQ48" s="706"/>
      <c r="AR48" s="706"/>
      <c r="AS48" s="706"/>
      <c r="AT48" s="706"/>
      <c r="AU48" s="706"/>
      <c r="AV48" s="706"/>
      <c r="AW48" s="706"/>
      <c r="AX48" s="706"/>
      <c r="AY48" s="706"/>
      <c r="AZ48" s="706"/>
      <c r="BA48" s="706"/>
      <c r="BB48" s="706"/>
      <c r="BC48" s="706"/>
      <c r="BD48" s="706"/>
      <c r="BE48" s="706"/>
      <c r="BF48" s="706"/>
      <c r="BG48" s="706"/>
    </row>
    <row r="49" spans="1:59" x14ac:dyDescent="0.2">
      <c r="A49" s="97" t="s">
        <v>59</v>
      </c>
      <c r="B49" s="694" t="str">
        <f>"Bu müqaviləyə əsasən kredit təminatla verilir. Bu müqavilə üzrə kreditin təminatı «Borc alan»ın və ya üçüncü şəxsin  «Borc verən»ə kreditin təminatı olaraq "&amp;LD_NUM&amp;" saylı  girov müqaviləsinə əsasən  yüklü etdiyi əmlakdır. Kreditin təminatı zaminlik və kreditin sığortalanması formasında bağlanan müqavilələr də ola bilər."</f>
        <v>Bu müqaviləyə əsasən kredit təminatla verilir. Bu müqavilə üzrə kreditin təminatı «Borc alan»ın və ya üçüncü şəxsin  «Borc verən»ə kreditin təminatı olaraq LD/15212/00143 saylı  girov müqaviləsinə əsasən  yüklü etdiyi əmlakdır. Kreditin təminatı zaminlik və kreditin sığortalanması formasında bağlanan müqavilələr də ola bilər.</v>
      </c>
      <c r="C49" s="694"/>
      <c r="D49" s="694"/>
      <c r="E49" s="694"/>
      <c r="F49" s="694"/>
      <c r="G49" s="694"/>
      <c r="H49" s="694"/>
      <c r="I49" s="694"/>
      <c r="J49" s="694"/>
      <c r="K49" s="694"/>
      <c r="L49" s="694"/>
      <c r="M49" s="694"/>
      <c r="N49" s="694"/>
      <c r="O49" s="694"/>
      <c r="P49" s="694"/>
      <c r="Q49" s="694"/>
      <c r="R49" s="694"/>
      <c r="S49" s="694"/>
      <c r="T49" s="694"/>
      <c r="U49" s="694"/>
      <c r="V49" s="694"/>
      <c r="W49" s="694"/>
      <c r="X49" s="694"/>
      <c r="Y49" s="694"/>
      <c r="Z49" s="694"/>
      <c r="AA49" s="694"/>
      <c r="AB49" s="694"/>
      <c r="AC49" s="694"/>
      <c r="AD49" s="93"/>
      <c r="AE49" s="466"/>
      <c r="AF49" s="466"/>
      <c r="AG49" s="706"/>
      <c r="AH49" s="706"/>
      <c r="AI49" s="706"/>
      <c r="AJ49" s="706"/>
      <c r="AK49" s="706"/>
      <c r="AL49" s="706"/>
      <c r="AM49" s="706"/>
      <c r="AN49" s="706"/>
      <c r="AO49" s="706"/>
      <c r="AP49" s="706"/>
      <c r="AQ49" s="706"/>
      <c r="AR49" s="706"/>
      <c r="AS49" s="706"/>
      <c r="AT49" s="706"/>
      <c r="AU49" s="706"/>
      <c r="AV49" s="706"/>
      <c r="AW49" s="706"/>
      <c r="AX49" s="706"/>
      <c r="AY49" s="706"/>
      <c r="AZ49" s="706"/>
      <c r="BA49" s="706"/>
      <c r="BB49" s="706"/>
      <c r="BC49" s="706"/>
      <c r="BD49" s="706"/>
      <c r="BE49" s="706"/>
      <c r="BF49" s="706"/>
      <c r="BG49" s="706"/>
    </row>
    <row r="50" spans="1:59" x14ac:dyDescent="0.2">
      <c r="B50" s="694"/>
      <c r="C50" s="694"/>
      <c r="D50" s="694"/>
      <c r="E50" s="694"/>
      <c r="F50" s="694"/>
      <c r="G50" s="694"/>
      <c r="H50" s="694"/>
      <c r="I50" s="694"/>
      <c r="J50" s="694"/>
      <c r="K50" s="694"/>
      <c r="L50" s="694"/>
      <c r="M50" s="694"/>
      <c r="N50" s="694"/>
      <c r="O50" s="694"/>
      <c r="P50" s="694"/>
      <c r="Q50" s="694"/>
      <c r="R50" s="694"/>
      <c r="S50" s="694"/>
      <c r="T50" s="694"/>
      <c r="U50" s="694"/>
      <c r="V50" s="694"/>
      <c r="W50" s="694"/>
      <c r="X50" s="694"/>
      <c r="Y50" s="694"/>
      <c r="Z50" s="694"/>
      <c r="AA50" s="694"/>
      <c r="AB50" s="694"/>
      <c r="AC50" s="694"/>
      <c r="AD50" s="93"/>
      <c r="AE50" s="467" t="s">
        <v>65</v>
      </c>
      <c r="AF50" s="705" t="s">
        <v>863</v>
      </c>
      <c r="AG50" s="705"/>
      <c r="AH50" s="705"/>
      <c r="AI50" s="705"/>
      <c r="AJ50" s="705"/>
      <c r="AK50" s="705"/>
      <c r="AL50" s="705"/>
      <c r="AM50" s="705"/>
      <c r="AN50" s="705"/>
      <c r="AO50" s="705"/>
      <c r="AP50" s="705"/>
      <c r="AQ50" s="705"/>
      <c r="AR50" s="705"/>
      <c r="AS50" s="705"/>
      <c r="AT50" s="705"/>
      <c r="AU50" s="705"/>
      <c r="AV50" s="705"/>
      <c r="AW50" s="705"/>
      <c r="AX50" s="705"/>
      <c r="AY50" s="705"/>
      <c r="AZ50" s="705"/>
      <c r="BA50" s="705"/>
      <c r="BB50" s="705"/>
      <c r="BC50" s="705"/>
      <c r="BD50" s="705"/>
      <c r="BE50" s="705"/>
      <c r="BF50" s="705"/>
      <c r="BG50" s="705"/>
    </row>
    <row r="51" spans="1:59" x14ac:dyDescent="0.2">
      <c r="B51" s="694"/>
      <c r="C51" s="694"/>
      <c r="D51" s="694"/>
      <c r="E51" s="694"/>
      <c r="F51" s="694"/>
      <c r="G51" s="694"/>
      <c r="H51" s="694"/>
      <c r="I51" s="694"/>
      <c r="J51" s="694"/>
      <c r="K51" s="694"/>
      <c r="L51" s="694"/>
      <c r="M51" s="694"/>
      <c r="N51" s="694"/>
      <c r="O51" s="694"/>
      <c r="P51" s="694"/>
      <c r="Q51" s="694"/>
      <c r="R51" s="694"/>
      <c r="S51" s="694"/>
      <c r="T51" s="694"/>
      <c r="U51" s="694"/>
      <c r="V51" s="694"/>
      <c r="W51" s="694"/>
      <c r="X51" s="694"/>
      <c r="Y51" s="694"/>
      <c r="Z51" s="694"/>
      <c r="AA51" s="694"/>
      <c r="AB51" s="694"/>
      <c r="AC51" s="694"/>
      <c r="AD51" s="93"/>
      <c r="AE51" s="701" t="s">
        <v>64</v>
      </c>
      <c r="AF51" s="701"/>
      <c r="AG51" s="694" t="s">
        <v>63</v>
      </c>
      <c r="AH51" s="694"/>
      <c r="AI51" s="694"/>
      <c r="AJ51" s="694"/>
      <c r="AK51" s="694"/>
      <c r="AL51" s="694"/>
      <c r="AM51" s="694"/>
      <c r="AN51" s="694"/>
      <c r="AO51" s="694"/>
      <c r="AP51" s="694"/>
      <c r="AQ51" s="694"/>
      <c r="AR51" s="694"/>
      <c r="AS51" s="694"/>
      <c r="AT51" s="694"/>
      <c r="AU51" s="694"/>
      <c r="AV51" s="694"/>
      <c r="AW51" s="694"/>
      <c r="AX51" s="694"/>
      <c r="AY51" s="694"/>
      <c r="AZ51" s="694"/>
      <c r="BA51" s="694"/>
      <c r="BB51" s="694"/>
      <c r="BC51" s="694"/>
      <c r="BD51" s="694"/>
      <c r="BE51" s="694"/>
      <c r="BF51" s="694"/>
      <c r="BG51" s="694"/>
    </row>
    <row r="52" spans="1:59" s="468" customFormat="1" x14ac:dyDescent="0.2">
      <c r="A52" s="94"/>
      <c r="B52" s="694"/>
      <c r="C52" s="694"/>
      <c r="D52" s="694"/>
      <c r="E52" s="694"/>
      <c r="F52" s="694"/>
      <c r="G52" s="694"/>
      <c r="H52" s="694"/>
      <c r="I52" s="694"/>
      <c r="J52" s="694"/>
      <c r="K52" s="694"/>
      <c r="L52" s="694"/>
      <c r="M52" s="694"/>
      <c r="N52" s="694"/>
      <c r="O52" s="694"/>
      <c r="P52" s="694"/>
      <c r="Q52" s="694"/>
      <c r="R52" s="694"/>
      <c r="S52" s="694"/>
      <c r="T52" s="694"/>
      <c r="U52" s="694"/>
      <c r="V52" s="694"/>
      <c r="W52" s="694"/>
      <c r="X52" s="694"/>
      <c r="Y52" s="694"/>
      <c r="Z52" s="694"/>
      <c r="AA52" s="694"/>
      <c r="AB52" s="694"/>
      <c r="AC52" s="694"/>
      <c r="AD52" s="456"/>
      <c r="AE52" s="98"/>
      <c r="AF52" s="98"/>
      <c r="AG52" s="694"/>
      <c r="AH52" s="694"/>
      <c r="AI52" s="694"/>
      <c r="AJ52" s="694"/>
      <c r="AK52" s="694"/>
      <c r="AL52" s="694"/>
      <c r="AM52" s="694"/>
      <c r="AN52" s="694"/>
      <c r="AO52" s="694"/>
      <c r="AP52" s="694"/>
      <c r="AQ52" s="694"/>
      <c r="AR52" s="694"/>
      <c r="AS52" s="694"/>
      <c r="AT52" s="694"/>
      <c r="AU52" s="694"/>
      <c r="AV52" s="694"/>
      <c r="AW52" s="694"/>
      <c r="AX52" s="694"/>
      <c r="AY52" s="694"/>
      <c r="AZ52" s="694"/>
      <c r="BA52" s="694"/>
      <c r="BB52" s="694"/>
      <c r="BC52" s="694"/>
      <c r="BD52" s="694"/>
      <c r="BE52" s="694"/>
      <c r="BF52" s="694"/>
      <c r="BG52" s="694"/>
    </row>
    <row r="53" spans="1:59" s="468" customFormat="1" x14ac:dyDescent="0.2">
      <c r="A53" s="94"/>
      <c r="B53" s="694"/>
      <c r="C53" s="694"/>
      <c r="D53" s="694"/>
      <c r="E53" s="694"/>
      <c r="F53" s="694"/>
      <c r="G53" s="694"/>
      <c r="H53" s="694"/>
      <c r="I53" s="694"/>
      <c r="J53" s="694"/>
      <c r="K53" s="694"/>
      <c r="L53" s="694"/>
      <c r="M53" s="694"/>
      <c r="N53" s="694"/>
      <c r="O53" s="694"/>
      <c r="P53" s="694"/>
      <c r="Q53" s="694"/>
      <c r="R53" s="694"/>
      <c r="S53" s="694"/>
      <c r="T53" s="694"/>
      <c r="U53" s="694"/>
      <c r="V53" s="694"/>
      <c r="W53" s="694"/>
      <c r="X53" s="694"/>
      <c r="Y53" s="694"/>
      <c r="Z53" s="694"/>
      <c r="AA53" s="694"/>
      <c r="AB53" s="694"/>
      <c r="AC53" s="694"/>
      <c r="AD53" s="456"/>
      <c r="AE53" s="701" t="s">
        <v>62</v>
      </c>
      <c r="AF53" s="701"/>
      <c r="AG53" s="694" t="s">
        <v>865</v>
      </c>
      <c r="AH53" s="694"/>
      <c r="AI53" s="694"/>
      <c r="AJ53" s="694"/>
      <c r="AK53" s="694"/>
      <c r="AL53" s="694"/>
      <c r="AM53" s="694"/>
      <c r="AN53" s="694"/>
      <c r="AO53" s="694"/>
      <c r="AP53" s="694"/>
      <c r="AQ53" s="694"/>
      <c r="AR53" s="694"/>
      <c r="AS53" s="694"/>
      <c r="AT53" s="694"/>
      <c r="AU53" s="694"/>
      <c r="AV53" s="694"/>
      <c r="AW53" s="694"/>
      <c r="AX53" s="694"/>
      <c r="AY53" s="694"/>
      <c r="AZ53" s="694"/>
      <c r="BA53" s="694"/>
      <c r="BB53" s="694"/>
      <c r="BC53" s="694"/>
      <c r="BD53" s="694"/>
      <c r="BE53" s="694"/>
      <c r="BF53" s="694"/>
      <c r="BG53" s="694"/>
    </row>
    <row r="54" spans="1:59" s="468" customFormat="1" x14ac:dyDescent="0.2">
      <c r="A54" s="94"/>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456"/>
      <c r="AG54" s="694"/>
      <c r="AH54" s="694"/>
      <c r="AI54" s="694"/>
      <c r="AJ54" s="694"/>
      <c r="AK54" s="694"/>
      <c r="AL54" s="694"/>
      <c r="AM54" s="694"/>
      <c r="AN54" s="694"/>
      <c r="AO54" s="694"/>
      <c r="AP54" s="694"/>
      <c r="AQ54" s="694"/>
      <c r="AR54" s="694"/>
      <c r="AS54" s="694"/>
      <c r="AT54" s="694"/>
      <c r="AU54" s="694"/>
      <c r="AV54" s="694"/>
      <c r="AW54" s="694"/>
      <c r="AX54" s="694"/>
      <c r="AY54" s="694"/>
      <c r="AZ54" s="694"/>
      <c r="BA54" s="694"/>
      <c r="BB54" s="694"/>
      <c r="BC54" s="694"/>
      <c r="BD54" s="694"/>
      <c r="BE54" s="694"/>
      <c r="BF54" s="694"/>
      <c r="BG54" s="694"/>
    </row>
    <row r="55" spans="1:59" s="468" customFormat="1" x14ac:dyDescent="0.2">
      <c r="A55" s="695" t="s">
        <v>416</v>
      </c>
      <c r="B55" s="695"/>
      <c r="C55" s="695"/>
      <c r="D55" s="695"/>
      <c r="E55" s="695"/>
      <c r="F55" s="695"/>
      <c r="G55" s="695"/>
      <c r="H55" s="695"/>
      <c r="I55" s="695"/>
      <c r="J55" s="695"/>
      <c r="K55" s="695"/>
      <c r="L55" s="695"/>
      <c r="M55" s="695"/>
      <c r="N55" s="695"/>
      <c r="O55" s="695"/>
      <c r="P55" s="695"/>
      <c r="Q55" s="695"/>
      <c r="R55" s="695"/>
      <c r="S55" s="695"/>
      <c r="T55" s="695"/>
      <c r="U55" s="695"/>
      <c r="V55" s="695"/>
      <c r="W55" s="695"/>
      <c r="X55" s="695"/>
      <c r="Y55" s="695"/>
      <c r="Z55" s="695"/>
      <c r="AA55" s="695"/>
      <c r="AB55" s="695"/>
      <c r="AC55" s="695"/>
      <c r="AD55" s="456"/>
      <c r="AE55" s="467"/>
      <c r="AF55" s="465"/>
      <c r="AG55" s="694"/>
      <c r="AH55" s="694"/>
      <c r="AI55" s="694"/>
      <c r="AJ55" s="694"/>
      <c r="AK55" s="694"/>
      <c r="AL55" s="694"/>
      <c r="AM55" s="694"/>
      <c r="AN55" s="694"/>
      <c r="AO55" s="694"/>
      <c r="AP55" s="694"/>
      <c r="AQ55" s="694"/>
      <c r="AR55" s="694"/>
      <c r="AS55" s="694"/>
      <c r="AT55" s="694"/>
      <c r="AU55" s="694"/>
      <c r="AV55" s="694"/>
      <c r="AW55" s="694"/>
      <c r="AX55" s="694"/>
      <c r="AY55" s="694"/>
      <c r="AZ55" s="694"/>
      <c r="BA55" s="694"/>
      <c r="BB55" s="694"/>
      <c r="BC55" s="694"/>
      <c r="BD55" s="694"/>
      <c r="BE55" s="694"/>
      <c r="BF55" s="694"/>
      <c r="BG55" s="694"/>
    </row>
    <row r="56" spans="1:59" s="468" customFormat="1" x14ac:dyDescent="0.2">
      <c r="A56" s="9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456"/>
      <c r="AE56" s="467"/>
      <c r="AF56" s="465"/>
      <c r="AG56" s="694"/>
      <c r="AH56" s="694"/>
      <c r="AI56" s="694"/>
      <c r="AJ56" s="694"/>
      <c r="AK56" s="694"/>
      <c r="AL56" s="694"/>
      <c r="AM56" s="694"/>
      <c r="AN56" s="694"/>
      <c r="AO56" s="694"/>
      <c r="AP56" s="694"/>
      <c r="AQ56" s="694"/>
      <c r="AR56" s="694"/>
      <c r="AS56" s="694"/>
      <c r="AT56" s="694"/>
      <c r="AU56" s="694"/>
      <c r="AV56" s="694"/>
      <c r="AW56" s="694"/>
      <c r="AX56" s="694"/>
      <c r="AY56" s="694"/>
      <c r="AZ56" s="694"/>
      <c r="BA56" s="694"/>
      <c r="BB56" s="694"/>
      <c r="BC56" s="694"/>
      <c r="BD56" s="694"/>
      <c r="BE56" s="694"/>
      <c r="BF56" s="694"/>
      <c r="BG56" s="694"/>
    </row>
    <row r="57" spans="1:59" s="468" customFormat="1" x14ac:dyDescent="0.2">
      <c r="A57" s="97" t="s">
        <v>57</v>
      </c>
      <c r="B57" s="704" t="s">
        <v>56</v>
      </c>
      <c r="C57" s="704"/>
      <c r="D57" s="704"/>
      <c r="E57" s="704"/>
      <c r="F57" s="704"/>
      <c r="G57" s="704"/>
      <c r="H57" s="704"/>
      <c r="I57" s="704"/>
      <c r="J57" s="704"/>
      <c r="K57" s="704"/>
      <c r="L57" s="704"/>
      <c r="M57" s="704"/>
      <c r="N57" s="704"/>
      <c r="O57" s="704"/>
      <c r="P57" s="704"/>
      <c r="Q57" s="704"/>
      <c r="R57" s="704"/>
      <c r="S57" s="704"/>
      <c r="T57" s="704"/>
      <c r="U57" s="704"/>
      <c r="V57" s="704"/>
      <c r="W57" s="704"/>
      <c r="X57" s="704"/>
      <c r="Y57" s="704"/>
      <c r="Z57" s="704"/>
      <c r="AA57" s="704"/>
      <c r="AB57" s="704"/>
      <c r="AC57" s="704"/>
      <c r="AD57" s="456"/>
      <c r="AE57" s="467"/>
      <c r="AF57" s="465"/>
      <c r="AG57" s="694"/>
      <c r="AH57" s="694"/>
      <c r="AI57" s="694"/>
      <c r="AJ57" s="694"/>
      <c r="AK57" s="694"/>
      <c r="AL57" s="694"/>
      <c r="AM57" s="694"/>
      <c r="AN57" s="694"/>
      <c r="AO57" s="694"/>
      <c r="AP57" s="694"/>
      <c r="AQ57" s="694"/>
      <c r="AR57" s="694"/>
      <c r="AS57" s="694"/>
      <c r="AT57" s="694"/>
      <c r="AU57" s="694"/>
      <c r="AV57" s="694"/>
      <c r="AW57" s="694"/>
      <c r="AX57" s="694"/>
      <c r="AY57" s="694"/>
      <c r="AZ57" s="694"/>
      <c r="BA57" s="694"/>
      <c r="BB57" s="694"/>
      <c r="BC57" s="694"/>
      <c r="BD57" s="694"/>
      <c r="BE57" s="694"/>
      <c r="BF57" s="694"/>
      <c r="BG57" s="694"/>
    </row>
    <row r="58" spans="1:59" s="468" customFormat="1" x14ac:dyDescent="0.2">
      <c r="A58" s="710" t="s">
        <v>54</v>
      </c>
      <c r="B58" s="710"/>
      <c r="C58" s="702" t="s">
        <v>441</v>
      </c>
      <c r="D58" s="702"/>
      <c r="E58" s="702"/>
      <c r="F58" s="702"/>
      <c r="G58" s="702"/>
      <c r="H58" s="702"/>
      <c r="I58" s="702"/>
      <c r="J58" s="702"/>
      <c r="K58" s="702"/>
      <c r="L58" s="702"/>
      <c r="M58" s="702"/>
      <c r="N58" s="702"/>
      <c r="O58" s="702"/>
      <c r="P58" s="702"/>
      <c r="Q58" s="702"/>
      <c r="R58" s="702"/>
      <c r="S58" s="702"/>
      <c r="T58" s="702"/>
      <c r="U58" s="702"/>
      <c r="V58" s="702"/>
      <c r="W58" s="702"/>
      <c r="X58" s="702"/>
      <c r="Y58" s="702"/>
      <c r="Z58" s="702"/>
      <c r="AA58" s="702"/>
      <c r="AB58" s="702"/>
      <c r="AC58" s="702"/>
      <c r="AD58" s="456"/>
      <c r="AE58" s="467"/>
      <c r="AF58" s="465"/>
      <c r="AG58" s="694"/>
      <c r="AH58" s="694"/>
      <c r="AI58" s="694"/>
      <c r="AJ58" s="694"/>
      <c r="AK58" s="694"/>
      <c r="AL58" s="694"/>
      <c r="AM58" s="694"/>
      <c r="AN58" s="694"/>
      <c r="AO58" s="694"/>
      <c r="AP58" s="694"/>
      <c r="AQ58" s="694"/>
      <c r="AR58" s="694"/>
      <c r="AS58" s="694"/>
      <c r="AT58" s="694"/>
      <c r="AU58" s="694"/>
      <c r="AV58" s="694"/>
      <c r="AW58" s="694"/>
      <c r="AX58" s="694"/>
      <c r="AY58" s="694"/>
      <c r="AZ58" s="694"/>
      <c r="BA58" s="694"/>
      <c r="BB58" s="694"/>
      <c r="BC58" s="694"/>
      <c r="BD58" s="694"/>
      <c r="BE58" s="694"/>
      <c r="BF58" s="694"/>
      <c r="BG58" s="694"/>
    </row>
    <row r="59" spans="1:59" s="468" customFormat="1" x14ac:dyDescent="0.2">
      <c r="A59" s="710" t="s">
        <v>53</v>
      </c>
      <c r="B59" s="710"/>
      <c r="C59" s="694" t="s">
        <v>858</v>
      </c>
      <c r="D59" s="694"/>
      <c r="E59" s="694"/>
      <c r="F59" s="694"/>
      <c r="G59" s="694"/>
      <c r="H59" s="694"/>
      <c r="I59" s="694"/>
      <c r="J59" s="694"/>
      <c r="K59" s="694"/>
      <c r="L59" s="694"/>
      <c r="M59" s="694"/>
      <c r="N59" s="694"/>
      <c r="O59" s="694"/>
      <c r="P59" s="694"/>
      <c r="Q59" s="694"/>
      <c r="R59" s="694"/>
      <c r="S59" s="694"/>
      <c r="T59" s="694"/>
      <c r="U59" s="694"/>
      <c r="V59" s="694"/>
      <c r="W59" s="694"/>
      <c r="X59" s="694"/>
      <c r="Y59" s="694"/>
      <c r="Z59" s="694"/>
      <c r="AA59" s="694"/>
      <c r="AB59" s="694"/>
      <c r="AC59" s="694"/>
      <c r="AD59" s="456"/>
      <c r="AE59" s="701" t="s">
        <v>61</v>
      </c>
      <c r="AF59" s="701"/>
      <c r="AG59" s="694" t="str">
        <f>"«Borc alan» təminat verir ki, əvvəllər heç vaxt krediti qaytarmama və ya kreditdən təyinatı üzrə istifadə etməmə hallarına yol  verməmişdir. «Borc alan» həmçinin təminat verir ki, "&amp;"krediti almaq üçün etdiyi müraciətdə göstərdiyi bütün məlumatlar, onun əmlak vəziyyəti barədə verdiyi məlumatlar da daxil olmaqla,  həqiqətə uyğundur, həmçinin hal hazırda «Borc alan»a qarşı heç bir məhkəmə və ya digər iddia, habelə «Borca"&amp;"lan»ın əmlak vəziyyətini pisləşdirə  biləcək üçüncü şəxslərlə hər hansı mübahisəsi yoxdur;"</f>
        <v>«Borc alan» təminat verir ki, əvvəllər heç vaxt krediti qaytarmama və ya kreditdən təyinatı üzrə istifadə etməmə hallarına yol  verməmişdir. «Borc alan» həmçinin təminat verir ki, krediti almaq üçün etdiyi müraciətdə göstərdiyi bütün məlumatlar, onun əmlak vəziyyəti barədə verdiyi məlumatlar da daxil olmaqla,  həqiqətə uyğundur, həmçinin hal hazırda «Borc alan»a qarşı heç bir məhkəmə və ya digər iddia, habelə «Borcalan»ın əmlak vəziyyətini pisləşdirə  biləcək üçüncü şəxslərlə hər hansı mübahisəsi yoxdur;</v>
      </c>
      <c r="AH59" s="694"/>
      <c r="AI59" s="694"/>
      <c r="AJ59" s="694"/>
      <c r="AK59" s="694"/>
      <c r="AL59" s="694"/>
      <c r="AM59" s="694"/>
      <c r="AN59" s="694"/>
      <c r="AO59" s="694"/>
      <c r="AP59" s="694"/>
      <c r="AQ59" s="694"/>
      <c r="AR59" s="694"/>
      <c r="AS59" s="694"/>
      <c r="AT59" s="694"/>
      <c r="AU59" s="694"/>
      <c r="AV59" s="694"/>
      <c r="AW59" s="694"/>
      <c r="AX59" s="694"/>
      <c r="AY59" s="694"/>
      <c r="AZ59" s="694"/>
      <c r="BA59" s="694"/>
      <c r="BB59" s="694"/>
      <c r="BC59" s="694"/>
      <c r="BD59" s="694"/>
      <c r="BE59" s="694"/>
      <c r="BF59" s="694"/>
      <c r="BG59" s="694"/>
    </row>
    <row r="60" spans="1:59" s="468" customFormat="1" x14ac:dyDescent="0.2">
      <c r="C60" s="694"/>
      <c r="D60" s="694"/>
      <c r="E60" s="694"/>
      <c r="F60" s="694"/>
      <c r="G60" s="694"/>
      <c r="H60" s="694"/>
      <c r="I60" s="694"/>
      <c r="J60" s="694"/>
      <c r="K60" s="694"/>
      <c r="L60" s="694"/>
      <c r="M60" s="694"/>
      <c r="N60" s="694"/>
      <c r="O60" s="694"/>
      <c r="P60" s="694"/>
      <c r="Q60" s="694"/>
      <c r="R60" s="694"/>
      <c r="S60" s="694"/>
      <c r="T60" s="694"/>
      <c r="U60" s="694"/>
      <c r="V60" s="694"/>
      <c r="W60" s="694"/>
      <c r="X60" s="694"/>
      <c r="Y60" s="694"/>
      <c r="Z60" s="694"/>
      <c r="AA60" s="694"/>
      <c r="AB60" s="694"/>
      <c r="AC60" s="694"/>
      <c r="AD60" s="456"/>
      <c r="AE60" s="98"/>
      <c r="AF60" s="98"/>
      <c r="AG60" s="694"/>
      <c r="AH60" s="694"/>
      <c r="AI60" s="694"/>
      <c r="AJ60" s="694"/>
      <c r="AK60" s="694"/>
      <c r="AL60" s="694"/>
      <c r="AM60" s="694"/>
      <c r="AN60" s="694"/>
      <c r="AO60" s="694"/>
      <c r="AP60" s="694"/>
      <c r="AQ60" s="694"/>
      <c r="AR60" s="694"/>
      <c r="AS60" s="694"/>
      <c r="AT60" s="694"/>
      <c r="AU60" s="694"/>
      <c r="AV60" s="694"/>
      <c r="AW60" s="694"/>
      <c r="AX60" s="694"/>
      <c r="AY60" s="694"/>
      <c r="AZ60" s="694"/>
      <c r="BA60" s="694"/>
      <c r="BB60" s="694"/>
      <c r="BC60" s="694"/>
      <c r="BD60" s="694"/>
      <c r="BE60" s="694"/>
      <c r="BF60" s="694"/>
      <c r="BG60" s="694"/>
    </row>
    <row r="61" spans="1:59" s="468" customFormat="1" x14ac:dyDescent="0.2">
      <c r="C61" s="694"/>
      <c r="D61" s="694"/>
      <c r="E61" s="694"/>
      <c r="F61" s="694"/>
      <c r="G61" s="694"/>
      <c r="H61" s="694"/>
      <c r="I61" s="694"/>
      <c r="J61" s="694"/>
      <c r="K61" s="694"/>
      <c r="L61" s="694"/>
      <c r="M61" s="694"/>
      <c r="N61" s="694"/>
      <c r="O61" s="694"/>
      <c r="P61" s="694"/>
      <c r="Q61" s="694"/>
      <c r="R61" s="694"/>
      <c r="S61" s="694"/>
      <c r="T61" s="694"/>
      <c r="U61" s="694"/>
      <c r="V61" s="694"/>
      <c r="W61" s="694"/>
      <c r="X61" s="694"/>
      <c r="Y61" s="694"/>
      <c r="Z61" s="694"/>
      <c r="AA61" s="694"/>
      <c r="AB61" s="694"/>
      <c r="AC61" s="694"/>
      <c r="AD61" s="456"/>
      <c r="AE61" s="98"/>
      <c r="AF61" s="98"/>
      <c r="AG61" s="694"/>
      <c r="AH61" s="694"/>
      <c r="AI61" s="694"/>
      <c r="AJ61" s="694"/>
      <c r="AK61" s="694"/>
      <c r="AL61" s="694"/>
      <c r="AM61" s="694"/>
      <c r="AN61" s="694"/>
      <c r="AO61" s="694"/>
      <c r="AP61" s="694"/>
      <c r="AQ61" s="694"/>
      <c r="AR61" s="694"/>
      <c r="AS61" s="694"/>
      <c r="AT61" s="694"/>
      <c r="AU61" s="694"/>
      <c r="AV61" s="694"/>
      <c r="AW61" s="694"/>
      <c r="AX61" s="694"/>
      <c r="AY61" s="694"/>
      <c r="AZ61" s="694"/>
      <c r="BA61" s="694"/>
      <c r="BB61" s="694"/>
      <c r="BC61" s="694"/>
      <c r="BD61" s="694"/>
      <c r="BE61" s="694"/>
      <c r="BF61" s="694"/>
      <c r="BG61" s="694"/>
    </row>
    <row r="62" spans="1:59" s="468" customFormat="1" x14ac:dyDescent="0.2">
      <c r="A62" s="710" t="s">
        <v>52</v>
      </c>
      <c r="B62" s="710"/>
      <c r="C62" s="694" t="s">
        <v>442</v>
      </c>
      <c r="D62" s="694"/>
      <c r="E62" s="694"/>
      <c r="F62" s="694"/>
      <c r="G62" s="694"/>
      <c r="H62" s="694"/>
      <c r="I62" s="694"/>
      <c r="J62" s="694"/>
      <c r="K62" s="694"/>
      <c r="L62" s="694"/>
      <c r="M62" s="694"/>
      <c r="N62" s="694"/>
      <c r="O62" s="694"/>
      <c r="P62" s="694"/>
      <c r="Q62" s="694"/>
      <c r="R62" s="694"/>
      <c r="S62" s="694"/>
      <c r="T62" s="694"/>
      <c r="U62" s="694"/>
      <c r="V62" s="694"/>
      <c r="W62" s="694"/>
      <c r="X62" s="694"/>
      <c r="Y62" s="694"/>
      <c r="Z62" s="694"/>
      <c r="AA62" s="694"/>
      <c r="AB62" s="694"/>
      <c r="AC62" s="694"/>
      <c r="AD62" s="456"/>
      <c r="AE62" s="98"/>
      <c r="AF62" s="98"/>
      <c r="AG62" s="694"/>
      <c r="AH62" s="694"/>
      <c r="AI62" s="694"/>
      <c r="AJ62" s="694"/>
      <c r="AK62" s="694"/>
      <c r="AL62" s="694"/>
      <c r="AM62" s="694"/>
      <c r="AN62" s="694"/>
      <c r="AO62" s="694"/>
      <c r="AP62" s="694"/>
      <c r="AQ62" s="694"/>
      <c r="AR62" s="694"/>
      <c r="AS62" s="694"/>
      <c r="AT62" s="694"/>
      <c r="AU62" s="694"/>
      <c r="AV62" s="694"/>
      <c r="AW62" s="694"/>
      <c r="AX62" s="694"/>
      <c r="AY62" s="694"/>
      <c r="AZ62" s="694"/>
      <c r="BA62" s="694"/>
      <c r="BB62" s="694"/>
      <c r="BC62" s="694"/>
      <c r="BD62" s="694"/>
      <c r="BE62" s="694"/>
      <c r="BF62" s="694"/>
      <c r="BG62" s="694"/>
    </row>
    <row r="63" spans="1:59" s="468" customFormat="1" x14ac:dyDescent="0.2">
      <c r="A63" s="94"/>
      <c r="B63" s="94"/>
      <c r="C63" s="694"/>
      <c r="D63" s="694"/>
      <c r="E63" s="694"/>
      <c r="F63" s="694"/>
      <c r="G63" s="694"/>
      <c r="H63" s="694"/>
      <c r="I63" s="694"/>
      <c r="J63" s="694"/>
      <c r="K63" s="694"/>
      <c r="L63" s="694"/>
      <c r="M63" s="694"/>
      <c r="N63" s="694"/>
      <c r="O63" s="694"/>
      <c r="P63" s="694"/>
      <c r="Q63" s="694"/>
      <c r="R63" s="694"/>
      <c r="S63" s="694"/>
      <c r="T63" s="694"/>
      <c r="U63" s="694"/>
      <c r="V63" s="694"/>
      <c r="W63" s="694"/>
      <c r="X63" s="694"/>
      <c r="Y63" s="694"/>
      <c r="Z63" s="694"/>
      <c r="AA63" s="694"/>
      <c r="AB63" s="694"/>
      <c r="AC63" s="694"/>
      <c r="AD63" s="456"/>
      <c r="AE63" s="466"/>
      <c r="AF63" s="466"/>
      <c r="AG63" s="694"/>
      <c r="AH63" s="694"/>
      <c r="AI63" s="694"/>
      <c r="AJ63" s="694"/>
      <c r="AK63" s="694"/>
      <c r="AL63" s="694"/>
      <c r="AM63" s="694"/>
      <c r="AN63" s="694"/>
      <c r="AO63" s="694"/>
      <c r="AP63" s="694"/>
      <c r="AQ63" s="694"/>
      <c r="AR63" s="694"/>
      <c r="AS63" s="694"/>
      <c r="AT63" s="694"/>
      <c r="AU63" s="694"/>
      <c r="AV63" s="694"/>
      <c r="AW63" s="694"/>
      <c r="AX63" s="694"/>
      <c r="AY63" s="694"/>
      <c r="AZ63" s="694"/>
      <c r="BA63" s="694"/>
      <c r="BB63" s="694"/>
      <c r="BC63" s="694"/>
      <c r="BD63" s="694"/>
      <c r="BE63" s="694"/>
      <c r="BF63" s="694"/>
      <c r="BG63" s="694"/>
    </row>
    <row r="64" spans="1:59" s="468" customFormat="1" x14ac:dyDescent="0.2">
      <c r="A64" s="710" t="s">
        <v>51</v>
      </c>
      <c r="B64" s="710"/>
      <c r="C64" s="694" t="str">
        <f>"«Borc verən» «Borc alan»ın bu müqavilə üzrə öhdəliyini vaxtında və lazımi qaydada icra edilməməsi ilə nəticələnə bilən "&amp;"aşağıdakı hallarda bu müqaviləyə birtərəfli qaydada vaxtından əvvəl xitam verə və bu müqavilə üzrə müəyyən edilmiş bütün öhdəliklərin icra edilməsini «Borc alan»dan tələ"&amp;"b edə bilər:"</f>
        <v>«Borc verən» «Borc alan»ın bu müqavilə üzrə öhdəliyini vaxtında və lazımi qaydada icra edilməməsi ilə nəticələnə bilən aşağıdakı hallarda bu müqaviləyə birtərəfli qaydada vaxtından əvvəl xitam verə və bu müqavilə üzrə müəyyən edilmiş bütün öhdəliklərin icra edilməsini «Borc alan»dan tələb edə bilər:</v>
      </c>
      <c r="D64" s="694"/>
      <c r="E64" s="694"/>
      <c r="F64" s="694"/>
      <c r="G64" s="694"/>
      <c r="H64" s="694"/>
      <c r="I64" s="694"/>
      <c r="J64" s="694"/>
      <c r="K64" s="694"/>
      <c r="L64" s="694"/>
      <c r="M64" s="694"/>
      <c r="N64" s="694"/>
      <c r="O64" s="694"/>
      <c r="P64" s="694"/>
      <c r="Q64" s="694"/>
      <c r="R64" s="694"/>
      <c r="S64" s="694"/>
      <c r="T64" s="694"/>
      <c r="U64" s="694"/>
      <c r="V64" s="694"/>
      <c r="W64" s="694"/>
      <c r="X64" s="694"/>
      <c r="Y64" s="694"/>
      <c r="Z64" s="694"/>
      <c r="AA64" s="694"/>
      <c r="AB64" s="694"/>
      <c r="AC64" s="694"/>
      <c r="AD64" s="456"/>
      <c r="AE64" s="98"/>
      <c r="AF64" s="98"/>
      <c r="AG64" s="694"/>
      <c r="AH64" s="694"/>
      <c r="AI64" s="694"/>
      <c r="AJ64" s="694"/>
      <c r="AK64" s="694"/>
      <c r="AL64" s="694"/>
      <c r="AM64" s="694"/>
      <c r="AN64" s="694"/>
      <c r="AO64" s="694"/>
      <c r="AP64" s="694"/>
      <c r="AQ64" s="694"/>
      <c r="AR64" s="694"/>
      <c r="AS64" s="694"/>
      <c r="AT64" s="694"/>
      <c r="AU64" s="694"/>
      <c r="AV64" s="694"/>
      <c r="AW64" s="694"/>
      <c r="AX64" s="694"/>
      <c r="AY64" s="694"/>
      <c r="AZ64" s="694"/>
      <c r="BA64" s="694"/>
      <c r="BB64" s="694"/>
      <c r="BC64" s="694"/>
      <c r="BD64" s="694"/>
      <c r="BE64" s="694"/>
      <c r="BF64" s="694"/>
      <c r="BG64" s="694"/>
    </row>
    <row r="65" spans="1:59" s="468" customFormat="1" x14ac:dyDescent="0.2">
      <c r="A65" s="94"/>
      <c r="B65" s="94"/>
      <c r="C65" s="694"/>
      <c r="D65" s="694"/>
      <c r="E65" s="694"/>
      <c r="F65" s="694"/>
      <c r="G65" s="694"/>
      <c r="H65" s="694"/>
      <c r="I65" s="694"/>
      <c r="J65" s="694"/>
      <c r="K65" s="694"/>
      <c r="L65" s="694"/>
      <c r="M65" s="694"/>
      <c r="N65" s="694"/>
      <c r="O65" s="694"/>
      <c r="P65" s="694"/>
      <c r="Q65" s="694"/>
      <c r="R65" s="694"/>
      <c r="S65" s="694"/>
      <c r="T65" s="694"/>
      <c r="U65" s="694"/>
      <c r="V65" s="694"/>
      <c r="W65" s="694"/>
      <c r="X65" s="694"/>
      <c r="Y65" s="694"/>
      <c r="Z65" s="694"/>
      <c r="AA65" s="694"/>
      <c r="AB65" s="694"/>
      <c r="AC65" s="694"/>
      <c r="AD65" s="456"/>
      <c r="AE65" s="98"/>
      <c r="AF65" s="98"/>
      <c r="AG65" s="694"/>
      <c r="AH65" s="694"/>
      <c r="AI65" s="694"/>
      <c r="AJ65" s="694"/>
      <c r="AK65" s="694"/>
      <c r="AL65" s="694"/>
      <c r="AM65" s="694"/>
      <c r="AN65" s="694"/>
      <c r="AO65" s="694"/>
      <c r="AP65" s="694"/>
      <c r="AQ65" s="694"/>
      <c r="AR65" s="694"/>
      <c r="AS65" s="694"/>
      <c r="AT65" s="694"/>
      <c r="AU65" s="694"/>
      <c r="AV65" s="694"/>
      <c r="AW65" s="694"/>
      <c r="AX65" s="694"/>
      <c r="AY65" s="694"/>
      <c r="AZ65" s="694"/>
      <c r="BA65" s="694"/>
      <c r="BB65" s="694"/>
      <c r="BC65" s="694"/>
      <c r="BD65" s="694"/>
      <c r="BE65" s="694"/>
      <c r="BF65" s="694"/>
      <c r="BG65" s="694"/>
    </row>
    <row r="66" spans="1:59" s="468" customFormat="1" x14ac:dyDescent="0.2">
      <c r="A66" s="94"/>
      <c r="B66" s="94"/>
      <c r="C66" s="694"/>
      <c r="D66" s="694"/>
      <c r="E66" s="694"/>
      <c r="F66" s="694"/>
      <c r="G66" s="694"/>
      <c r="H66" s="694"/>
      <c r="I66" s="694"/>
      <c r="J66" s="694"/>
      <c r="K66" s="694"/>
      <c r="L66" s="694"/>
      <c r="M66" s="694"/>
      <c r="N66" s="694"/>
      <c r="O66" s="694"/>
      <c r="P66" s="694"/>
      <c r="Q66" s="694"/>
      <c r="R66" s="694"/>
      <c r="S66" s="694"/>
      <c r="T66" s="694"/>
      <c r="U66" s="694"/>
      <c r="V66" s="694"/>
      <c r="W66" s="694"/>
      <c r="X66" s="694"/>
      <c r="Y66" s="694"/>
      <c r="Z66" s="694"/>
      <c r="AA66" s="694"/>
      <c r="AB66" s="694"/>
      <c r="AC66" s="694"/>
      <c r="AD66" s="456"/>
      <c r="AG66" s="694"/>
      <c r="AH66" s="694"/>
      <c r="AI66" s="694"/>
      <c r="AJ66" s="694"/>
      <c r="AK66" s="694"/>
      <c r="AL66" s="694"/>
      <c r="AM66" s="694"/>
      <c r="AN66" s="694"/>
      <c r="AO66" s="694"/>
      <c r="AP66" s="694"/>
      <c r="AQ66" s="694"/>
      <c r="AR66" s="694"/>
      <c r="AS66" s="694"/>
      <c r="AT66" s="694"/>
      <c r="AU66" s="694"/>
      <c r="AV66" s="694"/>
      <c r="AW66" s="694"/>
      <c r="AX66" s="694"/>
      <c r="AY66" s="694"/>
      <c r="AZ66" s="694"/>
      <c r="BA66" s="694"/>
      <c r="BB66" s="694"/>
      <c r="BC66" s="694"/>
      <c r="BD66" s="694"/>
      <c r="BE66" s="694"/>
      <c r="BF66" s="694"/>
      <c r="BG66" s="694"/>
    </row>
    <row r="67" spans="1:59" s="468" customFormat="1" x14ac:dyDescent="0.2">
      <c r="A67" s="94"/>
      <c r="B67" s="94"/>
      <c r="C67" s="694"/>
      <c r="D67" s="694"/>
      <c r="E67" s="694"/>
      <c r="F67" s="694"/>
      <c r="G67" s="694"/>
      <c r="H67" s="694"/>
      <c r="I67" s="694"/>
      <c r="J67" s="694"/>
      <c r="K67" s="694"/>
      <c r="L67" s="694"/>
      <c r="M67" s="694"/>
      <c r="N67" s="694"/>
      <c r="O67" s="694"/>
      <c r="P67" s="694"/>
      <c r="Q67" s="694"/>
      <c r="R67" s="694"/>
      <c r="S67" s="694"/>
      <c r="T67" s="694"/>
      <c r="U67" s="694"/>
      <c r="V67" s="694"/>
      <c r="W67" s="694"/>
      <c r="X67" s="694"/>
      <c r="Y67" s="694"/>
      <c r="Z67" s="694"/>
      <c r="AA67" s="694"/>
      <c r="AB67" s="694"/>
      <c r="AC67" s="694"/>
      <c r="AD67" s="456"/>
      <c r="AE67" s="712" t="s">
        <v>58</v>
      </c>
      <c r="AF67" s="712"/>
      <c r="AG67" s="693" t="str">
        <f>"«Borc alan» təminat verir ki, əldə etdiyi kredit və onun bəhəri qanunsuz məqsədlər üçün istifadə edilməyəcək, öz fəaliyyətində ekologiya, ətraf mühitin mühafizəsi və əməyin mühafizəsi qaydalarına riayət edəcək, çirkli pulların yuyulması, cinayətkarlıq"&amp;" və terrorçuluğun maliyyələşdirilməsi hallarına yol verməyəcəkdir;"</f>
        <v>«Borc alan» təminat verir ki, əldə etdiyi kredit və onun bəhəri qanunsuz məqsədlər üçün istifadə edilməyəcək, öz fəaliyyətində ekologiya, ətraf mühitin mühafizəsi və əməyin mühafizəsi qaydalarına riayət edəcək, çirkli pulların yuyulması, cinayətkarlıq və terrorçuluğun maliyyələşdirilməsi hallarına yol verməyəcəkdir;</v>
      </c>
      <c r="AH67" s="693"/>
      <c r="AI67" s="693"/>
      <c r="AJ67" s="693"/>
      <c r="AK67" s="693"/>
      <c r="AL67" s="693"/>
      <c r="AM67" s="693"/>
      <c r="AN67" s="693"/>
      <c r="AO67" s="693"/>
      <c r="AP67" s="693"/>
      <c r="AQ67" s="693"/>
      <c r="AR67" s="693"/>
      <c r="AS67" s="693"/>
      <c r="AT67" s="693"/>
      <c r="AU67" s="693"/>
      <c r="AV67" s="693"/>
      <c r="AW67" s="693"/>
      <c r="AX67" s="693"/>
      <c r="AY67" s="693"/>
      <c r="AZ67" s="693"/>
      <c r="BA67" s="693"/>
      <c r="BB67" s="693"/>
      <c r="BC67" s="693"/>
      <c r="BD67" s="693"/>
      <c r="BE67" s="693"/>
      <c r="BF67" s="693"/>
      <c r="BG67" s="693"/>
    </row>
    <row r="68" spans="1:59" s="468" customFormat="1" x14ac:dyDescent="0.2">
      <c r="C68" s="694"/>
      <c r="D68" s="694"/>
      <c r="E68" s="694"/>
      <c r="F68" s="694"/>
      <c r="G68" s="694"/>
      <c r="H68" s="694"/>
      <c r="I68" s="694"/>
      <c r="J68" s="694"/>
      <c r="K68" s="694"/>
      <c r="L68" s="694"/>
      <c r="M68" s="694"/>
      <c r="N68" s="694"/>
      <c r="O68" s="694"/>
      <c r="P68" s="694"/>
      <c r="Q68" s="694"/>
      <c r="R68" s="694"/>
      <c r="S68" s="694"/>
      <c r="T68" s="694"/>
      <c r="U68" s="694"/>
      <c r="V68" s="694"/>
      <c r="W68" s="694"/>
      <c r="X68" s="694"/>
      <c r="Y68" s="694"/>
      <c r="Z68" s="694"/>
      <c r="AA68" s="694"/>
      <c r="AB68" s="694"/>
      <c r="AC68" s="694"/>
      <c r="AD68" s="93"/>
      <c r="AE68" s="88"/>
      <c r="AF68" s="88"/>
      <c r="AG68" s="693"/>
      <c r="AH68" s="693"/>
      <c r="AI68" s="693"/>
      <c r="AJ68" s="693"/>
      <c r="AK68" s="693"/>
      <c r="AL68" s="693"/>
      <c r="AM68" s="693"/>
      <c r="AN68" s="693"/>
      <c r="AO68" s="693"/>
      <c r="AP68" s="693"/>
      <c r="AQ68" s="693"/>
      <c r="AR68" s="693"/>
      <c r="AS68" s="693"/>
      <c r="AT68" s="693"/>
      <c r="AU68" s="693"/>
      <c r="AV68" s="693"/>
      <c r="AW68" s="693"/>
      <c r="AX68" s="693"/>
      <c r="AY68" s="693"/>
      <c r="AZ68" s="693"/>
      <c r="BA68" s="693"/>
      <c r="BB68" s="693"/>
      <c r="BC68" s="693"/>
      <c r="BD68" s="693"/>
      <c r="BE68" s="693"/>
      <c r="BF68" s="693"/>
      <c r="BG68" s="693"/>
    </row>
    <row r="69" spans="1:59" s="468" customFormat="1" ht="11.25" customHeight="1" x14ac:dyDescent="0.2">
      <c r="B69" s="95"/>
      <c r="C69" s="456" t="s">
        <v>49</v>
      </c>
      <c r="D69" s="694" t="str">
        <f>"«Borc alan»ın krediti və onun faizlərinin ödənilməsi  dövriliyini ən az 2 (iki) dəfə 5 (b"&amp;"eş) təqvim günündən çox pozduqda;"</f>
        <v>«Borc alan»ın krediti və onun faizlərinin ödənilməsi  dövriliyini ən az 2 (iki) dəfə 5 (beş) təqvim günündən çox pozduqda;</v>
      </c>
      <c r="E69" s="694"/>
      <c r="F69" s="694"/>
      <c r="G69" s="694"/>
      <c r="H69" s="694"/>
      <c r="I69" s="694"/>
      <c r="J69" s="694"/>
      <c r="K69" s="694"/>
      <c r="L69" s="694"/>
      <c r="M69" s="694"/>
      <c r="N69" s="694"/>
      <c r="O69" s="694"/>
      <c r="P69" s="694"/>
      <c r="Q69" s="694"/>
      <c r="R69" s="694"/>
      <c r="S69" s="694"/>
      <c r="T69" s="694"/>
      <c r="U69" s="694"/>
      <c r="V69" s="694"/>
      <c r="W69" s="694"/>
      <c r="X69" s="694"/>
      <c r="Y69" s="694"/>
      <c r="Z69" s="694"/>
      <c r="AA69" s="694"/>
      <c r="AB69" s="694"/>
      <c r="AC69" s="694"/>
      <c r="AD69" s="93"/>
      <c r="AG69" s="693"/>
      <c r="AH69" s="693"/>
      <c r="AI69" s="693"/>
      <c r="AJ69" s="693"/>
      <c r="AK69" s="693"/>
      <c r="AL69" s="693"/>
      <c r="AM69" s="693"/>
      <c r="AN69" s="693"/>
      <c r="AO69" s="693"/>
      <c r="AP69" s="693"/>
      <c r="AQ69" s="693"/>
      <c r="AR69" s="693"/>
      <c r="AS69" s="693"/>
      <c r="AT69" s="693"/>
      <c r="AU69" s="693"/>
      <c r="AV69" s="693"/>
      <c r="AW69" s="693"/>
      <c r="AX69" s="693"/>
      <c r="AY69" s="693"/>
      <c r="AZ69" s="693"/>
      <c r="BA69" s="693"/>
      <c r="BB69" s="693"/>
      <c r="BC69" s="693"/>
      <c r="BD69" s="693"/>
      <c r="BE69" s="693"/>
      <c r="BF69" s="693"/>
      <c r="BG69" s="693"/>
    </row>
    <row r="70" spans="1:59" s="468" customFormat="1" x14ac:dyDescent="0.2">
      <c r="C70" s="456"/>
      <c r="D70" s="694"/>
      <c r="E70" s="694"/>
      <c r="F70" s="694"/>
      <c r="G70" s="694"/>
      <c r="H70" s="694"/>
      <c r="I70" s="694"/>
      <c r="J70" s="694"/>
      <c r="K70" s="694"/>
      <c r="L70" s="694"/>
      <c r="M70" s="694"/>
      <c r="N70" s="694"/>
      <c r="O70" s="694"/>
      <c r="P70" s="694"/>
      <c r="Q70" s="694"/>
      <c r="R70" s="694"/>
      <c r="S70" s="694"/>
      <c r="T70" s="694"/>
      <c r="U70" s="694"/>
      <c r="V70" s="694"/>
      <c r="W70" s="694"/>
      <c r="X70" s="694"/>
      <c r="Y70" s="694"/>
      <c r="Z70" s="694"/>
      <c r="AA70" s="694"/>
      <c r="AB70" s="694"/>
      <c r="AC70" s="694"/>
      <c r="AD70" s="93"/>
      <c r="AG70" s="693"/>
      <c r="AH70" s="693"/>
      <c r="AI70" s="693"/>
      <c r="AJ70" s="693"/>
      <c r="AK70" s="693"/>
      <c r="AL70" s="693"/>
      <c r="AM70" s="693"/>
      <c r="AN70" s="693"/>
      <c r="AO70" s="693"/>
      <c r="AP70" s="693"/>
      <c r="AQ70" s="693"/>
      <c r="AR70" s="693"/>
      <c r="AS70" s="693"/>
      <c r="AT70" s="693"/>
      <c r="AU70" s="693"/>
      <c r="AV70" s="693"/>
      <c r="AW70" s="693"/>
      <c r="AX70" s="693"/>
      <c r="AY70" s="693"/>
      <c r="AZ70" s="693"/>
      <c r="BA70" s="693"/>
      <c r="BB70" s="693"/>
      <c r="BC70" s="693"/>
      <c r="BD70" s="693"/>
      <c r="BE70" s="693"/>
      <c r="BF70" s="693"/>
      <c r="BG70" s="693"/>
    </row>
    <row r="71" spans="1:59" s="468" customFormat="1" x14ac:dyDescent="0.2">
      <c r="B71" s="95"/>
      <c r="C71" s="456" t="s">
        <v>47</v>
      </c>
      <c r="D71" s="694" t="str">
        <f>"«Borc alan»ın krediti və onun faizlərinin ödənilməsi  dövriliyini bu müqavilənin tərkib hissəsi ola"&amp;"n ödəniş cədvəli üzrə müəyyən edilmiş müddətdən 7 (yeddi) təqvim günündən artıq  gecikdirdikdə;"</f>
        <v>«Borc alan»ın krediti və onun faizlərinin ödənilməsi  dövriliyini bu müqavilənin tərkib hissəsi olan ödəniş cədvəli üzrə müəyyən edilmiş müddətdən 7 (yeddi) təqvim günündən artıq  gecikdirdikdə;</v>
      </c>
      <c r="E71" s="694"/>
      <c r="F71" s="694"/>
      <c r="G71" s="694"/>
      <c r="H71" s="694"/>
      <c r="I71" s="694"/>
      <c r="J71" s="694"/>
      <c r="K71" s="694"/>
      <c r="L71" s="694"/>
      <c r="M71" s="694"/>
      <c r="N71" s="694"/>
      <c r="O71" s="694"/>
      <c r="P71" s="694"/>
      <c r="Q71" s="694"/>
      <c r="R71" s="694"/>
      <c r="S71" s="694"/>
      <c r="T71" s="694"/>
      <c r="U71" s="694"/>
      <c r="V71" s="694"/>
      <c r="W71" s="694"/>
      <c r="X71" s="694"/>
      <c r="Y71" s="694"/>
      <c r="Z71" s="694"/>
      <c r="AA71" s="694"/>
      <c r="AB71" s="694"/>
      <c r="AC71" s="694"/>
      <c r="AD71" s="456"/>
      <c r="AG71" s="693"/>
      <c r="AH71" s="693"/>
      <c r="AI71" s="693"/>
      <c r="AJ71" s="693"/>
      <c r="AK71" s="693"/>
      <c r="AL71" s="693"/>
      <c r="AM71" s="693"/>
      <c r="AN71" s="693"/>
      <c r="AO71" s="693"/>
      <c r="AP71" s="693"/>
      <c r="AQ71" s="693"/>
      <c r="AR71" s="693"/>
      <c r="AS71" s="693"/>
      <c r="AT71" s="693"/>
      <c r="AU71" s="693"/>
      <c r="AV71" s="693"/>
      <c r="AW71" s="693"/>
      <c r="AX71" s="693"/>
      <c r="AY71" s="693"/>
      <c r="AZ71" s="693"/>
      <c r="BA71" s="693"/>
      <c r="BB71" s="693"/>
      <c r="BC71" s="693"/>
      <c r="BD71" s="693"/>
      <c r="BE71" s="693"/>
      <c r="BF71" s="693"/>
      <c r="BG71" s="693"/>
    </row>
    <row r="72" spans="1:59" s="468" customFormat="1" x14ac:dyDescent="0.2">
      <c r="B72" s="95"/>
      <c r="C72" s="456"/>
      <c r="D72" s="694"/>
      <c r="E72" s="694"/>
      <c r="F72" s="694"/>
      <c r="G72" s="694"/>
      <c r="H72" s="694"/>
      <c r="I72" s="694"/>
      <c r="J72" s="694"/>
      <c r="K72" s="694"/>
      <c r="L72" s="694"/>
      <c r="M72" s="694"/>
      <c r="N72" s="694"/>
      <c r="O72" s="694"/>
      <c r="P72" s="694"/>
      <c r="Q72" s="694"/>
      <c r="R72" s="694"/>
      <c r="S72" s="694"/>
      <c r="T72" s="694"/>
      <c r="U72" s="694"/>
      <c r="V72" s="694"/>
      <c r="W72" s="694"/>
      <c r="X72" s="694"/>
      <c r="Y72" s="694"/>
      <c r="Z72" s="694"/>
      <c r="AA72" s="694"/>
      <c r="AB72" s="694"/>
      <c r="AC72" s="694"/>
      <c r="AD72" s="456"/>
      <c r="AE72" s="712" t="s">
        <v>55</v>
      </c>
      <c r="AF72" s="712"/>
      <c r="AG72" s="694" t="str">
        <f>"Bu müqavilə üzrə öhdəliklərini pozduqda və ya vaxtında icra etmədikdə «Borc  verən» bu öhdəliklərinin icrasını təmin etmək üçün üçüncü şəxslərin xidmətindən"&amp;" istifadə etdikdə onun haqqında olan bütün məlumatların və sənədlərin «Borc verən»  tərəfindən"&amp;" üçüncü şəxslərə təqdim olunmasına əvvəlcədən razılıq verir və "&amp;"bu razılığını birtərəfli qaydada geri gö"&amp;"türə bilməz. Bu razılıq «Borc verən» tərəfindən tələb hüququ üçüncü şəxslərə güzəşt olunduqda da qüvvədədir."</f>
        <v>Bu müqavilə üzrə öhdəliklərini pozduqda və ya vaxtında icra etmədikdə «Borc  verən» bu öhdəliklərinin icrasını təmin etmək üçün üçüncü şəxslərin xidmətindən istifadə etdikdə onun haqqında olan bütün məlumatların və sənədlərin «Borc verən»  tərəfindən üçüncü şəxslərə təqdim olunmasına əvvəlcədən razılıq verir və bu razılığını birtərəfli qaydada geri götürə bilməz. Bu razılıq «Borc verən» tərəfindən tələb hüququ üçüncü şəxslərə güzəşt olunduqda da qüvvədədir.</v>
      </c>
      <c r="AH72" s="694"/>
      <c r="AI72" s="694"/>
      <c r="AJ72" s="694"/>
      <c r="AK72" s="694"/>
      <c r="AL72" s="694"/>
      <c r="AM72" s="694"/>
      <c r="AN72" s="694"/>
      <c r="AO72" s="694"/>
      <c r="AP72" s="694"/>
      <c r="AQ72" s="694"/>
      <c r="AR72" s="694"/>
      <c r="AS72" s="694"/>
      <c r="AT72" s="694"/>
      <c r="AU72" s="694"/>
      <c r="AV72" s="694"/>
      <c r="AW72" s="694"/>
      <c r="AX72" s="694"/>
      <c r="AY72" s="694"/>
      <c r="AZ72" s="694"/>
      <c r="BA72" s="694"/>
      <c r="BB72" s="694"/>
      <c r="BC72" s="694"/>
      <c r="BD72" s="694"/>
      <c r="BE72" s="694"/>
      <c r="BF72" s="694"/>
      <c r="BG72" s="694"/>
    </row>
    <row r="73" spans="1:59" s="468" customFormat="1" x14ac:dyDescent="0.2">
      <c r="B73" s="95"/>
      <c r="C73" s="456"/>
      <c r="D73" s="694"/>
      <c r="E73" s="694"/>
      <c r="F73" s="694"/>
      <c r="G73" s="694"/>
      <c r="H73" s="694"/>
      <c r="I73" s="694"/>
      <c r="J73" s="694"/>
      <c r="K73" s="694"/>
      <c r="L73" s="694"/>
      <c r="M73" s="694"/>
      <c r="N73" s="694"/>
      <c r="O73" s="694"/>
      <c r="P73" s="694"/>
      <c r="Q73" s="694"/>
      <c r="R73" s="694"/>
      <c r="S73" s="694"/>
      <c r="T73" s="694"/>
      <c r="U73" s="694"/>
      <c r="V73" s="694"/>
      <c r="W73" s="694"/>
      <c r="X73" s="694"/>
      <c r="Y73" s="694"/>
      <c r="Z73" s="694"/>
      <c r="AA73" s="694"/>
      <c r="AB73" s="694"/>
      <c r="AC73" s="694"/>
      <c r="AD73" s="456"/>
      <c r="AE73" s="94"/>
      <c r="AF73" s="94"/>
      <c r="AG73" s="694"/>
      <c r="AH73" s="694"/>
      <c r="AI73" s="694"/>
      <c r="AJ73" s="694"/>
      <c r="AK73" s="694"/>
      <c r="AL73" s="694"/>
      <c r="AM73" s="694"/>
      <c r="AN73" s="694"/>
      <c r="AO73" s="694"/>
      <c r="AP73" s="694"/>
      <c r="AQ73" s="694"/>
      <c r="AR73" s="694"/>
      <c r="AS73" s="694"/>
      <c r="AT73" s="694"/>
      <c r="AU73" s="694"/>
      <c r="AV73" s="694"/>
      <c r="AW73" s="694"/>
      <c r="AX73" s="694"/>
      <c r="AY73" s="694"/>
      <c r="AZ73" s="694"/>
      <c r="BA73" s="694"/>
      <c r="BB73" s="694"/>
      <c r="BC73" s="694"/>
      <c r="BD73" s="694"/>
      <c r="BE73" s="694"/>
      <c r="BF73" s="694"/>
      <c r="BG73" s="694"/>
    </row>
    <row r="74" spans="1:59" s="468" customFormat="1" ht="11.25" customHeight="1" x14ac:dyDescent="0.2">
      <c r="B74" s="95"/>
      <c r="C74" s="456" t="s">
        <v>46</v>
      </c>
      <c r="D74" s="694" t="s">
        <v>440</v>
      </c>
      <c r="E74" s="694"/>
      <c r="F74" s="694"/>
      <c r="G74" s="694"/>
      <c r="H74" s="694"/>
      <c r="I74" s="694"/>
      <c r="J74" s="694"/>
      <c r="K74" s="694"/>
      <c r="L74" s="694"/>
      <c r="M74" s="694"/>
      <c r="N74" s="694"/>
      <c r="O74" s="694"/>
      <c r="P74" s="694"/>
      <c r="Q74" s="694"/>
      <c r="R74" s="694"/>
      <c r="S74" s="694"/>
      <c r="T74" s="694"/>
      <c r="U74" s="694"/>
      <c r="V74" s="694"/>
      <c r="W74" s="694"/>
      <c r="X74" s="694"/>
      <c r="Y74" s="694"/>
      <c r="Z74" s="694"/>
      <c r="AA74" s="694"/>
      <c r="AB74" s="694"/>
      <c r="AC74" s="694"/>
      <c r="AD74" s="456"/>
      <c r="AE74" s="94"/>
      <c r="AF74" s="94"/>
      <c r="AG74" s="694"/>
      <c r="AH74" s="694"/>
      <c r="AI74" s="694"/>
      <c r="AJ74" s="694"/>
      <c r="AK74" s="694"/>
      <c r="AL74" s="694"/>
      <c r="AM74" s="694"/>
      <c r="AN74" s="694"/>
      <c r="AO74" s="694"/>
      <c r="AP74" s="694"/>
      <c r="AQ74" s="694"/>
      <c r="AR74" s="694"/>
      <c r="AS74" s="694"/>
      <c r="AT74" s="694"/>
      <c r="AU74" s="694"/>
      <c r="AV74" s="694"/>
      <c r="AW74" s="694"/>
      <c r="AX74" s="694"/>
      <c r="AY74" s="694"/>
      <c r="AZ74" s="694"/>
      <c r="BA74" s="694"/>
      <c r="BB74" s="694"/>
      <c r="BC74" s="694"/>
      <c r="BD74" s="694"/>
      <c r="BE74" s="694"/>
      <c r="BF74" s="694"/>
      <c r="BG74" s="694"/>
    </row>
    <row r="75" spans="1:59" s="468" customFormat="1" x14ac:dyDescent="0.2">
      <c r="B75" s="95"/>
      <c r="C75" s="456"/>
      <c r="D75" s="694"/>
      <c r="E75" s="694"/>
      <c r="F75" s="694"/>
      <c r="G75" s="694"/>
      <c r="H75" s="694"/>
      <c r="I75" s="694"/>
      <c r="J75" s="694"/>
      <c r="K75" s="694"/>
      <c r="L75" s="694"/>
      <c r="M75" s="694"/>
      <c r="N75" s="694"/>
      <c r="O75" s="694"/>
      <c r="P75" s="694"/>
      <c r="Q75" s="694"/>
      <c r="R75" s="694"/>
      <c r="S75" s="694"/>
      <c r="T75" s="694"/>
      <c r="U75" s="694"/>
      <c r="V75" s="694"/>
      <c r="W75" s="694"/>
      <c r="X75" s="694"/>
      <c r="Y75" s="694"/>
      <c r="Z75" s="694"/>
      <c r="AA75" s="694"/>
      <c r="AB75" s="694"/>
      <c r="AC75" s="694"/>
      <c r="AG75" s="694"/>
      <c r="AH75" s="694"/>
      <c r="AI75" s="694"/>
      <c r="AJ75" s="694"/>
      <c r="AK75" s="694"/>
      <c r="AL75" s="694"/>
      <c r="AM75" s="694"/>
      <c r="AN75" s="694"/>
      <c r="AO75" s="694"/>
      <c r="AP75" s="694"/>
      <c r="AQ75" s="694"/>
      <c r="AR75" s="694"/>
      <c r="AS75" s="694"/>
      <c r="AT75" s="694"/>
      <c r="AU75" s="694"/>
      <c r="AV75" s="694"/>
      <c r="AW75" s="694"/>
      <c r="AX75" s="694"/>
      <c r="AY75" s="694"/>
      <c r="AZ75" s="694"/>
      <c r="BA75" s="694"/>
      <c r="BB75" s="694"/>
      <c r="BC75" s="694"/>
      <c r="BD75" s="694"/>
      <c r="BE75" s="694"/>
      <c r="BF75" s="694"/>
      <c r="BG75" s="694"/>
    </row>
    <row r="76" spans="1:59" s="468" customFormat="1" ht="11.25" customHeight="1" x14ac:dyDescent="0.2">
      <c r="B76" s="95"/>
      <c r="C76" s="456"/>
      <c r="D76" s="694"/>
      <c r="E76" s="694"/>
      <c r="F76" s="694"/>
      <c r="G76" s="694"/>
      <c r="H76" s="694"/>
      <c r="I76" s="694"/>
      <c r="J76" s="694"/>
      <c r="K76" s="694"/>
      <c r="L76" s="694"/>
      <c r="M76" s="694"/>
      <c r="N76" s="694"/>
      <c r="O76" s="694"/>
      <c r="P76" s="694"/>
      <c r="Q76" s="694"/>
      <c r="R76" s="694"/>
      <c r="S76" s="694"/>
      <c r="T76" s="694"/>
      <c r="U76" s="694"/>
      <c r="V76" s="694"/>
      <c r="W76" s="694"/>
      <c r="X76" s="694"/>
      <c r="Y76" s="694"/>
      <c r="Z76" s="694"/>
      <c r="AA76" s="694"/>
      <c r="AB76" s="694"/>
      <c r="AC76" s="694"/>
      <c r="AD76" s="456"/>
      <c r="AG76" s="694"/>
      <c r="AH76" s="694"/>
      <c r="AI76" s="694"/>
      <c r="AJ76" s="694"/>
      <c r="AK76" s="694"/>
      <c r="AL76" s="694"/>
      <c r="AM76" s="694"/>
      <c r="AN76" s="694"/>
      <c r="AO76" s="694"/>
      <c r="AP76" s="694"/>
      <c r="AQ76" s="694"/>
      <c r="AR76" s="694"/>
      <c r="AS76" s="694"/>
      <c r="AT76" s="694"/>
      <c r="AU76" s="694"/>
      <c r="AV76" s="694"/>
      <c r="AW76" s="694"/>
      <c r="AX76" s="694"/>
      <c r="AY76" s="694"/>
      <c r="AZ76" s="694"/>
      <c r="BA76" s="694"/>
      <c r="BB76" s="694"/>
      <c r="BC76" s="694"/>
      <c r="BD76" s="694"/>
      <c r="BE76" s="694"/>
      <c r="BF76" s="694"/>
      <c r="BG76" s="694"/>
    </row>
    <row r="77" spans="1:59" s="468" customFormat="1" ht="11.25" customHeight="1" x14ac:dyDescent="0.2">
      <c r="C77" s="456" t="s">
        <v>467</v>
      </c>
      <c r="D77" s="693" t="str">
        <f>"«Borc alan» tərəfindən «Borc verən»i aldatmağa yönəlmiş hər hansı bir hərəkətin edildiyi, o cümlədən «Borc alan» özünün"</f>
        <v>«Borc alan» tərəfindən «Borc verən»i aldatmağa yönəlmiş hər hansı bir hərəkətin edildiyi, o cümlədən «Borc alan» özünün</v>
      </c>
      <c r="E77" s="693"/>
      <c r="F77" s="693"/>
      <c r="G77" s="693"/>
      <c r="H77" s="693"/>
      <c r="I77" s="693"/>
      <c r="J77" s="693"/>
      <c r="K77" s="693"/>
      <c r="L77" s="693"/>
      <c r="M77" s="693"/>
      <c r="N77" s="693"/>
      <c r="O77" s="693"/>
      <c r="P77" s="693"/>
      <c r="Q77" s="693"/>
      <c r="R77" s="693"/>
      <c r="S77" s="693"/>
      <c r="T77" s="693"/>
      <c r="U77" s="693"/>
      <c r="V77" s="693"/>
      <c r="W77" s="693"/>
      <c r="X77" s="693"/>
      <c r="Y77" s="693"/>
      <c r="Z77" s="693"/>
      <c r="AA77" s="693"/>
      <c r="AB77" s="693"/>
      <c r="AC77" s="693"/>
      <c r="AD77" s="456"/>
      <c r="AE77" s="94"/>
      <c r="AF77" s="94"/>
      <c r="AG77" s="694"/>
      <c r="AH77" s="694"/>
      <c r="AI77" s="694"/>
      <c r="AJ77" s="694"/>
      <c r="AK77" s="694"/>
      <c r="AL77" s="694"/>
      <c r="AM77" s="694"/>
      <c r="AN77" s="694"/>
      <c r="AO77" s="694"/>
      <c r="AP77" s="694"/>
      <c r="AQ77" s="694"/>
      <c r="AR77" s="694"/>
      <c r="AS77" s="694"/>
      <c r="AT77" s="694"/>
      <c r="AU77" s="694"/>
      <c r="AV77" s="694"/>
      <c r="AW77" s="694"/>
      <c r="AX77" s="694"/>
      <c r="AY77" s="694"/>
      <c r="AZ77" s="694"/>
      <c r="BA77" s="694"/>
      <c r="BB77" s="694"/>
      <c r="BC77" s="694"/>
      <c r="BD77" s="694"/>
      <c r="BE77" s="694"/>
      <c r="BF77" s="694"/>
      <c r="BG77" s="694"/>
    </row>
    <row r="78" spans="1:59" s="468" customFormat="1" x14ac:dyDescent="0.2">
      <c r="D78" s="693"/>
      <c r="E78" s="693"/>
      <c r="F78" s="693"/>
      <c r="G78" s="693"/>
      <c r="H78" s="693"/>
      <c r="I78" s="693"/>
      <c r="J78" s="693"/>
      <c r="K78" s="693"/>
      <c r="L78" s="693"/>
      <c r="M78" s="693"/>
      <c r="N78" s="693"/>
      <c r="O78" s="693"/>
      <c r="P78" s="693"/>
      <c r="Q78" s="693"/>
      <c r="R78" s="693"/>
      <c r="S78" s="693"/>
      <c r="T78" s="693"/>
      <c r="U78" s="693"/>
      <c r="V78" s="693"/>
      <c r="W78" s="693"/>
      <c r="X78" s="693"/>
      <c r="Y78" s="693"/>
      <c r="Z78" s="693"/>
      <c r="AA78" s="693"/>
      <c r="AB78" s="693"/>
      <c r="AC78" s="693"/>
      <c r="AD78" s="456"/>
      <c r="AE78" s="94"/>
      <c r="AF78" s="94"/>
      <c r="AG78" s="694"/>
      <c r="AH78" s="694"/>
      <c r="AI78" s="694"/>
      <c r="AJ78" s="694"/>
      <c r="AK78" s="694"/>
      <c r="AL78" s="694"/>
      <c r="AM78" s="694"/>
      <c r="AN78" s="694"/>
      <c r="AO78" s="694"/>
      <c r="AP78" s="694"/>
      <c r="AQ78" s="694"/>
      <c r="AR78" s="694"/>
      <c r="AS78" s="694"/>
      <c r="AT78" s="694"/>
      <c r="AU78" s="694"/>
      <c r="AV78" s="694"/>
      <c r="AW78" s="694"/>
      <c r="AX78" s="694"/>
      <c r="AY78" s="694"/>
      <c r="AZ78" s="694"/>
      <c r="BA78" s="694"/>
      <c r="BB78" s="694"/>
      <c r="BC78" s="694"/>
      <c r="BD78" s="694"/>
      <c r="BE78" s="694"/>
      <c r="BF78" s="694"/>
      <c r="BG78" s="694"/>
    </row>
    <row r="79" spans="1:59" s="468" customFormat="1" ht="19.7" customHeight="1" x14ac:dyDescent="0.2">
      <c r="A79" s="724" t="s">
        <v>860</v>
      </c>
      <c r="B79" s="724"/>
      <c r="C79" s="724"/>
      <c r="D79" s="724"/>
      <c r="E79" s="724"/>
      <c r="F79" s="724"/>
      <c r="G79" s="724"/>
      <c r="H79" s="724"/>
      <c r="I79" s="724"/>
      <c r="J79" s="724"/>
      <c r="K79" s="724"/>
      <c r="L79" s="724"/>
      <c r="M79" s="724"/>
      <c r="N79" s="724"/>
      <c r="O79" s="724"/>
      <c r="P79" s="724"/>
      <c r="Q79" s="724"/>
      <c r="R79" s="724"/>
      <c r="S79" s="724"/>
      <c r="T79" s="724"/>
      <c r="U79" s="724"/>
      <c r="V79" s="724"/>
      <c r="W79" s="724"/>
      <c r="X79" s="724"/>
      <c r="Y79" s="724"/>
      <c r="Z79" s="724"/>
      <c r="AA79" s="724"/>
      <c r="AB79" s="724"/>
      <c r="AC79" s="724"/>
      <c r="AD79" s="456"/>
      <c r="AE79" s="724" t="s">
        <v>443</v>
      </c>
      <c r="AF79" s="724"/>
      <c r="AG79" s="724"/>
      <c r="AH79" s="724"/>
      <c r="AI79" s="724"/>
      <c r="AJ79" s="724"/>
      <c r="AK79" s="724"/>
      <c r="AL79" s="724"/>
      <c r="AM79" s="724"/>
      <c r="AN79" s="724"/>
      <c r="AO79" s="724"/>
      <c r="AP79" s="724"/>
      <c r="AQ79" s="724"/>
      <c r="AR79" s="724"/>
      <c r="AS79" s="724"/>
      <c r="AT79" s="724"/>
      <c r="AU79" s="724"/>
      <c r="AV79" s="724"/>
      <c r="AW79" s="724"/>
      <c r="AX79" s="724"/>
      <c r="AY79" s="724"/>
      <c r="AZ79" s="724"/>
      <c r="BA79" s="724"/>
      <c r="BB79" s="724"/>
      <c r="BC79" s="724"/>
      <c r="BD79" s="724"/>
      <c r="BE79" s="724"/>
      <c r="BF79" s="724"/>
      <c r="BG79" s="724"/>
    </row>
    <row r="80" spans="1:59" s="481" customFormat="1" x14ac:dyDescent="0.2">
      <c r="A80" s="699" t="s">
        <v>472</v>
      </c>
      <c r="B80" s="699"/>
      <c r="C80" s="694" t="s">
        <v>448</v>
      </c>
      <c r="D80" s="694"/>
      <c r="E80" s="694"/>
      <c r="F80" s="694"/>
      <c r="G80" s="694"/>
      <c r="H80" s="694"/>
      <c r="I80" s="694"/>
      <c r="J80" s="694"/>
      <c r="K80" s="694"/>
      <c r="L80" s="694"/>
      <c r="M80" s="694"/>
      <c r="N80" s="694"/>
      <c r="O80" s="694"/>
      <c r="P80" s="694"/>
      <c r="Q80" s="694"/>
      <c r="R80" s="694"/>
      <c r="S80" s="694"/>
      <c r="T80" s="694"/>
      <c r="U80" s="694"/>
      <c r="V80" s="694"/>
      <c r="W80" s="694"/>
      <c r="X80" s="694"/>
      <c r="Y80" s="694"/>
      <c r="Z80" s="694"/>
      <c r="AA80" s="694"/>
      <c r="AB80" s="694"/>
      <c r="AC80" s="694"/>
      <c r="AD80" s="480"/>
      <c r="AE80" s="88" t="s">
        <v>37</v>
      </c>
      <c r="AF80" s="694" t="str">
        <f>"«Borc alan» tərəfindən təqdim edilən məlumatlar «Borc verən» tərəfindən istənilən vaxt və qeyd-şərtsiz olaraq  «Borc verən»in rəsmi şəxslərinə və  təmsilçilərinə, həmçinin müqavilənin hazırlanması, icrası və qüvvədə olduğu müddət ərzində "&amp;"«Borc verən» tərəfindən cəlb edilən müstəqil məsləhətçilərə, ekspertlərə, müşavirlərə, kənar auditorlara  və siğorta təşkilatının əməkdaşlarına, o cümlədən Mərkəzləşdirilmiş Kredit Reyestrinə "&amp;"verilə bilər və bu məxfiliyin pozulması kimi qiymətləndirilə bilməz."</f>
        <v>«Borc alan» tərəfindən təqdim edilən məlumatlar «Borc verən» tərəfindən istənilən vaxt və qeyd-şərtsiz olaraq  «Borc verən»in rəsmi şəxslərinə və  təmsilçilərinə, həmçinin müqavilənin hazırlanması, icrası və qüvvədə olduğu müddət ərzində «Borc verən» tərəfindən cəlb edilən müstəqil məsləhətçilərə, ekspertlərə, müşavirlərə, kənar auditorlara  və siğorta təşkilatının əməkdaşlarına, o cümlədən Mərkəzləşdirilmiş Kredit Reyestrinə verilə bilər və bu məxfiliyin pozulması kimi qiymətləndirilə bilməz.</v>
      </c>
      <c r="AG80" s="694"/>
      <c r="AH80" s="694"/>
      <c r="AI80" s="694"/>
      <c r="AJ80" s="694"/>
      <c r="AK80" s="694"/>
      <c r="AL80" s="694"/>
      <c r="AM80" s="694"/>
      <c r="AN80" s="694"/>
      <c r="AO80" s="694"/>
      <c r="AP80" s="694"/>
      <c r="AQ80" s="694"/>
      <c r="AR80" s="694"/>
      <c r="AS80" s="694"/>
      <c r="AT80" s="694"/>
      <c r="AU80" s="694"/>
      <c r="AV80" s="694"/>
      <c r="AW80" s="694"/>
      <c r="AX80" s="694"/>
      <c r="AY80" s="694"/>
      <c r="AZ80" s="694"/>
      <c r="BA80" s="694"/>
      <c r="BB80" s="694"/>
      <c r="BC80" s="694"/>
      <c r="BD80" s="694"/>
      <c r="BE80" s="694"/>
      <c r="BF80" s="694"/>
      <c r="BG80" s="694"/>
    </row>
    <row r="81" spans="1:59" s="481" customFormat="1" x14ac:dyDescent="0.2">
      <c r="A81" s="461"/>
      <c r="B81" s="461"/>
      <c r="C81" s="694"/>
      <c r="D81" s="694"/>
      <c r="E81" s="694"/>
      <c r="F81" s="694"/>
      <c r="G81" s="694"/>
      <c r="H81" s="694"/>
      <c r="I81" s="694"/>
      <c r="J81" s="694"/>
      <c r="K81" s="694"/>
      <c r="L81" s="694"/>
      <c r="M81" s="694"/>
      <c r="N81" s="694"/>
      <c r="O81" s="694"/>
      <c r="P81" s="694"/>
      <c r="Q81" s="694"/>
      <c r="R81" s="694"/>
      <c r="S81" s="694"/>
      <c r="T81" s="694"/>
      <c r="U81" s="694"/>
      <c r="V81" s="694"/>
      <c r="W81" s="694"/>
      <c r="X81" s="694"/>
      <c r="Y81" s="694"/>
      <c r="Z81" s="694"/>
      <c r="AA81" s="694"/>
      <c r="AB81" s="694"/>
      <c r="AC81" s="694"/>
      <c r="AD81" s="480"/>
      <c r="AE81" s="94"/>
      <c r="AF81" s="694"/>
      <c r="AG81" s="694"/>
      <c r="AH81" s="694"/>
      <c r="AI81" s="694"/>
      <c r="AJ81" s="694"/>
      <c r="AK81" s="694"/>
      <c r="AL81" s="694"/>
      <c r="AM81" s="694"/>
      <c r="AN81" s="694"/>
      <c r="AO81" s="694"/>
      <c r="AP81" s="694"/>
      <c r="AQ81" s="694"/>
      <c r="AR81" s="694"/>
      <c r="AS81" s="694"/>
      <c r="AT81" s="694"/>
      <c r="AU81" s="694"/>
      <c r="AV81" s="694"/>
      <c r="AW81" s="694"/>
      <c r="AX81" s="694"/>
      <c r="AY81" s="694"/>
      <c r="AZ81" s="694"/>
      <c r="BA81" s="694"/>
      <c r="BB81" s="694"/>
      <c r="BC81" s="694"/>
      <c r="BD81" s="694"/>
      <c r="BE81" s="694"/>
      <c r="BF81" s="694"/>
      <c r="BG81" s="694"/>
    </row>
    <row r="82" spans="1:59" s="481" customFormat="1" x14ac:dyDescent="0.2">
      <c r="A82" s="466"/>
      <c r="B82" s="466"/>
      <c r="C82" s="694"/>
      <c r="D82" s="694"/>
      <c r="E82" s="694"/>
      <c r="F82" s="694"/>
      <c r="G82" s="694"/>
      <c r="H82" s="694"/>
      <c r="I82" s="694"/>
      <c r="J82" s="694"/>
      <c r="K82" s="694"/>
      <c r="L82" s="694"/>
      <c r="M82" s="694"/>
      <c r="N82" s="694"/>
      <c r="O82" s="694"/>
      <c r="P82" s="694"/>
      <c r="Q82" s="694"/>
      <c r="R82" s="694"/>
      <c r="S82" s="694"/>
      <c r="T82" s="694"/>
      <c r="U82" s="694"/>
      <c r="V82" s="694"/>
      <c r="W82" s="694"/>
      <c r="X82" s="694"/>
      <c r="Y82" s="694"/>
      <c r="Z82" s="694"/>
      <c r="AA82" s="694"/>
      <c r="AB82" s="694"/>
      <c r="AC82" s="694"/>
      <c r="AD82" s="480"/>
      <c r="AE82" s="94"/>
      <c r="AF82" s="694"/>
      <c r="AG82" s="694"/>
      <c r="AH82" s="694"/>
      <c r="AI82" s="694"/>
      <c r="AJ82" s="694"/>
      <c r="AK82" s="694"/>
      <c r="AL82" s="694"/>
      <c r="AM82" s="694"/>
      <c r="AN82" s="694"/>
      <c r="AO82" s="694"/>
      <c r="AP82" s="694"/>
      <c r="AQ82" s="694"/>
      <c r="AR82" s="694"/>
      <c r="AS82" s="694"/>
      <c r="AT82" s="694"/>
      <c r="AU82" s="694"/>
      <c r="AV82" s="694"/>
      <c r="AW82" s="694"/>
      <c r="AX82" s="694"/>
      <c r="AY82" s="694"/>
      <c r="AZ82" s="694"/>
      <c r="BA82" s="694"/>
      <c r="BB82" s="694"/>
      <c r="BC82" s="694"/>
      <c r="BD82" s="694"/>
      <c r="BE82" s="694"/>
      <c r="BF82" s="694"/>
      <c r="BG82" s="694"/>
    </row>
    <row r="83" spans="1:59" s="481" customForma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c r="W83" s="468"/>
      <c r="X83" s="468"/>
      <c r="Y83" s="468"/>
      <c r="Z83" s="468"/>
      <c r="AA83" s="468"/>
      <c r="AB83" s="468"/>
      <c r="AC83" s="468"/>
      <c r="AD83" s="480"/>
      <c r="AE83" s="94"/>
      <c r="AF83" s="694"/>
      <c r="AG83" s="694"/>
      <c r="AH83" s="694"/>
      <c r="AI83" s="694"/>
      <c r="AJ83" s="694"/>
      <c r="AK83" s="694"/>
      <c r="AL83" s="694"/>
      <c r="AM83" s="694"/>
      <c r="AN83" s="694"/>
      <c r="AO83" s="694"/>
      <c r="AP83" s="694"/>
      <c r="AQ83" s="694"/>
      <c r="AR83" s="694"/>
      <c r="AS83" s="694"/>
      <c r="AT83" s="694"/>
      <c r="AU83" s="694"/>
      <c r="AV83" s="694"/>
      <c r="AW83" s="694"/>
      <c r="AX83" s="694"/>
      <c r="AY83" s="694"/>
      <c r="AZ83" s="694"/>
      <c r="BA83" s="694"/>
      <c r="BB83" s="694"/>
      <c r="BC83" s="694"/>
      <c r="BD83" s="694"/>
      <c r="BE83" s="694"/>
      <c r="BF83" s="694"/>
      <c r="BG83" s="694"/>
    </row>
    <row r="84" spans="1:59" s="481" customFormat="1" x14ac:dyDescent="0.2">
      <c r="A84" s="711" t="s">
        <v>50</v>
      </c>
      <c r="B84" s="711"/>
      <c r="C84" s="711"/>
      <c r="D84" s="711"/>
      <c r="E84" s="711"/>
      <c r="F84" s="711"/>
      <c r="G84" s="711"/>
      <c r="H84" s="711"/>
      <c r="I84" s="711"/>
      <c r="J84" s="711"/>
      <c r="K84" s="711"/>
      <c r="L84" s="711"/>
      <c r="M84" s="711"/>
      <c r="N84" s="711"/>
      <c r="O84" s="711"/>
      <c r="P84" s="711"/>
      <c r="Q84" s="711"/>
      <c r="R84" s="711"/>
      <c r="S84" s="711"/>
      <c r="T84" s="711"/>
      <c r="U84" s="711"/>
      <c r="V84" s="711"/>
      <c r="W84" s="711"/>
      <c r="X84" s="711"/>
      <c r="Y84" s="711"/>
      <c r="Z84" s="711"/>
      <c r="AA84" s="711"/>
      <c r="AB84" s="711"/>
      <c r="AC84" s="711"/>
      <c r="AD84" s="480"/>
      <c r="AE84" s="468"/>
      <c r="AF84" s="694"/>
      <c r="AG84" s="694"/>
      <c r="AH84" s="694"/>
      <c r="AI84" s="694"/>
      <c r="AJ84" s="694"/>
      <c r="AK84" s="694"/>
      <c r="AL84" s="694"/>
      <c r="AM84" s="694"/>
      <c r="AN84" s="694"/>
      <c r="AO84" s="694"/>
      <c r="AP84" s="694"/>
      <c r="AQ84" s="694"/>
      <c r="AR84" s="694"/>
      <c r="AS84" s="694"/>
      <c r="AT84" s="694"/>
      <c r="AU84" s="694"/>
      <c r="AV84" s="694"/>
      <c r="AW84" s="694"/>
      <c r="AX84" s="694"/>
      <c r="AY84" s="694"/>
      <c r="AZ84" s="694"/>
      <c r="BA84" s="694"/>
      <c r="BB84" s="694"/>
      <c r="BC84" s="694"/>
      <c r="BD84" s="694"/>
      <c r="BE84" s="694"/>
      <c r="BF84" s="694"/>
      <c r="BG84" s="694"/>
    </row>
    <row r="85" spans="1:59" s="481" customFormat="1" x14ac:dyDescent="0.2">
      <c r="A85" s="472"/>
      <c r="B85" s="472"/>
      <c r="C85" s="472"/>
      <c r="D85" s="472"/>
      <c r="E85" s="472"/>
      <c r="F85" s="472"/>
      <c r="G85" s="472"/>
      <c r="H85" s="472"/>
      <c r="I85" s="472"/>
      <c r="J85" s="472"/>
      <c r="K85" s="472"/>
      <c r="L85" s="472"/>
      <c r="M85" s="472"/>
      <c r="N85" s="472"/>
      <c r="O85" s="472"/>
      <c r="P85" s="472"/>
      <c r="Q85" s="472"/>
      <c r="R85" s="472"/>
      <c r="S85" s="472"/>
      <c r="T85" s="472"/>
      <c r="U85" s="472"/>
      <c r="V85" s="472"/>
      <c r="W85" s="472"/>
      <c r="X85" s="472"/>
      <c r="Y85" s="472"/>
      <c r="Z85" s="472"/>
      <c r="AA85" s="472"/>
      <c r="AB85" s="472"/>
      <c r="AC85" s="472"/>
      <c r="AD85" s="480"/>
      <c r="AE85" s="94"/>
      <c r="AF85" s="694"/>
      <c r="AG85" s="694"/>
      <c r="AH85" s="694"/>
      <c r="AI85" s="694"/>
      <c r="AJ85" s="694"/>
      <c r="AK85" s="694"/>
      <c r="AL85" s="694"/>
      <c r="AM85" s="694"/>
      <c r="AN85" s="694"/>
      <c r="AO85" s="694"/>
      <c r="AP85" s="694"/>
      <c r="AQ85" s="694"/>
      <c r="AR85" s="694"/>
      <c r="AS85" s="694"/>
      <c r="AT85" s="694"/>
      <c r="AU85" s="694"/>
      <c r="AV85" s="694"/>
      <c r="AW85" s="694"/>
      <c r="AX85" s="694"/>
      <c r="AY85" s="694"/>
      <c r="AZ85" s="694"/>
      <c r="BA85" s="694"/>
      <c r="BB85" s="694"/>
      <c r="BC85" s="694"/>
      <c r="BD85" s="694"/>
      <c r="BE85" s="694"/>
      <c r="BF85" s="694"/>
      <c r="BG85" s="694"/>
    </row>
    <row r="86" spans="1:59" s="481" customFormat="1" x14ac:dyDescent="0.2">
      <c r="A86" s="88" t="s">
        <v>48</v>
      </c>
      <c r="B86" s="694" t="str">
        <f>"«Borc alan» kreditin ödənilməsi üzrə öhdəliyi vaxtlı-vaxtında yerinə yetirmədiyi və kreditdən istifadəyə görə faizləri və krediti ödəmədiyi təqdirdə gecikdirilmiş  əsas məbləğin 1 (bir) faizi mə"&amp;"bləğində dəbbə pulunu (cərimə) hər yubanma günü üçün «Borc verən»in  xeyrinə ödəməyə borcludur."</f>
        <v>«Borc alan» kreditin ödənilməsi üzrə öhdəliyi vaxtlı-vaxtında yerinə yetirmədiyi və kreditdən istifadəyə görə faizləri və krediti ödəmədiyi təqdirdə gecikdirilmiş  əsas məbləğin 1 (bir) faizi məbləğində dəbbə pulunu (cərimə) hər yubanma günü üçün «Borc verən»in  xeyrinə ödəməyə borcludur.</v>
      </c>
      <c r="C86" s="694"/>
      <c r="D86" s="694"/>
      <c r="E86" s="694"/>
      <c r="F86" s="694"/>
      <c r="G86" s="694"/>
      <c r="H86" s="694"/>
      <c r="I86" s="694"/>
      <c r="J86" s="694"/>
      <c r="K86" s="694"/>
      <c r="L86" s="694"/>
      <c r="M86" s="694"/>
      <c r="N86" s="694"/>
      <c r="O86" s="694"/>
      <c r="P86" s="694"/>
      <c r="Q86" s="694"/>
      <c r="R86" s="694"/>
      <c r="S86" s="694"/>
      <c r="T86" s="694"/>
      <c r="U86" s="694"/>
      <c r="V86" s="694"/>
      <c r="W86" s="694"/>
      <c r="X86" s="694"/>
      <c r="Y86" s="694"/>
      <c r="Z86" s="694"/>
      <c r="AA86" s="694"/>
      <c r="AB86" s="694"/>
      <c r="AC86" s="694"/>
      <c r="AD86" s="480"/>
      <c r="AE86" s="94"/>
      <c r="AF86" s="694"/>
      <c r="AG86" s="694"/>
      <c r="AH86" s="694"/>
      <c r="AI86" s="694"/>
      <c r="AJ86" s="694"/>
      <c r="AK86" s="694"/>
      <c r="AL86" s="694"/>
      <c r="AM86" s="694"/>
      <c r="AN86" s="694"/>
      <c r="AO86" s="694"/>
      <c r="AP86" s="694"/>
      <c r="AQ86" s="694"/>
      <c r="AR86" s="694"/>
      <c r="AS86" s="694"/>
      <c r="AT86" s="694"/>
      <c r="AU86" s="694"/>
      <c r="AV86" s="694"/>
      <c r="AW86" s="694"/>
      <c r="AX86" s="694"/>
      <c r="AY86" s="694"/>
      <c r="AZ86" s="694"/>
      <c r="BA86" s="694"/>
      <c r="BB86" s="694"/>
      <c r="BC86" s="694"/>
      <c r="BD86" s="694"/>
      <c r="BE86" s="694"/>
      <c r="BF86" s="694"/>
      <c r="BG86" s="694"/>
    </row>
    <row r="87" spans="1:59" s="481" customFormat="1" x14ac:dyDescent="0.2">
      <c r="A87" s="94"/>
      <c r="B87" s="694"/>
      <c r="C87" s="694"/>
      <c r="D87" s="694"/>
      <c r="E87" s="694"/>
      <c r="F87" s="694"/>
      <c r="G87" s="694"/>
      <c r="H87" s="694"/>
      <c r="I87" s="694"/>
      <c r="J87" s="694"/>
      <c r="K87" s="694"/>
      <c r="L87" s="694"/>
      <c r="M87" s="694"/>
      <c r="N87" s="694"/>
      <c r="O87" s="694"/>
      <c r="P87" s="694"/>
      <c r="Q87" s="694"/>
      <c r="R87" s="694"/>
      <c r="S87" s="694"/>
      <c r="T87" s="694"/>
      <c r="U87" s="694"/>
      <c r="V87" s="694"/>
      <c r="W87" s="694"/>
      <c r="X87" s="694"/>
      <c r="Y87" s="694"/>
      <c r="Z87" s="694"/>
      <c r="AA87" s="694"/>
      <c r="AB87" s="694"/>
      <c r="AC87" s="694"/>
      <c r="AD87" s="480"/>
      <c r="AE87" s="460" t="s">
        <v>859</v>
      </c>
      <c r="AF87" s="694" t="s">
        <v>866</v>
      </c>
      <c r="AG87" s="694"/>
      <c r="AH87" s="694"/>
      <c r="AI87" s="694"/>
      <c r="AJ87" s="694"/>
      <c r="AK87" s="694"/>
      <c r="AL87" s="694"/>
      <c r="AM87" s="694"/>
      <c r="AN87" s="694"/>
      <c r="AO87" s="694"/>
      <c r="AP87" s="694"/>
      <c r="AQ87" s="694"/>
      <c r="AR87" s="694"/>
      <c r="AS87" s="694"/>
      <c r="AT87" s="694"/>
      <c r="AU87" s="694"/>
      <c r="AV87" s="694"/>
      <c r="AW87" s="694"/>
      <c r="AX87" s="694"/>
      <c r="AY87" s="694"/>
      <c r="AZ87" s="694"/>
      <c r="BA87" s="694"/>
      <c r="BB87" s="694"/>
      <c r="BC87" s="694"/>
      <c r="BD87" s="694"/>
      <c r="BE87" s="694"/>
      <c r="BF87" s="694"/>
      <c r="BG87" s="694"/>
    </row>
    <row r="88" spans="1:59" s="481" customFormat="1" x14ac:dyDescent="0.2">
      <c r="A88" s="94"/>
      <c r="B88" s="694"/>
      <c r="C88" s="694"/>
      <c r="D88" s="694"/>
      <c r="E88" s="694"/>
      <c r="F88" s="694"/>
      <c r="G88" s="694"/>
      <c r="H88" s="694"/>
      <c r="I88" s="694"/>
      <c r="J88" s="694"/>
      <c r="K88" s="694"/>
      <c r="L88" s="694"/>
      <c r="M88" s="694"/>
      <c r="N88" s="694"/>
      <c r="O88" s="694"/>
      <c r="P88" s="694"/>
      <c r="Q88" s="694"/>
      <c r="R88" s="694"/>
      <c r="S88" s="694"/>
      <c r="T88" s="694"/>
      <c r="U88" s="694"/>
      <c r="V88" s="694"/>
      <c r="W88" s="694"/>
      <c r="X88" s="694"/>
      <c r="Y88" s="694"/>
      <c r="Z88" s="694"/>
      <c r="AA88" s="694"/>
      <c r="AB88" s="694"/>
      <c r="AC88" s="694"/>
      <c r="AD88" s="480"/>
      <c r="AE88" s="468"/>
      <c r="AF88" s="694"/>
      <c r="AG88" s="694"/>
      <c r="AH88" s="694"/>
      <c r="AI88" s="694"/>
      <c r="AJ88" s="694"/>
      <c r="AK88" s="694"/>
      <c r="AL88" s="694"/>
      <c r="AM88" s="694"/>
      <c r="AN88" s="694"/>
      <c r="AO88" s="694"/>
      <c r="AP88" s="694"/>
      <c r="AQ88" s="694"/>
      <c r="AR88" s="694"/>
      <c r="AS88" s="694"/>
      <c r="AT88" s="694"/>
      <c r="AU88" s="694"/>
      <c r="AV88" s="694"/>
      <c r="AW88" s="694"/>
      <c r="AX88" s="694"/>
      <c r="AY88" s="694"/>
      <c r="AZ88" s="694"/>
      <c r="BA88" s="694"/>
      <c r="BB88" s="694"/>
      <c r="BC88" s="694"/>
      <c r="BD88" s="694"/>
      <c r="BE88" s="694"/>
      <c r="BF88" s="694"/>
      <c r="BG88" s="694"/>
    </row>
    <row r="89" spans="1:59" s="481" customFormat="1" x14ac:dyDescent="0.2">
      <c r="A89" s="95"/>
      <c r="B89" s="694"/>
      <c r="C89" s="694"/>
      <c r="D89" s="694"/>
      <c r="E89" s="694"/>
      <c r="F89" s="694"/>
      <c r="G89" s="694"/>
      <c r="H89" s="694"/>
      <c r="I89" s="694"/>
      <c r="J89" s="694"/>
      <c r="K89" s="694"/>
      <c r="L89" s="694"/>
      <c r="M89" s="694"/>
      <c r="N89" s="694"/>
      <c r="O89" s="694"/>
      <c r="P89" s="694"/>
      <c r="Q89" s="694"/>
      <c r="R89" s="694"/>
      <c r="S89" s="694"/>
      <c r="T89" s="694"/>
      <c r="U89" s="694"/>
      <c r="V89" s="694"/>
      <c r="W89" s="694"/>
      <c r="X89" s="694"/>
      <c r="Y89" s="694"/>
      <c r="Z89" s="694"/>
      <c r="AA89" s="694"/>
      <c r="AB89" s="694"/>
      <c r="AC89" s="694"/>
      <c r="AD89" s="480"/>
      <c r="AE89" s="468"/>
      <c r="AF89" s="694"/>
      <c r="AG89" s="694"/>
      <c r="AH89" s="694"/>
      <c r="AI89" s="694"/>
      <c r="AJ89" s="694"/>
      <c r="AK89" s="694"/>
      <c r="AL89" s="694"/>
      <c r="AM89" s="694"/>
      <c r="AN89" s="694"/>
      <c r="AO89" s="694"/>
      <c r="AP89" s="694"/>
      <c r="AQ89" s="694"/>
      <c r="AR89" s="694"/>
      <c r="AS89" s="694"/>
      <c r="AT89" s="694"/>
      <c r="AU89" s="694"/>
      <c r="AV89" s="694"/>
      <c r="AW89" s="694"/>
      <c r="AX89" s="694"/>
      <c r="AY89" s="694"/>
      <c r="AZ89" s="694"/>
      <c r="BA89" s="694"/>
      <c r="BB89" s="694"/>
      <c r="BC89" s="694"/>
      <c r="BD89" s="694"/>
      <c r="BE89" s="694"/>
      <c r="BF89" s="694"/>
      <c r="BG89" s="694"/>
    </row>
    <row r="90" spans="1:59" s="481" customFormat="1" x14ac:dyDescent="0.2">
      <c r="A90" s="94"/>
      <c r="B90" s="94"/>
      <c r="C90" s="94"/>
      <c r="D90" s="94"/>
      <c r="E90" s="94"/>
      <c r="F90" s="94"/>
      <c r="G90" s="94"/>
      <c r="H90" s="94"/>
      <c r="I90" s="94"/>
      <c r="J90" s="94"/>
      <c r="K90" s="94"/>
      <c r="L90" s="94"/>
      <c r="M90" s="94"/>
      <c r="N90" s="94"/>
      <c r="O90" s="94"/>
      <c r="P90" s="94"/>
      <c r="Q90" s="94"/>
      <c r="R90" s="94"/>
      <c r="S90" s="94"/>
      <c r="T90" s="94"/>
      <c r="U90" s="94"/>
      <c r="V90" s="94"/>
      <c r="W90" s="94"/>
      <c r="X90" s="94"/>
      <c r="Y90" s="94"/>
      <c r="Z90" s="94"/>
      <c r="AA90" s="94"/>
      <c r="AB90" s="94"/>
      <c r="AC90" s="94"/>
      <c r="AD90" s="480"/>
      <c r="AE90" s="468"/>
      <c r="AF90" s="694"/>
      <c r="AG90" s="694"/>
      <c r="AH90" s="694"/>
      <c r="AI90" s="694"/>
      <c r="AJ90" s="694"/>
      <c r="AK90" s="694"/>
      <c r="AL90" s="694"/>
      <c r="AM90" s="694"/>
      <c r="AN90" s="694"/>
      <c r="AO90" s="694"/>
      <c r="AP90" s="694"/>
      <c r="AQ90" s="694"/>
      <c r="AR90" s="694"/>
      <c r="AS90" s="694"/>
      <c r="AT90" s="694"/>
      <c r="AU90" s="694"/>
      <c r="AV90" s="694"/>
      <c r="AW90" s="694"/>
      <c r="AX90" s="694"/>
      <c r="AY90" s="694"/>
      <c r="AZ90" s="694"/>
      <c r="BA90" s="694"/>
      <c r="BB90" s="694"/>
      <c r="BC90" s="694"/>
      <c r="BD90" s="694"/>
      <c r="BE90" s="694"/>
      <c r="BF90" s="694"/>
      <c r="BG90" s="694"/>
    </row>
    <row r="91" spans="1:59" s="481" customFormat="1" x14ac:dyDescent="0.2">
      <c r="A91" s="711" t="s">
        <v>643</v>
      </c>
      <c r="B91" s="711"/>
      <c r="C91" s="711"/>
      <c r="D91" s="711"/>
      <c r="E91" s="711"/>
      <c r="F91" s="711"/>
      <c r="G91" s="711"/>
      <c r="H91" s="711"/>
      <c r="I91" s="711"/>
      <c r="J91" s="711"/>
      <c r="K91" s="711"/>
      <c r="L91" s="711"/>
      <c r="M91" s="711"/>
      <c r="N91" s="711"/>
      <c r="O91" s="711"/>
      <c r="P91" s="711"/>
      <c r="Q91" s="711"/>
      <c r="R91" s="711"/>
      <c r="S91" s="711"/>
      <c r="T91" s="711"/>
      <c r="U91" s="711"/>
      <c r="V91" s="711"/>
      <c r="W91" s="711"/>
      <c r="X91" s="711"/>
      <c r="Y91" s="711"/>
      <c r="Z91" s="711"/>
      <c r="AA91" s="711"/>
      <c r="AB91" s="711"/>
      <c r="AC91" s="711"/>
      <c r="AD91" s="480"/>
      <c r="AE91" s="468"/>
      <c r="AF91" s="694"/>
      <c r="AG91" s="694"/>
      <c r="AH91" s="694"/>
      <c r="AI91" s="694"/>
      <c r="AJ91" s="694"/>
      <c r="AK91" s="694"/>
      <c r="AL91" s="694"/>
      <c r="AM91" s="694"/>
      <c r="AN91" s="694"/>
      <c r="AO91" s="694"/>
      <c r="AP91" s="694"/>
      <c r="AQ91" s="694"/>
      <c r="AR91" s="694"/>
      <c r="AS91" s="694"/>
      <c r="AT91" s="694"/>
      <c r="AU91" s="694"/>
      <c r="AV91" s="694"/>
      <c r="AW91" s="694"/>
      <c r="AX91" s="694"/>
      <c r="AY91" s="694"/>
      <c r="AZ91" s="694"/>
      <c r="BA91" s="694"/>
      <c r="BB91" s="694"/>
      <c r="BC91" s="694"/>
      <c r="BD91" s="694"/>
      <c r="BE91" s="694"/>
      <c r="BF91" s="694"/>
      <c r="BG91" s="694"/>
    </row>
    <row r="92" spans="1:59" s="481" customFormat="1" x14ac:dyDescent="0.2">
      <c r="A92" s="468"/>
      <c r="B92" s="468"/>
      <c r="C92" s="468"/>
      <c r="D92" s="468"/>
      <c r="E92" s="468"/>
      <c r="F92" s="468"/>
      <c r="G92" s="468"/>
      <c r="H92" s="468"/>
      <c r="I92" s="468"/>
      <c r="J92" s="468"/>
      <c r="K92" s="468"/>
      <c r="L92" s="468"/>
      <c r="M92" s="468"/>
      <c r="N92" s="468"/>
      <c r="O92" s="468"/>
      <c r="P92" s="468"/>
      <c r="Q92" s="468"/>
      <c r="R92" s="468"/>
      <c r="S92" s="468"/>
      <c r="T92" s="468"/>
      <c r="U92" s="468"/>
      <c r="V92" s="468"/>
      <c r="W92" s="468"/>
      <c r="X92" s="468"/>
      <c r="Y92" s="468"/>
      <c r="Z92" s="468"/>
      <c r="AA92" s="468"/>
      <c r="AB92" s="468"/>
      <c r="AC92" s="468"/>
      <c r="AD92" s="480"/>
    </row>
    <row r="93" spans="1:59" s="481" customFormat="1" x14ac:dyDescent="0.2">
      <c r="A93" s="97" t="s">
        <v>45</v>
      </c>
      <c r="B93" s="694" t="s">
        <v>38</v>
      </c>
      <c r="C93" s="694"/>
      <c r="D93" s="694"/>
      <c r="E93" s="694"/>
      <c r="F93" s="694"/>
      <c r="G93" s="694"/>
      <c r="H93" s="694"/>
      <c r="I93" s="694"/>
      <c r="J93" s="694"/>
      <c r="K93" s="694"/>
      <c r="L93" s="694"/>
      <c r="M93" s="694"/>
      <c r="N93" s="694"/>
      <c r="O93" s="694"/>
      <c r="P93" s="694"/>
      <c r="Q93" s="694"/>
      <c r="R93" s="694"/>
      <c r="S93" s="694"/>
      <c r="T93" s="694"/>
      <c r="U93" s="694"/>
      <c r="V93" s="694"/>
      <c r="W93" s="694"/>
      <c r="X93" s="694"/>
      <c r="Y93" s="694"/>
      <c r="Z93" s="694"/>
      <c r="AA93" s="694"/>
      <c r="AB93" s="694"/>
      <c r="AC93" s="694"/>
      <c r="AD93" s="480"/>
      <c r="AE93" s="707" t="s">
        <v>648</v>
      </c>
      <c r="AF93" s="708"/>
      <c r="AG93" s="708"/>
      <c r="AH93" s="708"/>
      <c r="AI93" s="708"/>
      <c r="AJ93" s="708"/>
      <c r="AK93" s="708"/>
      <c r="AL93" s="708"/>
      <c r="AM93" s="708"/>
      <c r="AN93" s="708"/>
      <c r="AO93" s="708"/>
      <c r="AP93" s="708"/>
      <c r="AQ93" s="708"/>
      <c r="AR93" s="708"/>
      <c r="AS93" s="708"/>
      <c r="AT93" s="708"/>
      <c r="AU93" s="708"/>
      <c r="AV93" s="708"/>
      <c r="AW93" s="708"/>
      <c r="AX93" s="708"/>
      <c r="AY93" s="708"/>
      <c r="AZ93" s="708"/>
      <c r="BA93" s="708"/>
      <c r="BB93" s="708"/>
      <c r="BC93" s="708"/>
      <c r="BD93" s="708"/>
      <c r="BE93" s="708"/>
      <c r="BF93" s="708"/>
      <c r="BG93" s="708"/>
    </row>
    <row r="94" spans="1:59" s="481" customFormat="1" x14ac:dyDescent="0.2">
      <c r="A94" s="94"/>
      <c r="B94" s="694"/>
      <c r="C94" s="694"/>
      <c r="D94" s="694"/>
      <c r="E94" s="694"/>
      <c r="F94" s="694"/>
      <c r="G94" s="694"/>
      <c r="H94" s="694"/>
      <c r="I94" s="694"/>
      <c r="J94" s="694"/>
      <c r="K94" s="694"/>
      <c r="L94" s="694"/>
      <c r="M94" s="694"/>
      <c r="N94" s="694"/>
      <c r="O94" s="694"/>
      <c r="P94" s="694"/>
      <c r="Q94" s="694"/>
      <c r="R94" s="694"/>
      <c r="S94" s="694"/>
      <c r="T94" s="694"/>
      <c r="U94" s="694"/>
      <c r="V94" s="694"/>
      <c r="W94" s="694"/>
      <c r="X94" s="694"/>
      <c r="Y94" s="694"/>
      <c r="Z94" s="694"/>
      <c r="AA94" s="694"/>
      <c r="AB94" s="694"/>
      <c r="AC94" s="694"/>
      <c r="AD94" s="480"/>
      <c r="AE94" s="462"/>
      <c r="AF94" s="463"/>
      <c r="AG94" s="463"/>
      <c r="AH94" s="463"/>
      <c r="AI94" s="463"/>
      <c r="AJ94" s="463"/>
      <c r="AK94" s="463"/>
      <c r="AL94" s="463"/>
      <c r="AM94" s="463"/>
      <c r="AN94" s="463"/>
      <c r="AO94" s="463"/>
      <c r="AP94" s="463"/>
      <c r="AQ94" s="463"/>
      <c r="AR94" s="463"/>
      <c r="AS94" s="463"/>
      <c r="AT94" s="463"/>
      <c r="AU94" s="463"/>
      <c r="AV94" s="463"/>
      <c r="AW94" s="463"/>
      <c r="AX94" s="463"/>
      <c r="AY94" s="463"/>
      <c r="AZ94" s="463"/>
      <c r="BA94" s="463"/>
      <c r="BB94" s="463"/>
      <c r="BC94" s="463"/>
      <c r="BD94" s="463"/>
      <c r="BE94" s="463"/>
      <c r="BF94" s="463"/>
      <c r="BG94" s="463"/>
    </row>
    <row r="95" spans="1:59" s="481" customFormat="1" x14ac:dyDescent="0.2">
      <c r="A95" s="94"/>
      <c r="B95" s="694"/>
      <c r="C95" s="694"/>
      <c r="D95" s="694"/>
      <c r="E95" s="694"/>
      <c r="F95" s="694"/>
      <c r="G95" s="694"/>
      <c r="H95" s="694"/>
      <c r="I95" s="694"/>
      <c r="J95" s="694"/>
      <c r="K95" s="694"/>
      <c r="L95" s="694"/>
      <c r="M95" s="694"/>
      <c r="N95" s="694"/>
      <c r="O95" s="694"/>
      <c r="P95" s="694"/>
      <c r="Q95" s="694"/>
      <c r="R95" s="694"/>
      <c r="S95" s="694"/>
      <c r="T95" s="694"/>
      <c r="U95" s="694"/>
      <c r="V95" s="694"/>
      <c r="W95" s="694"/>
      <c r="X95" s="694"/>
      <c r="Y95" s="694"/>
      <c r="Z95" s="694"/>
      <c r="AA95" s="694"/>
      <c r="AB95" s="694"/>
      <c r="AC95" s="694"/>
      <c r="AD95" s="480"/>
      <c r="AE95" s="179" t="s">
        <v>110</v>
      </c>
      <c r="AF95" s="709" t="s">
        <v>425</v>
      </c>
      <c r="AG95" s="709"/>
      <c r="AH95" s="709"/>
      <c r="AI95" s="709"/>
      <c r="AJ95" s="709"/>
      <c r="AK95" s="709"/>
      <c r="AL95" s="709"/>
      <c r="AM95" s="709"/>
      <c r="AN95" s="709"/>
      <c r="AO95" s="709"/>
      <c r="AP95" s="709"/>
      <c r="AQ95" s="709"/>
      <c r="AR95" s="709"/>
      <c r="AS95" s="709"/>
      <c r="AT95" s="709"/>
      <c r="AU95" s="709"/>
      <c r="AV95" s="709"/>
      <c r="AW95" s="709"/>
      <c r="AX95" s="709"/>
      <c r="AY95" s="709"/>
      <c r="AZ95" s="709"/>
      <c r="BA95" s="709"/>
      <c r="BB95" s="709"/>
      <c r="BC95" s="709"/>
      <c r="BD95" s="709"/>
      <c r="BE95" s="709"/>
      <c r="BF95" s="709"/>
      <c r="BG95" s="709"/>
    </row>
    <row r="96" spans="1:59" s="481" customFormat="1" x14ac:dyDescent="0.2">
      <c r="A96" s="97" t="s">
        <v>44</v>
      </c>
      <c r="B96" s="694" t="s">
        <v>642</v>
      </c>
      <c r="C96" s="694"/>
      <c r="D96" s="694"/>
      <c r="E96" s="694"/>
      <c r="F96" s="694"/>
      <c r="G96" s="694"/>
      <c r="H96" s="694"/>
      <c r="I96" s="694"/>
      <c r="J96" s="694"/>
      <c r="K96" s="694"/>
      <c r="L96" s="694"/>
      <c r="M96" s="694"/>
      <c r="N96" s="694"/>
      <c r="O96" s="694"/>
      <c r="P96" s="694"/>
      <c r="Q96" s="694"/>
      <c r="R96" s="694"/>
      <c r="S96" s="694"/>
      <c r="T96" s="694"/>
      <c r="U96" s="694"/>
      <c r="V96" s="694"/>
      <c r="W96" s="694"/>
      <c r="X96" s="694"/>
      <c r="Y96" s="694"/>
      <c r="Z96" s="694"/>
      <c r="AA96" s="694"/>
      <c r="AB96" s="694"/>
      <c r="AC96" s="694"/>
      <c r="AD96" s="480"/>
      <c r="AE96" s="158"/>
      <c r="AF96" s="709"/>
      <c r="AG96" s="709"/>
      <c r="AH96" s="709"/>
      <c r="AI96" s="709"/>
      <c r="AJ96" s="709"/>
      <c r="AK96" s="709"/>
      <c r="AL96" s="709"/>
      <c r="AM96" s="709"/>
      <c r="AN96" s="709"/>
      <c r="AO96" s="709"/>
      <c r="AP96" s="709"/>
      <c r="AQ96" s="709"/>
      <c r="AR96" s="709"/>
      <c r="AS96" s="709"/>
      <c r="AT96" s="709"/>
      <c r="AU96" s="709"/>
      <c r="AV96" s="709"/>
      <c r="AW96" s="709"/>
      <c r="AX96" s="709"/>
      <c r="AY96" s="709"/>
      <c r="AZ96" s="709"/>
      <c r="BA96" s="709"/>
      <c r="BB96" s="709"/>
      <c r="BC96" s="709"/>
      <c r="BD96" s="709"/>
      <c r="BE96" s="709"/>
      <c r="BF96" s="709"/>
      <c r="BG96" s="709"/>
    </row>
    <row r="97" spans="1:59" s="481" customFormat="1" x14ac:dyDescent="0.2">
      <c r="A97" s="95"/>
      <c r="B97" s="694"/>
      <c r="C97" s="694"/>
      <c r="D97" s="694"/>
      <c r="E97" s="694"/>
      <c r="F97" s="694"/>
      <c r="G97" s="694"/>
      <c r="H97" s="694"/>
      <c r="I97" s="694"/>
      <c r="J97" s="694"/>
      <c r="K97" s="694"/>
      <c r="L97" s="694"/>
      <c r="M97" s="694"/>
      <c r="N97" s="694"/>
      <c r="O97" s="694"/>
      <c r="P97" s="694"/>
      <c r="Q97" s="694"/>
      <c r="R97" s="694"/>
      <c r="S97" s="694"/>
      <c r="T97" s="694"/>
      <c r="U97" s="694"/>
      <c r="V97" s="694"/>
      <c r="W97" s="694"/>
      <c r="X97" s="694"/>
      <c r="Y97" s="694"/>
      <c r="Z97" s="694"/>
      <c r="AA97" s="694"/>
      <c r="AB97" s="694"/>
      <c r="AC97" s="694"/>
      <c r="AD97" s="480"/>
      <c r="AE97" s="158"/>
      <c r="AF97" s="709"/>
      <c r="AG97" s="709"/>
      <c r="AH97" s="709"/>
      <c r="AI97" s="709"/>
      <c r="AJ97" s="709"/>
      <c r="AK97" s="709"/>
      <c r="AL97" s="709"/>
      <c r="AM97" s="709"/>
      <c r="AN97" s="709"/>
      <c r="AO97" s="709"/>
      <c r="AP97" s="709"/>
      <c r="AQ97" s="709"/>
      <c r="AR97" s="709"/>
      <c r="AS97" s="709"/>
      <c r="AT97" s="709"/>
      <c r="AU97" s="709"/>
      <c r="AV97" s="709"/>
      <c r="AW97" s="709"/>
      <c r="AX97" s="709"/>
      <c r="AY97" s="709"/>
      <c r="AZ97" s="709"/>
      <c r="BA97" s="709"/>
      <c r="BB97" s="709"/>
      <c r="BC97" s="709"/>
      <c r="BD97" s="709"/>
      <c r="BE97" s="709"/>
      <c r="BF97" s="709"/>
      <c r="BG97" s="709"/>
    </row>
    <row r="98" spans="1:59" s="481" customFormat="1" x14ac:dyDescent="0.2">
      <c r="A98" s="97" t="s">
        <v>644</v>
      </c>
      <c r="B98" s="694" t="str">
        <f>"«Borc alan» iş və ya ev ünvanını, şəxsiyyət vəsiqəsi məlumatlarını və ya şəxsiyyət vəsiqəsini, məşğul olduğu fəaliyyət sahəsini və ya iş yerini dəyişdiyi hallarda 10 (on) gün müddətinə  «Borc verən»ə yazılı şəkildə məlumat v"&amp;"erməlidir. Müqavilənin  bu tələbinə riayət edilməməsinə görə, habelə «Borc alan»ın biznesinin mahiyyəti mühüm dərəcədə dəyişdikdə  «Borc verən»  vurulmuş ziyanın öd"&amp;"ənilməsi  tələbi ilə çıxış etməklə bərabər, müqaviləyə xitam verməklə əsas  borcu, hesablanmış faizləri və bu müqavilə üzrə digər ödənişləri qabaqcadan vaxtından əvvəl geri tə"&amp;"ləb etmək hüququna malikdir."</f>
        <v>«Borc alan» iş və ya ev ünvanını, şəxsiyyət vəsiqəsi məlumatlarını və ya şəxsiyyət vəsiqəsini, məşğul olduğu fəaliyyət sahəsini və ya iş yerini dəyişdiyi hallarda 10 (on) gün müddətinə  «Borc verən»ə yazılı şəkildə məlumat verməlidir. Müqavilənin  bu tələbinə riayət edilməməsinə görə, habelə «Borc alan»ın biznesinin mahiyyəti mühüm dərəcədə dəyişdikdə  «Borc verən»  vurulmuş ziyanın ödənilməsi  tələbi ilə çıxış etməklə bərabər, müqaviləyə xitam verməklə əsas  borcu, hesablanmış faizləri və bu müqavilə üzrə digər ödənişləri qabaqcadan vaxtından əvvəl geri tələb etmək hüququna malikdir.</v>
      </c>
      <c r="C98" s="694"/>
      <c r="D98" s="694"/>
      <c r="E98" s="694"/>
      <c r="F98" s="694"/>
      <c r="G98" s="694"/>
      <c r="H98" s="694"/>
      <c r="I98" s="694"/>
      <c r="J98" s="694"/>
      <c r="K98" s="694"/>
      <c r="L98" s="694"/>
      <c r="M98" s="694"/>
      <c r="N98" s="694"/>
      <c r="O98" s="694"/>
      <c r="P98" s="694"/>
      <c r="Q98" s="694"/>
      <c r="R98" s="694"/>
      <c r="S98" s="694"/>
      <c r="T98" s="694"/>
      <c r="U98" s="694"/>
      <c r="V98" s="694"/>
      <c r="W98" s="694"/>
      <c r="X98" s="694"/>
      <c r="Y98" s="694"/>
      <c r="Z98" s="694"/>
      <c r="AA98" s="694"/>
      <c r="AB98" s="694"/>
      <c r="AC98" s="694"/>
      <c r="AD98" s="480"/>
      <c r="AE98" s="179" t="s">
        <v>42</v>
      </c>
      <c r="AF98" s="709" t="s">
        <v>426</v>
      </c>
      <c r="AG98" s="709"/>
      <c r="AH98" s="709"/>
      <c r="AI98" s="709"/>
      <c r="AJ98" s="709"/>
      <c r="AK98" s="709"/>
      <c r="AL98" s="709"/>
      <c r="AM98" s="709"/>
      <c r="AN98" s="709"/>
      <c r="AO98" s="709"/>
      <c r="AP98" s="709"/>
      <c r="AQ98" s="709"/>
      <c r="AR98" s="709"/>
      <c r="AS98" s="709"/>
      <c r="AT98" s="709"/>
      <c r="AU98" s="709"/>
      <c r="AV98" s="709"/>
      <c r="AW98" s="709"/>
      <c r="AX98" s="709"/>
      <c r="AY98" s="709"/>
      <c r="AZ98" s="709"/>
      <c r="BA98" s="709"/>
      <c r="BB98" s="709"/>
      <c r="BC98" s="709"/>
      <c r="BD98" s="709"/>
      <c r="BE98" s="709"/>
      <c r="BF98" s="709"/>
      <c r="BG98" s="709"/>
    </row>
    <row r="99" spans="1:59" s="481" customFormat="1" x14ac:dyDescent="0.2">
      <c r="A99" s="94"/>
      <c r="B99" s="694"/>
      <c r="C99" s="694"/>
      <c r="D99" s="694"/>
      <c r="E99" s="694"/>
      <c r="F99" s="694"/>
      <c r="G99" s="694"/>
      <c r="H99" s="694"/>
      <c r="I99" s="694"/>
      <c r="J99" s="694"/>
      <c r="K99" s="694"/>
      <c r="L99" s="694"/>
      <c r="M99" s="694"/>
      <c r="N99" s="694"/>
      <c r="O99" s="694"/>
      <c r="P99" s="694"/>
      <c r="Q99" s="694"/>
      <c r="R99" s="694"/>
      <c r="S99" s="694"/>
      <c r="T99" s="694"/>
      <c r="U99" s="694"/>
      <c r="V99" s="694"/>
      <c r="W99" s="694"/>
      <c r="X99" s="694"/>
      <c r="Y99" s="694"/>
      <c r="Z99" s="694"/>
      <c r="AA99" s="694"/>
      <c r="AB99" s="694"/>
      <c r="AC99" s="694"/>
      <c r="AD99" s="480"/>
      <c r="AE99" s="158"/>
      <c r="AF99" s="709"/>
      <c r="AG99" s="709"/>
      <c r="AH99" s="709"/>
      <c r="AI99" s="709"/>
      <c r="AJ99" s="709"/>
      <c r="AK99" s="709"/>
      <c r="AL99" s="709"/>
      <c r="AM99" s="709"/>
      <c r="AN99" s="709"/>
      <c r="AO99" s="709"/>
      <c r="AP99" s="709"/>
      <c r="AQ99" s="709"/>
      <c r="AR99" s="709"/>
      <c r="AS99" s="709"/>
      <c r="AT99" s="709"/>
      <c r="AU99" s="709"/>
      <c r="AV99" s="709"/>
      <c r="AW99" s="709"/>
      <c r="AX99" s="709"/>
      <c r="AY99" s="709"/>
      <c r="AZ99" s="709"/>
      <c r="BA99" s="709"/>
      <c r="BB99" s="709"/>
      <c r="BC99" s="709"/>
      <c r="BD99" s="709"/>
      <c r="BE99" s="709"/>
      <c r="BF99" s="709"/>
      <c r="BG99" s="709"/>
    </row>
    <row r="100" spans="1:59" s="481" customFormat="1" x14ac:dyDescent="0.2">
      <c r="A100" s="94"/>
      <c r="B100" s="694"/>
      <c r="C100" s="694"/>
      <c r="D100" s="694"/>
      <c r="E100" s="694"/>
      <c r="F100" s="694"/>
      <c r="G100" s="694"/>
      <c r="H100" s="694"/>
      <c r="I100" s="694"/>
      <c r="J100" s="694"/>
      <c r="K100" s="694"/>
      <c r="L100" s="694"/>
      <c r="M100" s="694"/>
      <c r="N100" s="694"/>
      <c r="O100" s="694"/>
      <c r="P100" s="694"/>
      <c r="Q100" s="694"/>
      <c r="R100" s="694"/>
      <c r="S100" s="694"/>
      <c r="T100" s="694"/>
      <c r="U100" s="694"/>
      <c r="V100" s="694"/>
      <c r="W100" s="694"/>
      <c r="X100" s="694"/>
      <c r="Y100" s="694"/>
      <c r="Z100" s="694"/>
      <c r="AA100" s="694"/>
      <c r="AB100" s="694"/>
      <c r="AC100" s="694"/>
      <c r="AD100" s="480"/>
      <c r="AE100" s="158"/>
      <c r="AF100" s="709"/>
      <c r="AG100" s="709"/>
      <c r="AH100" s="709"/>
      <c r="AI100" s="709"/>
      <c r="AJ100" s="709"/>
      <c r="AK100" s="709"/>
      <c r="AL100" s="709"/>
      <c r="AM100" s="709"/>
      <c r="AN100" s="709"/>
      <c r="AO100" s="709"/>
      <c r="AP100" s="709"/>
      <c r="AQ100" s="709"/>
      <c r="AR100" s="709"/>
      <c r="AS100" s="709"/>
      <c r="AT100" s="709"/>
      <c r="AU100" s="709"/>
      <c r="AV100" s="709"/>
      <c r="AW100" s="709"/>
      <c r="AX100" s="709"/>
      <c r="AY100" s="709"/>
      <c r="AZ100" s="709"/>
      <c r="BA100" s="709"/>
      <c r="BB100" s="709"/>
      <c r="BC100" s="709"/>
      <c r="BD100" s="709"/>
      <c r="BE100" s="709"/>
      <c r="BF100" s="709"/>
      <c r="BG100" s="709"/>
    </row>
    <row r="101" spans="1:59" s="481" customFormat="1" x14ac:dyDescent="0.2">
      <c r="A101" s="94"/>
      <c r="B101" s="694"/>
      <c r="C101" s="694"/>
      <c r="D101" s="694"/>
      <c r="E101" s="694"/>
      <c r="F101" s="694"/>
      <c r="G101" s="694"/>
      <c r="H101" s="694"/>
      <c r="I101" s="694"/>
      <c r="J101" s="694"/>
      <c r="K101" s="694"/>
      <c r="L101" s="694"/>
      <c r="M101" s="694"/>
      <c r="N101" s="694"/>
      <c r="O101" s="694"/>
      <c r="P101" s="694"/>
      <c r="Q101" s="694"/>
      <c r="R101" s="694"/>
      <c r="S101" s="694"/>
      <c r="T101" s="694"/>
      <c r="U101" s="694"/>
      <c r="V101" s="694"/>
      <c r="W101" s="694"/>
      <c r="X101" s="694"/>
      <c r="Y101" s="694"/>
      <c r="Z101" s="694"/>
      <c r="AA101" s="694"/>
      <c r="AB101" s="694"/>
      <c r="AC101" s="694"/>
      <c r="AD101" s="480"/>
      <c r="AE101" s="468"/>
      <c r="AF101" s="468"/>
      <c r="AG101" s="468"/>
      <c r="AH101" s="468"/>
      <c r="AI101" s="468"/>
      <c r="AJ101" s="468"/>
      <c r="AK101" s="468"/>
      <c r="AL101" s="468"/>
      <c r="AM101" s="468"/>
      <c r="AN101" s="468"/>
      <c r="AO101" s="468"/>
      <c r="AP101" s="468"/>
      <c r="AQ101" s="468"/>
      <c r="AR101" s="468"/>
      <c r="AS101" s="468"/>
      <c r="AT101" s="468"/>
      <c r="AU101" s="468"/>
      <c r="AV101" s="468"/>
      <c r="AW101" s="468"/>
      <c r="AX101" s="468"/>
      <c r="AY101" s="468"/>
      <c r="AZ101" s="468"/>
      <c r="BA101" s="468"/>
      <c r="BB101" s="468"/>
      <c r="BC101" s="468"/>
      <c r="BD101" s="468"/>
      <c r="BE101" s="468"/>
      <c r="BF101" s="468"/>
      <c r="BG101" s="468"/>
    </row>
    <row r="102" spans="1:59" s="481" customFormat="1" x14ac:dyDescent="0.2">
      <c r="A102" s="94"/>
      <c r="B102" s="694"/>
      <c r="C102" s="694"/>
      <c r="D102" s="694"/>
      <c r="E102" s="694"/>
      <c r="F102" s="694"/>
      <c r="G102" s="694"/>
      <c r="H102" s="694"/>
      <c r="I102" s="694"/>
      <c r="J102" s="694"/>
      <c r="K102" s="694"/>
      <c r="L102" s="694"/>
      <c r="M102" s="694"/>
      <c r="N102" s="694"/>
      <c r="O102" s="694"/>
      <c r="P102" s="694"/>
      <c r="Q102" s="694"/>
      <c r="R102" s="694"/>
      <c r="S102" s="694"/>
      <c r="T102" s="694"/>
      <c r="U102" s="694"/>
      <c r="V102" s="694"/>
      <c r="W102" s="694"/>
      <c r="X102" s="694"/>
      <c r="Y102" s="694"/>
      <c r="Z102" s="694"/>
      <c r="AA102" s="694"/>
      <c r="AB102" s="694"/>
      <c r="AC102" s="694"/>
      <c r="AD102" s="480"/>
      <c r="AE102" s="695" t="s">
        <v>649</v>
      </c>
      <c r="AF102" s="695"/>
      <c r="AG102" s="695"/>
      <c r="AH102" s="695"/>
      <c r="AI102" s="695"/>
      <c r="AJ102" s="695"/>
      <c r="AK102" s="695"/>
      <c r="AL102" s="695"/>
      <c r="AM102" s="695"/>
      <c r="AN102" s="695"/>
      <c r="AO102" s="695"/>
      <c r="AP102" s="695"/>
      <c r="AQ102" s="695"/>
      <c r="AR102" s="695"/>
      <c r="AS102" s="695"/>
      <c r="AT102" s="695"/>
      <c r="AU102" s="695"/>
      <c r="AV102" s="695"/>
      <c r="AW102" s="695"/>
      <c r="AX102" s="695"/>
      <c r="AY102" s="695"/>
      <c r="AZ102" s="695"/>
      <c r="BA102" s="695"/>
      <c r="BB102" s="695"/>
      <c r="BC102" s="695"/>
      <c r="BD102" s="695"/>
      <c r="BE102" s="695"/>
      <c r="BF102" s="695"/>
      <c r="BG102" s="695"/>
    </row>
    <row r="103" spans="1:59" s="481" customFormat="1" x14ac:dyDescent="0.2">
      <c r="A103" s="94"/>
      <c r="B103" s="694"/>
      <c r="C103" s="694"/>
      <c r="D103" s="694"/>
      <c r="E103" s="694"/>
      <c r="F103" s="694"/>
      <c r="G103" s="694"/>
      <c r="H103" s="694"/>
      <c r="I103" s="694"/>
      <c r="J103" s="694"/>
      <c r="K103" s="694"/>
      <c r="L103" s="694"/>
      <c r="M103" s="694"/>
      <c r="N103" s="694"/>
      <c r="O103" s="694"/>
      <c r="P103" s="694"/>
      <c r="Q103" s="694"/>
      <c r="R103" s="694"/>
      <c r="S103" s="694"/>
      <c r="T103" s="694"/>
      <c r="U103" s="694"/>
      <c r="V103" s="694"/>
      <c r="W103" s="694"/>
      <c r="X103" s="694"/>
      <c r="Y103" s="694"/>
      <c r="Z103" s="694"/>
      <c r="AA103" s="694"/>
      <c r="AB103" s="694"/>
      <c r="AC103" s="694"/>
      <c r="AD103" s="480"/>
      <c r="AE103" s="456"/>
      <c r="AF103" s="456"/>
      <c r="AG103" s="456"/>
      <c r="AH103" s="456"/>
      <c r="AI103" s="456"/>
      <c r="AJ103" s="456"/>
      <c r="AK103" s="456"/>
      <c r="AL103" s="456"/>
      <c r="AM103" s="456"/>
      <c r="AN103" s="456"/>
      <c r="AO103" s="456"/>
      <c r="AP103" s="456"/>
      <c r="AQ103" s="456"/>
      <c r="AR103" s="456"/>
      <c r="AS103" s="456"/>
      <c r="AT103" s="456"/>
      <c r="AU103" s="456"/>
      <c r="AV103" s="456"/>
      <c r="AW103" s="456"/>
      <c r="AX103" s="456"/>
      <c r="AY103" s="456"/>
      <c r="AZ103" s="456"/>
      <c r="BA103" s="456"/>
      <c r="BB103" s="456"/>
      <c r="BC103" s="456"/>
      <c r="BD103" s="456"/>
      <c r="BE103" s="456"/>
      <c r="BF103" s="456"/>
      <c r="BG103" s="456"/>
    </row>
    <row r="104" spans="1:59" s="481" customFormat="1" x14ac:dyDescent="0.2">
      <c r="A104" s="468"/>
      <c r="B104" s="694"/>
      <c r="C104" s="694"/>
      <c r="D104" s="694"/>
      <c r="E104" s="694"/>
      <c r="F104" s="694"/>
      <c r="G104" s="694"/>
      <c r="H104" s="694"/>
      <c r="I104" s="694"/>
      <c r="J104" s="694"/>
      <c r="K104" s="694"/>
      <c r="L104" s="694"/>
      <c r="M104" s="694"/>
      <c r="N104" s="694"/>
      <c r="O104" s="694"/>
      <c r="P104" s="694"/>
      <c r="Q104" s="694"/>
      <c r="R104" s="694"/>
      <c r="S104" s="694"/>
      <c r="T104" s="694"/>
      <c r="U104" s="694"/>
      <c r="V104" s="694"/>
      <c r="W104" s="694"/>
      <c r="X104" s="694"/>
      <c r="Y104" s="694"/>
      <c r="Z104" s="694"/>
      <c r="AA104" s="694"/>
      <c r="AB104" s="694"/>
      <c r="AC104" s="694"/>
      <c r="AD104" s="480"/>
      <c r="AE104" s="88" t="s">
        <v>650</v>
      </c>
      <c r="AF104" s="694" t="str">
        <f>"Bu müqavilənin məqsədlərinin həyata keçirilməsi ilə bağlı tərəflər arasında yaranan bütün mübahisələr Azərbaycan Respublikasının qanunvericiliyi ilə tənzimlənir. Bu zaman tərəflər "&amp;"arasında yaranan mübahisələr qanunvericiliklə tənzim edilə bilmədikdə bu sahədə təşəkkül tapan və geniş tətbiq edilən işgüzar adətlər tətbiq edilir."</f>
        <v>Bu müqavilənin məqsədlərinin həyata keçirilməsi ilə bağlı tərəflər arasında yaranan bütün mübahisələr Azərbaycan Respublikasının qanunvericiliyi ilə tənzimlənir. Bu zaman tərəflər arasında yaranan mübahisələr qanunvericiliklə tənzim edilə bilmədikdə bu sahədə təşəkkül tapan və geniş tətbiq edilən işgüzar adətlər tətbiq edilir.</v>
      </c>
      <c r="AG104" s="694"/>
      <c r="AH104" s="694"/>
      <c r="AI104" s="694"/>
      <c r="AJ104" s="694"/>
      <c r="AK104" s="694"/>
      <c r="AL104" s="694"/>
      <c r="AM104" s="694"/>
      <c r="AN104" s="694"/>
      <c r="AO104" s="694"/>
      <c r="AP104" s="694"/>
      <c r="AQ104" s="694"/>
      <c r="AR104" s="694"/>
      <c r="AS104" s="694"/>
      <c r="AT104" s="694"/>
      <c r="AU104" s="694"/>
      <c r="AV104" s="694"/>
      <c r="AW104" s="694"/>
      <c r="AX104" s="694"/>
      <c r="AY104" s="694"/>
      <c r="AZ104" s="694"/>
      <c r="BA104" s="694"/>
      <c r="BB104" s="694"/>
      <c r="BC104" s="694"/>
      <c r="BD104" s="694"/>
      <c r="BE104" s="694"/>
      <c r="BF104" s="694"/>
      <c r="BG104" s="694"/>
    </row>
    <row r="105" spans="1:59" s="481" customFormat="1" x14ac:dyDescent="0.2">
      <c r="A105" s="94"/>
      <c r="B105" s="694"/>
      <c r="C105" s="694"/>
      <c r="D105" s="694"/>
      <c r="E105" s="694"/>
      <c r="F105" s="694"/>
      <c r="G105" s="694"/>
      <c r="H105" s="694"/>
      <c r="I105" s="694"/>
      <c r="J105" s="694"/>
      <c r="K105" s="694"/>
      <c r="L105" s="694"/>
      <c r="M105" s="694"/>
      <c r="N105" s="694"/>
      <c r="O105" s="694"/>
      <c r="P105" s="694"/>
      <c r="Q105" s="694"/>
      <c r="R105" s="694"/>
      <c r="S105" s="694"/>
      <c r="T105" s="694"/>
      <c r="U105" s="694"/>
      <c r="V105" s="694"/>
      <c r="W105" s="694"/>
      <c r="X105" s="694"/>
      <c r="Y105" s="694"/>
      <c r="Z105" s="694"/>
      <c r="AA105" s="694"/>
      <c r="AB105" s="694"/>
      <c r="AC105" s="694"/>
      <c r="AD105" s="480"/>
      <c r="AE105" s="88"/>
      <c r="AF105" s="694"/>
      <c r="AG105" s="694"/>
      <c r="AH105" s="694"/>
      <c r="AI105" s="694"/>
      <c r="AJ105" s="694"/>
      <c r="AK105" s="694"/>
      <c r="AL105" s="694"/>
      <c r="AM105" s="694"/>
      <c r="AN105" s="694"/>
      <c r="AO105" s="694"/>
      <c r="AP105" s="694"/>
      <c r="AQ105" s="694"/>
      <c r="AR105" s="694"/>
      <c r="AS105" s="694"/>
      <c r="AT105" s="694"/>
      <c r="AU105" s="694"/>
      <c r="AV105" s="694"/>
      <c r="AW105" s="694"/>
      <c r="AX105" s="694"/>
      <c r="AY105" s="694"/>
      <c r="AZ105" s="694"/>
      <c r="BA105" s="694"/>
      <c r="BB105" s="694"/>
      <c r="BC105" s="694"/>
      <c r="BD105" s="694"/>
      <c r="BE105" s="694"/>
      <c r="BF105" s="694"/>
      <c r="BG105" s="694"/>
    </row>
    <row r="106" spans="1:59" s="481" customFormat="1" x14ac:dyDescent="0.2">
      <c r="A106" s="94"/>
      <c r="B106" s="694"/>
      <c r="C106" s="694"/>
      <c r="D106" s="694"/>
      <c r="E106" s="694"/>
      <c r="F106" s="694"/>
      <c r="G106" s="694"/>
      <c r="H106" s="694"/>
      <c r="I106" s="694"/>
      <c r="J106" s="694"/>
      <c r="K106" s="694"/>
      <c r="L106" s="694"/>
      <c r="M106" s="694"/>
      <c r="N106" s="694"/>
      <c r="O106" s="694"/>
      <c r="P106" s="694"/>
      <c r="Q106" s="694"/>
      <c r="R106" s="694"/>
      <c r="S106" s="694"/>
      <c r="T106" s="694"/>
      <c r="U106" s="694"/>
      <c r="V106" s="694"/>
      <c r="W106" s="694"/>
      <c r="X106" s="694"/>
      <c r="Y106" s="694"/>
      <c r="Z106" s="694"/>
      <c r="AA106" s="694"/>
      <c r="AB106" s="694"/>
      <c r="AC106" s="694"/>
      <c r="AD106" s="480"/>
      <c r="AE106" s="94"/>
      <c r="AF106" s="694"/>
      <c r="AG106" s="694"/>
      <c r="AH106" s="694"/>
      <c r="AI106" s="694"/>
      <c r="AJ106" s="694"/>
      <c r="AK106" s="694"/>
      <c r="AL106" s="694"/>
      <c r="AM106" s="694"/>
      <c r="AN106" s="694"/>
      <c r="AO106" s="694"/>
      <c r="AP106" s="694"/>
      <c r="AQ106" s="694"/>
      <c r="AR106" s="694"/>
      <c r="AS106" s="694"/>
      <c r="AT106" s="694"/>
      <c r="AU106" s="694"/>
      <c r="AV106" s="694"/>
      <c r="AW106" s="694"/>
      <c r="AX106" s="694"/>
      <c r="AY106" s="694"/>
      <c r="AZ106" s="694"/>
      <c r="BA106" s="694"/>
      <c r="BB106" s="694"/>
      <c r="BC106" s="694"/>
      <c r="BD106" s="694"/>
      <c r="BE106" s="694"/>
      <c r="BF106" s="694"/>
      <c r="BG106" s="694"/>
    </row>
    <row r="107" spans="1:59" s="481" customFormat="1" x14ac:dyDescent="0.2">
      <c r="A107" s="93" t="s">
        <v>645</v>
      </c>
      <c r="B107" s="694" t="s">
        <v>446</v>
      </c>
      <c r="C107" s="694"/>
      <c r="D107" s="694"/>
      <c r="E107" s="694"/>
      <c r="F107" s="694"/>
      <c r="G107" s="694"/>
      <c r="H107" s="694"/>
      <c r="I107" s="694"/>
      <c r="J107" s="694"/>
      <c r="K107" s="694"/>
      <c r="L107" s="694"/>
      <c r="M107" s="694"/>
      <c r="N107" s="694"/>
      <c r="O107" s="694"/>
      <c r="P107" s="694"/>
      <c r="Q107" s="694"/>
      <c r="R107" s="694"/>
      <c r="S107" s="694"/>
      <c r="T107" s="694"/>
      <c r="U107" s="694"/>
      <c r="V107" s="694"/>
      <c r="W107" s="694"/>
      <c r="X107" s="694"/>
      <c r="Y107" s="694"/>
      <c r="Z107" s="694"/>
      <c r="AA107" s="694"/>
      <c r="AB107" s="694"/>
      <c r="AC107" s="694"/>
      <c r="AD107" s="480"/>
      <c r="AE107" s="94"/>
      <c r="AF107" s="694"/>
      <c r="AG107" s="694"/>
      <c r="AH107" s="694"/>
      <c r="AI107" s="694"/>
      <c r="AJ107" s="694"/>
      <c r="AK107" s="694"/>
      <c r="AL107" s="694"/>
      <c r="AM107" s="694"/>
      <c r="AN107" s="694"/>
      <c r="AO107" s="694"/>
      <c r="AP107" s="694"/>
      <c r="AQ107" s="694"/>
      <c r="AR107" s="694"/>
      <c r="AS107" s="694"/>
      <c r="AT107" s="694"/>
      <c r="AU107" s="694"/>
      <c r="AV107" s="694"/>
      <c r="AW107" s="694"/>
      <c r="AX107" s="694"/>
      <c r="AY107" s="694"/>
      <c r="AZ107" s="694"/>
      <c r="BA107" s="694"/>
      <c r="BB107" s="694"/>
      <c r="BC107" s="694"/>
      <c r="BD107" s="694"/>
      <c r="BE107" s="694"/>
      <c r="BF107" s="694"/>
      <c r="BG107" s="694"/>
    </row>
    <row r="108" spans="1:59" s="481" customFormat="1" x14ac:dyDescent="0.2">
      <c r="A108" s="94"/>
      <c r="B108" s="694"/>
      <c r="C108" s="694"/>
      <c r="D108" s="694"/>
      <c r="E108" s="694"/>
      <c r="F108" s="694"/>
      <c r="G108" s="694"/>
      <c r="H108" s="694"/>
      <c r="I108" s="694"/>
      <c r="J108" s="694"/>
      <c r="K108" s="694"/>
      <c r="L108" s="694"/>
      <c r="M108" s="694"/>
      <c r="N108" s="694"/>
      <c r="O108" s="694"/>
      <c r="P108" s="694"/>
      <c r="Q108" s="694"/>
      <c r="R108" s="694"/>
      <c r="S108" s="694"/>
      <c r="T108" s="694"/>
      <c r="U108" s="694"/>
      <c r="V108" s="694"/>
      <c r="W108" s="694"/>
      <c r="X108" s="694"/>
      <c r="Y108" s="694"/>
      <c r="Z108" s="694"/>
      <c r="AA108" s="694"/>
      <c r="AB108" s="694"/>
      <c r="AC108" s="694"/>
      <c r="AD108" s="480"/>
      <c r="AE108" s="94"/>
      <c r="AF108" s="694"/>
      <c r="AG108" s="694"/>
      <c r="AH108" s="694"/>
      <c r="AI108" s="694"/>
      <c r="AJ108" s="694"/>
      <c r="AK108" s="694"/>
      <c r="AL108" s="694"/>
      <c r="AM108" s="694"/>
      <c r="AN108" s="694"/>
      <c r="AO108" s="694"/>
      <c r="AP108" s="694"/>
      <c r="AQ108" s="694"/>
      <c r="AR108" s="694"/>
      <c r="AS108" s="694"/>
      <c r="AT108" s="694"/>
      <c r="AU108" s="694"/>
      <c r="AV108" s="694"/>
      <c r="AW108" s="694"/>
      <c r="AX108" s="694"/>
      <c r="AY108" s="694"/>
      <c r="AZ108" s="694"/>
      <c r="BA108" s="694"/>
      <c r="BB108" s="694"/>
      <c r="BC108" s="694"/>
      <c r="BD108" s="694"/>
      <c r="BE108" s="694"/>
      <c r="BF108" s="694"/>
      <c r="BG108" s="694"/>
    </row>
    <row r="109" spans="1:59" s="481" customFormat="1" x14ac:dyDescent="0.2">
      <c r="A109" s="93" t="s">
        <v>41</v>
      </c>
      <c r="B109" s="694" t="str">
        <f>"Tərəflər razılaşırlar ki, «Borc alan» tərəfindən yubatma və ya krediti qaytarmaqdan imtina ilə əlaqədar  «Borc verən» tərəfindən çəkilən  bütün xərclər «Borc alan» tərəfindən"&amp;" ödənilməlidir. Bu xərclərə məhkəməyə müraciət etmək üçün ödənilən dövlət rüsumu, nümayəndəlik xərcləri, o cümlədən  «Borc verən»in nümayəndəsi ilə bağlı olan ezamiyyə, nəqliyyat və digər xərclər, məhkəmə qərarlarının icrası ilə bağlı bütün "&amp;"xərclər, «Borc alan»la yazışmaya sərf edilən poçt xərcləri, tələbin müqavilə üzrə nəzərdə tutulan hər hansı bir təminata yönəldilməsi ilə ə"&amp;"laqədar meydana çıxan bütün xərclər də daxildir, lakin xərclər bununla məhdudlaşmır."</f>
        <v>Tərəflər razılaşırlar ki, «Borc alan» tərəfindən yubatma və ya krediti qaytarmaqdan imtina ilə əlaqədar  «Borc verən» tərəfindən çəkilən  bütün xərclər «Borc alan» tərəfindən ödənilməlidir. Bu xərclərə məhkəməyə müraciət etmək üçün ödənilən dövlət rüsumu, nümayəndəlik xərcləri, o cümlədən  «Borc verən»in nümayəndəsi ilə bağlı olan ezamiyyə, nəqliyyat və digər xərclər, məhkəmə qərarlarının icrası ilə bağlı bütün xərclər, «Borc alan»la yazışmaya sərf edilən poçt xərcləri, tələbin müqavilə üzrə nəzərdə tutulan hər hansı bir təminata yönəldilməsi ilə əlaqədar meydana çıxan bütün xərclər də daxildir, lakin xərclər bununla məhdudlaşmır.</v>
      </c>
      <c r="C109" s="694"/>
      <c r="D109" s="694"/>
      <c r="E109" s="694"/>
      <c r="F109" s="694"/>
      <c r="G109" s="694"/>
      <c r="H109" s="694"/>
      <c r="I109" s="694"/>
      <c r="J109" s="694"/>
      <c r="K109" s="694"/>
      <c r="L109" s="694"/>
      <c r="M109" s="694"/>
      <c r="N109" s="694"/>
      <c r="O109" s="694"/>
      <c r="P109" s="694"/>
      <c r="Q109" s="694"/>
      <c r="R109" s="694"/>
      <c r="S109" s="694"/>
      <c r="T109" s="694"/>
      <c r="U109" s="694"/>
      <c r="V109" s="694"/>
      <c r="W109" s="694"/>
      <c r="X109" s="694"/>
      <c r="Y109" s="694"/>
      <c r="Z109" s="694"/>
      <c r="AA109" s="694"/>
      <c r="AB109" s="694"/>
      <c r="AC109" s="694"/>
      <c r="AD109" s="480"/>
      <c r="AE109" s="88" t="s">
        <v>40</v>
      </c>
      <c r="AF109" s="694" t="str">
        <f>"Tərəflər arasında bu müqavilənin icrası ilə bağlı yarana biləcək hər hansı fikir ayrılığı tərəflərin qarşılıqlı razılığı əsasında, belə razılıq əldə edilmədikdə isə Azərbaycan "&amp;"Respublikasının qanunvericiliyinə müvafiq qaydada aidiyyatı məhkəmələr tərəfindən həll edilir."</f>
        <v>Tərəflər arasında bu müqavilənin icrası ilə bağlı yarana biləcək hər hansı fikir ayrılığı tərəflərin qarşılıqlı razılığı əsasında, belə razılıq əldə edilmədikdə isə Azərbaycan Respublikasının qanunvericiliyinə müvafiq qaydada aidiyyatı məhkəmələr tərəfindən həll edilir.</v>
      </c>
      <c r="AG109" s="694"/>
      <c r="AH109" s="694"/>
      <c r="AI109" s="694"/>
      <c r="AJ109" s="694"/>
      <c r="AK109" s="694"/>
      <c r="AL109" s="694"/>
      <c r="AM109" s="694"/>
      <c r="AN109" s="694"/>
      <c r="AO109" s="694"/>
      <c r="AP109" s="694"/>
      <c r="AQ109" s="694"/>
      <c r="AR109" s="694"/>
      <c r="AS109" s="694"/>
      <c r="AT109" s="694"/>
      <c r="AU109" s="694"/>
      <c r="AV109" s="694"/>
      <c r="AW109" s="694"/>
      <c r="AX109" s="694"/>
      <c r="AY109" s="694"/>
      <c r="AZ109" s="694"/>
      <c r="BA109" s="694"/>
      <c r="BB109" s="694"/>
      <c r="BC109" s="694"/>
      <c r="BD109" s="694"/>
      <c r="BE109" s="694"/>
      <c r="BF109" s="694"/>
      <c r="BG109" s="694"/>
    </row>
    <row r="110" spans="1:59" s="481" customFormat="1" x14ac:dyDescent="0.2">
      <c r="A110" s="94"/>
      <c r="B110" s="694"/>
      <c r="C110" s="694"/>
      <c r="D110" s="694"/>
      <c r="E110" s="694"/>
      <c r="F110" s="694"/>
      <c r="G110" s="694"/>
      <c r="H110" s="694"/>
      <c r="I110" s="694"/>
      <c r="J110" s="694"/>
      <c r="K110" s="694"/>
      <c r="L110" s="694"/>
      <c r="M110" s="694"/>
      <c r="N110" s="694"/>
      <c r="O110" s="694"/>
      <c r="P110" s="694"/>
      <c r="Q110" s="694"/>
      <c r="R110" s="694"/>
      <c r="S110" s="694"/>
      <c r="T110" s="694"/>
      <c r="U110" s="694"/>
      <c r="V110" s="694"/>
      <c r="W110" s="694"/>
      <c r="X110" s="694"/>
      <c r="Y110" s="694"/>
      <c r="Z110" s="694"/>
      <c r="AA110" s="694"/>
      <c r="AB110" s="694"/>
      <c r="AC110" s="694"/>
      <c r="AD110" s="480"/>
      <c r="AE110" s="94"/>
      <c r="AF110" s="694"/>
      <c r="AG110" s="694"/>
      <c r="AH110" s="694"/>
      <c r="AI110" s="694"/>
      <c r="AJ110" s="694"/>
      <c r="AK110" s="694"/>
      <c r="AL110" s="694"/>
      <c r="AM110" s="694"/>
      <c r="AN110" s="694"/>
      <c r="AO110" s="694"/>
      <c r="AP110" s="694"/>
      <c r="AQ110" s="694"/>
      <c r="AR110" s="694"/>
      <c r="AS110" s="694"/>
      <c r="AT110" s="694"/>
      <c r="AU110" s="694"/>
      <c r="AV110" s="694"/>
      <c r="AW110" s="694"/>
      <c r="AX110" s="694"/>
      <c r="AY110" s="694"/>
      <c r="AZ110" s="694"/>
      <c r="BA110" s="694"/>
      <c r="BB110" s="694"/>
      <c r="BC110" s="694"/>
      <c r="BD110" s="694"/>
      <c r="BE110" s="694"/>
      <c r="BF110" s="694"/>
      <c r="BG110" s="694"/>
    </row>
    <row r="111" spans="1:59" s="481" customFormat="1" x14ac:dyDescent="0.2">
      <c r="A111" s="94"/>
      <c r="B111" s="694"/>
      <c r="C111" s="694"/>
      <c r="D111" s="694"/>
      <c r="E111" s="694"/>
      <c r="F111" s="694"/>
      <c r="G111" s="694"/>
      <c r="H111" s="694"/>
      <c r="I111" s="694"/>
      <c r="J111" s="694"/>
      <c r="K111" s="694"/>
      <c r="L111" s="694"/>
      <c r="M111" s="694"/>
      <c r="N111" s="694"/>
      <c r="O111" s="694"/>
      <c r="P111" s="694"/>
      <c r="Q111" s="694"/>
      <c r="R111" s="694"/>
      <c r="S111" s="694"/>
      <c r="T111" s="694"/>
      <c r="U111" s="694"/>
      <c r="V111" s="694"/>
      <c r="W111" s="694"/>
      <c r="X111" s="694"/>
      <c r="Y111" s="694"/>
      <c r="Z111" s="694"/>
      <c r="AA111" s="694"/>
      <c r="AB111" s="694"/>
      <c r="AC111" s="694"/>
      <c r="AD111" s="480"/>
      <c r="AE111" s="94"/>
      <c r="AF111" s="694"/>
      <c r="AG111" s="694"/>
      <c r="AH111" s="694"/>
      <c r="AI111" s="694"/>
      <c r="AJ111" s="694"/>
      <c r="AK111" s="694"/>
      <c r="AL111" s="694"/>
      <c r="AM111" s="694"/>
      <c r="AN111" s="694"/>
      <c r="AO111" s="694"/>
      <c r="AP111" s="694"/>
      <c r="AQ111" s="694"/>
      <c r="AR111" s="694"/>
      <c r="AS111" s="694"/>
      <c r="AT111" s="694"/>
      <c r="AU111" s="694"/>
      <c r="AV111" s="694"/>
      <c r="AW111" s="694"/>
      <c r="AX111" s="694"/>
      <c r="AY111" s="694"/>
      <c r="AZ111" s="694"/>
      <c r="BA111" s="694"/>
      <c r="BB111" s="694"/>
      <c r="BC111" s="694"/>
      <c r="BD111" s="694"/>
      <c r="BE111" s="694"/>
      <c r="BF111" s="694"/>
      <c r="BG111" s="694"/>
    </row>
    <row r="112" spans="1:59" s="481" customFormat="1" x14ac:dyDescent="0.2">
      <c r="A112" s="94"/>
      <c r="B112" s="694"/>
      <c r="C112" s="694"/>
      <c r="D112" s="694"/>
      <c r="E112" s="694"/>
      <c r="F112" s="694"/>
      <c r="G112" s="694"/>
      <c r="H112" s="694"/>
      <c r="I112" s="694"/>
      <c r="J112" s="694"/>
      <c r="K112" s="694"/>
      <c r="L112" s="694"/>
      <c r="M112" s="694"/>
      <c r="N112" s="694"/>
      <c r="O112" s="694"/>
      <c r="P112" s="694"/>
      <c r="Q112" s="694"/>
      <c r="R112" s="694"/>
      <c r="S112" s="694"/>
      <c r="T112" s="694"/>
      <c r="U112" s="694"/>
      <c r="V112" s="694"/>
      <c r="W112" s="694"/>
      <c r="X112" s="694"/>
      <c r="Y112" s="694"/>
      <c r="Z112" s="694"/>
      <c r="AA112" s="694"/>
      <c r="AB112" s="694"/>
      <c r="AC112" s="694"/>
      <c r="AD112" s="480"/>
      <c r="AE112" s="94"/>
      <c r="AF112" s="694"/>
      <c r="AG112" s="694"/>
      <c r="AH112" s="694"/>
      <c r="AI112" s="694"/>
      <c r="AJ112" s="694"/>
      <c r="AK112" s="694"/>
      <c r="AL112" s="694"/>
      <c r="AM112" s="694"/>
      <c r="AN112" s="694"/>
      <c r="AO112" s="694"/>
      <c r="AP112" s="694"/>
      <c r="AQ112" s="694"/>
      <c r="AR112" s="694"/>
      <c r="AS112" s="694"/>
      <c r="AT112" s="694"/>
      <c r="AU112" s="694"/>
      <c r="AV112" s="694"/>
      <c r="AW112" s="694"/>
      <c r="AX112" s="694"/>
      <c r="AY112" s="694"/>
      <c r="AZ112" s="694"/>
      <c r="BA112" s="694"/>
      <c r="BB112" s="694"/>
      <c r="BC112" s="694"/>
      <c r="BD112" s="694"/>
      <c r="BE112" s="694"/>
      <c r="BF112" s="694"/>
      <c r="BG112" s="694"/>
    </row>
    <row r="113" spans="1:59" s="481" customFormat="1" x14ac:dyDescent="0.2">
      <c r="A113" s="94"/>
      <c r="B113" s="694"/>
      <c r="C113" s="694"/>
      <c r="D113" s="694"/>
      <c r="E113" s="694"/>
      <c r="F113" s="694"/>
      <c r="G113" s="694"/>
      <c r="H113" s="694"/>
      <c r="I113" s="694"/>
      <c r="J113" s="694"/>
      <c r="K113" s="694"/>
      <c r="L113" s="694"/>
      <c r="M113" s="694"/>
      <c r="N113" s="694"/>
      <c r="O113" s="694"/>
      <c r="P113" s="694"/>
      <c r="Q113" s="694"/>
      <c r="R113" s="694"/>
      <c r="S113" s="694"/>
      <c r="T113" s="694"/>
      <c r="U113" s="694"/>
      <c r="V113" s="694"/>
      <c r="W113" s="694"/>
      <c r="X113" s="694"/>
      <c r="Y113" s="694"/>
      <c r="Z113" s="694"/>
      <c r="AA113" s="694"/>
      <c r="AB113" s="694"/>
      <c r="AC113" s="694"/>
      <c r="AD113" s="480"/>
      <c r="AE113" s="468"/>
      <c r="AF113" s="468"/>
      <c r="AG113" s="468"/>
      <c r="AH113" s="468"/>
      <c r="AI113" s="468"/>
      <c r="AJ113" s="468"/>
      <c r="AK113" s="468"/>
      <c r="AL113" s="468"/>
      <c r="AM113" s="468"/>
      <c r="AN113" s="468"/>
      <c r="AO113" s="468"/>
      <c r="AP113" s="468"/>
      <c r="AQ113" s="468"/>
      <c r="AR113" s="468"/>
      <c r="AS113" s="468"/>
      <c r="AT113" s="468"/>
      <c r="AU113" s="468"/>
      <c r="AV113" s="468"/>
      <c r="AW113" s="468"/>
      <c r="AX113" s="468"/>
      <c r="AY113" s="468"/>
      <c r="AZ113" s="468"/>
      <c r="BA113" s="468"/>
      <c r="BB113" s="468"/>
      <c r="BC113" s="468"/>
      <c r="BD113" s="468"/>
      <c r="BE113" s="468"/>
      <c r="BF113" s="468"/>
      <c r="BG113" s="468"/>
    </row>
    <row r="114" spans="1:59" s="481" customFormat="1" x14ac:dyDescent="0.2">
      <c r="A114" s="94"/>
      <c r="B114" s="694"/>
      <c r="C114" s="694"/>
      <c r="D114" s="694"/>
      <c r="E114" s="694"/>
      <c r="F114" s="694"/>
      <c r="G114" s="694"/>
      <c r="H114" s="694"/>
      <c r="I114" s="694"/>
      <c r="J114" s="694"/>
      <c r="K114" s="694"/>
      <c r="L114" s="694"/>
      <c r="M114" s="694"/>
      <c r="N114" s="694"/>
      <c r="O114" s="694"/>
      <c r="P114" s="694"/>
      <c r="Q114" s="694"/>
      <c r="R114" s="694"/>
      <c r="S114" s="694"/>
      <c r="T114" s="694"/>
      <c r="U114" s="694"/>
      <c r="V114" s="694"/>
      <c r="W114" s="694"/>
      <c r="X114" s="694"/>
      <c r="Y114" s="694"/>
      <c r="Z114" s="694"/>
      <c r="AA114" s="694"/>
      <c r="AB114" s="694"/>
      <c r="AC114" s="694"/>
      <c r="AD114" s="480"/>
      <c r="AE114" s="695" t="s">
        <v>854</v>
      </c>
      <c r="AF114" s="695"/>
      <c r="AG114" s="695"/>
      <c r="AH114" s="695"/>
      <c r="AI114" s="695"/>
      <c r="AJ114" s="695"/>
      <c r="AK114" s="695"/>
      <c r="AL114" s="695"/>
      <c r="AM114" s="695"/>
      <c r="AN114" s="695"/>
      <c r="AO114" s="695"/>
      <c r="AP114" s="695"/>
      <c r="AQ114" s="695"/>
      <c r="AR114" s="695"/>
      <c r="AS114" s="695"/>
      <c r="AT114" s="695"/>
      <c r="AU114" s="695"/>
      <c r="AV114" s="695"/>
      <c r="AW114" s="695"/>
      <c r="AX114" s="695"/>
      <c r="AY114" s="695"/>
      <c r="AZ114" s="695"/>
      <c r="BA114" s="695"/>
      <c r="BB114" s="695"/>
      <c r="BC114" s="695"/>
      <c r="BD114" s="695"/>
      <c r="BE114" s="695"/>
      <c r="BF114" s="695"/>
      <c r="BG114" s="86"/>
    </row>
    <row r="115" spans="1:59" s="481" customFormat="1" x14ac:dyDescent="0.2">
      <c r="A115" s="94"/>
      <c r="B115" s="694"/>
      <c r="C115" s="694"/>
      <c r="D115" s="694"/>
      <c r="E115" s="694"/>
      <c r="F115" s="694"/>
      <c r="G115" s="694"/>
      <c r="H115" s="694"/>
      <c r="I115" s="694"/>
      <c r="J115" s="694"/>
      <c r="K115" s="694"/>
      <c r="L115" s="694"/>
      <c r="M115" s="694"/>
      <c r="N115" s="694"/>
      <c r="O115" s="694"/>
      <c r="P115" s="694"/>
      <c r="Q115" s="694"/>
      <c r="R115" s="694"/>
      <c r="S115" s="694"/>
      <c r="T115" s="694"/>
      <c r="U115" s="694"/>
      <c r="V115" s="694"/>
      <c r="W115" s="694"/>
      <c r="X115" s="694"/>
      <c r="Y115" s="694"/>
      <c r="Z115" s="694"/>
      <c r="AA115" s="694"/>
      <c r="AB115" s="694"/>
      <c r="AC115" s="694"/>
      <c r="AD115" s="480"/>
      <c r="AE115" s="468"/>
      <c r="AF115" s="468"/>
      <c r="AG115" s="468"/>
      <c r="AH115" s="468"/>
      <c r="AI115" s="468"/>
      <c r="AJ115" s="468"/>
      <c r="AK115" s="468"/>
      <c r="AL115" s="468"/>
      <c r="AM115" s="468"/>
      <c r="AN115" s="468"/>
      <c r="AO115" s="468"/>
      <c r="AP115" s="468"/>
      <c r="AQ115" s="468"/>
      <c r="AR115" s="468"/>
      <c r="AS115" s="468"/>
      <c r="AT115" s="468"/>
      <c r="AU115" s="468"/>
      <c r="AV115" s="468"/>
      <c r="AW115" s="468"/>
      <c r="AX115" s="468"/>
      <c r="AY115" s="468"/>
      <c r="AZ115" s="468"/>
      <c r="BA115" s="468"/>
      <c r="BB115" s="468"/>
      <c r="BC115" s="468"/>
      <c r="BD115" s="468"/>
      <c r="BE115" s="468"/>
      <c r="BF115" s="468"/>
      <c r="BG115" s="468"/>
    </row>
    <row r="116" spans="1:59" s="481" customFormat="1" x14ac:dyDescent="0.2">
      <c r="A116" s="94"/>
      <c r="B116" s="694"/>
      <c r="C116" s="694"/>
      <c r="D116" s="694"/>
      <c r="E116" s="694"/>
      <c r="F116" s="694"/>
      <c r="G116" s="694"/>
      <c r="H116" s="694"/>
      <c r="I116" s="694"/>
      <c r="J116" s="694"/>
      <c r="K116" s="694"/>
      <c r="L116" s="694"/>
      <c r="M116" s="694"/>
      <c r="N116" s="694"/>
      <c r="O116" s="694"/>
      <c r="P116" s="694"/>
      <c r="Q116" s="694"/>
      <c r="R116" s="694"/>
      <c r="S116" s="694"/>
      <c r="T116" s="694"/>
      <c r="U116" s="694"/>
      <c r="V116" s="694"/>
      <c r="W116" s="694"/>
      <c r="X116" s="694"/>
      <c r="Y116" s="694"/>
      <c r="Z116" s="694"/>
      <c r="AA116" s="694"/>
      <c r="AB116" s="694"/>
      <c r="AC116" s="694"/>
      <c r="AD116" s="480"/>
      <c r="AE116" s="88" t="s">
        <v>855</v>
      </c>
      <c r="AF116" s="694" t="s">
        <v>447</v>
      </c>
      <c r="AG116" s="694"/>
      <c r="AH116" s="694"/>
      <c r="AI116" s="694"/>
      <c r="AJ116" s="694"/>
      <c r="AK116" s="694"/>
      <c r="AL116" s="694"/>
      <c r="AM116" s="694"/>
      <c r="AN116" s="694"/>
      <c r="AO116" s="694"/>
      <c r="AP116" s="694"/>
      <c r="AQ116" s="694"/>
      <c r="AR116" s="694"/>
      <c r="AS116" s="694"/>
      <c r="AT116" s="694"/>
      <c r="AU116" s="694"/>
      <c r="AV116" s="694"/>
      <c r="AW116" s="694"/>
      <c r="AX116" s="694"/>
      <c r="AY116" s="694"/>
      <c r="AZ116" s="694"/>
      <c r="BA116" s="694"/>
      <c r="BB116" s="694"/>
      <c r="BC116" s="694"/>
      <c r="BD116" s="694"/>
      <c r="BE116" s="694"/>
      <c r="BF116" s="694"/>
      <c r="BG116" s="694"/>
    </row>
    <row r="117" spans="1:59" s="481" customFormat="1" x14ac:dyDescent="0.2">
      <c r="A117" s="94"/>
      <c r="B117" s="694"/>
      <c r="C117" s="694"/>
      <c r="D117" s="694"/>
      <c r="E117" s="694"/>
      <c r="F117" s="694"/>
      <c r="G117" s="694"/>
      <c r="H117" s="694"/>
      <c r="I117" s="694"/>
      <c r="J117" s="694"/>
      <c r="K117" s="694"/>
      <c r="L117" s="694"/>
      <c r="M117" s="694"/>
      <c r="N117" s="694"/>
      <c r="O117" s="694"/>
      <c r="P117" s="694"/>
      <c r="Q117" s="694"/>
      <c r="R117" s="694"/>
      <c r="S117" s="694"/>
      <c r="T117" s="694"/>
      <c r="U117" s="694"/>
      <c r="V117" s="694"/>
      <c r="W117" s="694"/>
      <c r="X117" s="694"/>
      <c r="Y117" s="694"/>
      <c r="Z117" s="694"/>
      <c r="AA117" s="694"/>
      <c r="AB117" s="694"/>
      <c r="AC117" s="694"/>
      <c r="AD117" s="480"/>
      <c r="AE117" s="94"/>
      <c r="AF117" s="694"/>
      <c r="AG117" s="694"/>
      <c r="AH117" s="694"/>
      <c r="AI117" s="694"/>
      <c r="AJ117" s="694"/>
      <c r="AK117" s="694"/>
      <c r="AL117" s="694"/>
      <c r="AM117" s="694"/>
      <c r="AN117" s="694"/>
      <c r="AO117" s="694"/>
      <c r="AP117" s="694"/>
      <c r="AQ117" s="694"/>
      <c r="AR117" s="694"/>
      <c r="AS117" s="694"/>
      <c r="AT117" s="694"/>
      <c r="AU117" s="694"/>
      <c r="AV117" s="694"/>
      <c r="AW117" s="694"/>
      <c r="AX117" s="694"/>
      <c r="AY117" s="694"/>
      <c r="AZ117" s="694"/>
      <c r="BA117" s="694"/>
      <c r="BB117" s="694"/>
      <c r="BC117" s="694"/>
      <c r="BD117" s="694"/>
      <c r="BE117" s="694"/>
      <c r="BF117" s="694"/>
      <c r="BG117" s="694"/>
    </row>
    <row r="118" spans="1:59" s="481" customFormat="1" x14ac:dyDescent="0.2">
      <c r="A118" s="482"/>
      <c r="B118" s="482"/>
      <c r="C118" s="482"/>
      <c r="D118" s="482"/>
      <c r="E118" s="482"/>
      <c r="F118" s="482"/>
      <c r="G118" s="482"/>
      <c r="H118" s="482"/>
      <c r="I118" s="482"/>
      <c r="J118" s="482"/>
      <c r="K118" s="482"/>
      <c r="L118" s="482"/>
      <c r="M118" s="482"/>
      <c r="N118" s="482"/>
      <c r="O118" s="482"/>
      <c r="P118" s="482"/>
      <c r="Q118" s="482"/>
      <c r="R118" s="482"/>
      <c r="S118" s="482"/>
      <c r="T118" s="482"/>
      <c r="U118" s="482"/>
      <c r="V118" s="482"/>
      <c r="W118" s="482"/>
      <c r="X118" s="482"/>
      <c r="Y118" s="482"/>
      <c r="Z118" s="482"/>
      <c r="AA118" s="482"/>
      <c r="AB118" s="482"/>
      <c r="AC118" s="482"/>
      <c r="AD118" s="480"/>
      <c r="AE118" s="95"/>
      <c r="AF118" s="694"/>
      <c r="AG118" s="694"/>
      <c r="AH118" s="694"/>
      <c r="AI118" s="694"/>
      <c r="AJ118" s="694"/>
      <c r="AK118" s="694"/>
      <c r="AL118" s="694"/>
      <c r="AM118" s="694"/>
      <c r="AN118" s="694"/>
      <c r="AO118" s="694"/>
      <c r="AP118" s="694"/>
      <c r="AQ118" s="694"/>
      <c r="AR118" s="694"/>
      <c r="AS118" s="694"/>
      <c r="AT118" s="694"/>
      <c r="AU118" s="694"/>
      <c r="AV118" s="694"/>
      <c r="AW118" s="694"/>
      <c r="AX118" s="694"/>
      <c r="AY118" s="694"/>
      <c r="AZ118" s="694"/>
      <c r="BA118" s="694"/>
      <c r="BB118" s="694"/>
      <c r="BC118" s="694"/>
      <c r="BD118" s="694"/>
      <c r="BE118" s="694"/>
      <c r="BF118" s="694"/>
      <c r="BG118" s="694"/>
    </row>
    <row r="119" spans="1:59" s="481" customFormat="1" x14ac:dyDescent="0.2">
      <c r="A119" s="695" t="s">
        <v>646</v>
      </c>
      <c r="B119" s="695"/>
      <c r="C119" s="695"/>
      <c r="D119" s="695"/>
      <c r="E119" s="695"/>
      <c r="F119" s="695"/>
      <c r="G119" s="695"/>
      <c r="H119" s="695"/>
      <c r="I119" s="695"/>
      <c r="J119" s="695"/>
      <c r="K119" s="695"/>
      <c r="L119" s="695"/>
      <c r="M119" s="695"/>
      <c r="N119" s="695"/>
      <c r="O119" s="695"/>
      <c r="P119" s="695"/>
      <c r="Q119" s="695"/>
      <c r="R119" s="695"/>
      <c r="S119" s="695"/>
      <c r="T119" s="695"/>
      <c r="U119" s="695"/>
      <c r="V119" s="695"/>
      <c r="W119" s="695"/>
      <c r="X119" s="695"/>
      <c r="Y119" s="695"/>
      <c r="Z119" s="695"/>
      <c r="AA119" s="695"/>
      <c r="AB119" s="695"/>
      <c r="AC119" s="86"/>
      <c r="AD119" s="480"/>
      <c r="AE119" s="88" t="s">
        <v>856</v>
      </c>
      <c r="AF119" s="694" t="s">
        <v>36</v>
      </c>
      <c r="AG119" s="694"/>
      <c r="AH119" s="694"/>
      <c r="AI119" s="694"/>
      <c r="AJ119" s="694"/>
      <c r="AK119" s="694"/>
      <c r="AL119" s="694"/>
      <c r="AM119" s="694"/>
      <c r="AN119" s="694"/>
      <c r="AO119" s="694"/>
      <c r="AP119" s="694"/>
      <c r="AQ119" s="694"/>
      <c r="AR119" s="694"/>
      <c r="AS119" s="694"/>
      <c r="AT119" s="694"/>
      <c r="AU119" s="694"/>
      <c r="AV119" s="694"/>
      <c r="AW119" s="694"/>
      <c r="AX119" s="694"/>
      <c r="AY119" s="694"/>
      <c r="AZ119" s="694"/>
      <c r="BA119" s="694"/>
      <c r="BB119" s="694"/>
      <c r="BC119" s="694"/>
      <c r="BD119" s="694"/>
      <c r="BE119" s="694"/>
      <c r="BF119" s="694"/>
      <c r="BG119" s="694"/>
    </row>
    <row r="120" spans="1:59" s="481" customFormat="1" x14ac:dyDescent="0.2">
      <c r="A120" s="456"/>
      <c r="B120" s="456"/>
      <c r="C120" s="456"/>
      <c r="D120" s="456"/>
      <c r="E120" s="456"/>
      <c r="F120" s="456"/>
      <c r="G120" s="456"/>
      <c r="H120" s="456"/>
      <c r="I120" s="456"/>
      <c r="J120" s="456"/>
      <c r="K120" s="456"/>
      <c r="L120" s="456"/>
      <c r="M120" s="456"/>
      <c r="N120" s="456"/>
      <c r="O120" s="456"/>
      <c r="P120" s="456"/>
      <c r="Q120" s="456"/>
      <c r="R120" s="456"/>
      <c r="S120" s="456"/>
      <c r="T120" s="456"/>
      <c r="U120" s="456"/>
      <c r="V120" s="456"/>
      <c r="W120" s="456"/>
      <c r="X120" s="456"/>
      <c r="Y120" s="456"/>
      <c r="Z120" s="456"/>
      <c r="AA120" s="456"/>
      <c r="AB120" s="456"/>
      <c r="AC120" s="455"/>
      <c r="AD120" s="480"/>
      <c r="AE120" s="460"/>
      <c r="AF120" s="694"/>
      <c r="AG120" s="694"/>
      <c r="AH120" s="694"/>
      <c r="AI120" s="694"/>
      <c r="AJ120" s="694"/>
      <c r="AK120" s="694"/>
      <c r="AL120" s="694"/>
      <c r="AM120" s="694"/>
      <c r="AN120" s="694"/>
      <c r="AO120" s="694"/>
      <c r="AP120" s="694"/>
      <c r="AQ120" s="694"/>
      <c r="AR120" s="694"/>
      <c r="AS120" s="694"/>
      <c r="AT120" s="694"/>
      <c r="AU120" s="694"/>
      <c r="AV120" s="694"/>
      <c r="AW120" s="694"/>
      <c r="AX120" s="694"/>
      <c r="AY120" s="694"/>
      <c r="AZ120" s="694"/>
      <c r="BA120" s="694"/>
      <c r="BB120" s="694"/>
      <c r="BC120" s="694"/>
      <c r="BD120" s="694"/>
      <c r="BE120" s="694"/>
      <c r="BF120" s="694"/>
      <c r="BG120" s="694"/>
    </row>
    <row r="121" spans="1:59" s="481" customFormat="1" ht="11.25" customHeight="1" x14ac:dyDescent="0.2">
      <c r="A121" s="88" t="s">
        <v>647</v>
      </c>
      <c r="B121" s="693" t="s">
        <v>937</v>
      </c>
      <c r="C121" s="693"/>
      <c r="D121" s="693"/>
      <c r="E121" s="693"/>
      <c r="F121" s="693"/>
      <c r="G121" s="693"/>
      <c r="H121" s="693"/>
      <c r="I121" s="693"/>
      <c r="J121" s="693"/>
      <c r="K121" s="693"/>
      <c r="L121" s="693"/>
      <c r="M121" s="693"/>
      <c r="N121" s="693"/>
      <c r="O121" s="693"/>
      <c r="P121" s="693"/>
      <c r="Q121" s="693"/>
      <c r="R121" s="693"/>
      <c r="S121" s="693"/>
      <c r="T121" s="693"/>
      <c r="U121" s="693"/>
      <c r="V121" s="693"/>
      <c r="W121" s="693"/>
      <c r="X121" s="693"/>
      <c r="Y121" s="693"/>
      <c r="Z121" s="693"/>
      <c r="AA121" s="693"/>
      <c r="AB121" s="693"/>
      <c r="AC121" s="693"/>
      <c r="AE121" s="94"/>
      <c r="AF121" s="694"/>
      <c r="AG121" s="694"/>
      <c r="AH121" s="694"/>
      <c r="AI121" s="694"/>
      <c r="AJ121" s="694"/>
      <c r="AK121" s="694"/>
      <c r="AL121" s="694"/>
      <c r="AM121" s="694"/>
      <c r="AN121" s="694"/>
      <c r="AO121" s="694"/>
      <c r="AP121" s="694"/>
      <c r="AQ121" s="694"/>
      <c r="AR121" s="694"/>
      <c r="AS121" s="694"/>
      <c r="AT121" s="694"/>
      <c r="AU121" s="694"/>
      <c r="AV121" s="694"/>
      <c r="AW121" s="694"/>
      <c r="AX121" s="694"/>
      <c r="AY121" s="694"/>
      <c r="AZ121" s="694"/>
      <c r="BA121" s="694"/>
      <c r="BB121" s="694"/>
      <c r="BC121" s="694"/>
      <c r="BD121" s="694"/>
      <c r="BE121" s="694"/>
      <c r="BF121" s="694"/>
      <c r="BG121" s="694"/>
    </row>
    <row r="122" spans="1:59" s="481" customFormat="1" x14ac:dyDescent="0.2">
      <c r="A122" s="94"/>
      <c r="B122" s="693"/>
      <c r="C122" s="693"/>
      <c r="D122" s="693"/>
      <c r="E122" s="693"/>
      <c r="F122" s="693"/>
      <c r="G122" s="693"/>
      <c r="H122" s="693"/>
      <c r="I122" s="693"/>
      <c r="J122" s="693"/>
      <c r="K122" s="693"/>
      <c r="L122" s="693"/>
      <c r="M122" s="693"/>
      <c r="N122" s="693"/>
      <c r="O122" s="693"/>
      <c r="P122" s="693"/>
      <c r="Q122" s="693"/>
      <c r="R122" s="693"/>
      <c r="S122" s="693"/>
      <c r="T122" s="693"/>
      <c r="U122" s="693"/>
      <c r="V122" s="693"/>
      <c r="W122" s="693"/>
      <c r="X122" s="693"/>
      <c r="Y122" s="693"/>
      <c r="Z122" s="693"/>
      <c r="AA122" s="693"/>
      <c r="AB122" s="693"/>
      <c r="AC122" s="693"/>
      <c r="AE122" s="94"/>
      <c r="AF122" s="694"/>
      <c r="AG122" s="694"/>
      <c r="AH122" s="694"/>
      <c r="AI122" s="694"/>
      <c r="AJ122" s="694"/>
      <c r="AK122" s="694"/>
      <c r="AL122" s="694"/>
      <c r="AM122" s="694"/>
      <c r="AN122" s="694"/>
      <c r="AO122" s="694"/>
      <c r="AP122" s="694"/>
      <c r="AQ122" s="694"/>
      <c r="AR122" s="694"/>
      <c r="AS122" s="694"/>
      <c r="AT122" s="694"/>
      <c r="AU122" s="694"/>
      <c r="AV122" s="694"/>
      <c r="AW122" s="694"/>
      <c r="AX122" s="694"/>
      <c r="AY122" s="694"/>
      <c r="AZ122" s="694"/>
      <c r="BA122" s="694"/>
      <c r="BB122" s="694"/>
      <c r="BC122" s="694"/>
      <c r="BD122" s="694"/>
      <c r="BE122" s="694"/>
      <c r="BF122" s="694"/>
      <c r="BG122" s="694"/>
    </row>
    <row r="123" spans="1:59" s="481" customFormat="1" x14ac:dyDescent="0.2">
      <c r="A123" s="468"/>
      <c r="B123" s="693"/>
      <c r="C123" s="693"/>
      <c r="D123" s="693"/>
      <c r="E123" s="693"/>
      <c r="F123" s="693"/>
      <c r="G123" s="693"/>
      <c r="H123" s="693"/>
      <c r="I123" s="693"/>
      <c r="J123" s="693"/>
      <c r="K123" s="693"/>
      <c r="L123" s="693"/>
      <c r="M123" s="693"/>
      <c r="N123" s="693"/>
      <c r="O123" s="693"/>
      <c r="P123" s="693"/>
      <c r="Q123" s="693"/>
      <c r="R123" s="693"/>
      <c r="S123" s="693"/>
      <c r="T123" s="693"/>
      <c r="U123" s="693"/>
      <c r="V123" s="693"/>
      <c r="W123" s="693"/>
      <c r="X123" s="693"/>
      <c r="Y123" s="693"/>
      <c r="Z123" s="693"/>
      <c r="AA123" s="693"/>
      <c r="AB123" s="693"/>
      <c r="AC123" s="693"/>
      <c r="AE123" s="92" t="s">
        <v>857</v>
      </c>
      <c r="AF123" s="694" t="s">
        <v>417</v>
      </c>
      <c r="AG123" s="694"/>
      <c r="AH123" s="694"/>
      <c r="AI123" s="694"/>
      <c r="AJ123" s="694"/>
      <c r="AK123" s="694"/>
      <c r="AL123" s="694"/>
      <c r="AM123" s="694"/>
      <c r="AN123" s="694"/>
      <c r="AO123" s="694"/>
      <c r="AP123" s="694"/>
      <c r="AQ123" s="694"/>
      <c r="AR123" s="694"/>
      <c r="AS123" s="694"/>
      <c r="AT123" s="694"/>
      <c r="AU123" s="694"/>
      <c r="AV123" s="694"/>
      <c r="AW123" s="694"/>
      <c r="AX123" s="694"/>
      <c r="AY123" s="694"/>
      <c r="AZ123" s="694"/>
      <c r="BA123" s="694"/>
      <c r="BB123" s="694"/>
      <c r="BC123" s="694"/>
      <c r="BD123" s="694"/>
      <c r="BE123" s="694"/>
      <c r="BF123" s="694"/>
      <c r="BG123" s="694"/>
    </row>
    <row r="124" spans="1:59" s="481" customFormat="1" x14ac:dyDescent="0.2">
      <c r="A124" s="468"/>
      <c r="B124" s="693"/>
      <c r="C124" s="693"/>
      <c r="D124" s="693"/>
      <c r="E124" s="693"/>
      <c r="F124" s="693"/>
      <c r="G124" s="693"/>
      <c r="H124" s="693"/>
      <c r="I124" s="693"/>
      <c r="J124" s="693"/>
      <c r="K124" s="693"/>
      <c r="L124" s="693"/>
      <c r="M124" s="693"/>
      <c r="N124" s="693"/>
      <c r="O124" s="693"/>
      <c r="P124" s="693"/>
      <c r="Q124" s="693"/>
      <c r="R124" s="693"/>
      <c r="S124" s="693"/>
      <c r="T124" s="693"/>
      <c r="U124" s="693"/>
      <c r="V124" s="693"/>
      <c r="W124" s="693"/>
      <c r="X124" s="693"/>
      <c r="Y124" s="693"/>
      <c r="Z124" s="693"/>
      <c r="AA124" s="693"/>
      <c r="AB124" s="693"/>
      <c r="AC124" s="693"/>
      <c r="AE124" s="94"/>
      <c r="AF124" s="694"/>
      <c r="AG124" s="694"/>
      <c r="AH124" s="694"/>
      <c r="AI124" s="694"/>
      <c r="AJ124" s="694"/>
      <c r="AK124" s="694"/>
      <c r="AL124" s="694"/>
      <c r="AM124" s="694"/>
      <c r="AN124" s="694"/>
      <c r="AO124" s="694"/>
      <c r="AP124" s="694"/>
      <c r="AQ124" s="694"/>
      <c r="AR124" s="694"/>
      <c r="AS124" s="694"/>
      <c r="AT124" s="694"/>
      <c r="AU124" s="694"/>
      <c r="AV124" s="694"/>
      <c r="AW124" s="694"/>
      <c r="AX124" s="694"/>
      <c r="AY124" s="694"/>
      <c r="AZ124" s="694"/>
      <c r="BA124" s="694"/>
      <c r="BB124" s="694"/>
      <c r="BC124" s="694"/>
      <c r="BD124" s="694"/>
      <c r="BE124" s="694"/>
      <c r="BF124" s="694"/>
      <c r="BG124" s="694"/>
    </row>
    <row r="125" spans="1:59" s="481" customFormat="1" x14ac:dyDescent="0.2">
      <c r="A125" s="468"/>
      <c r="B125" s="693"/>
      <c r="C125" s="693"/>
      <c r="D125" s="693"/>
      <c r="E125" s="693"/>
      <c r="F125" s="693"/>
      <c r="G125" s="693"/>
      <c r="H125" s="693"/>
      <c r="I125" s="693"/>
      <c r="J125" s="693"/>
      <c r="K125" s="693"/>
      <c r="L125" s="693"/>
      <c r="M125" s="693"/>
      <c r="N125" s="693"/>
      <c r="O125" s="693"/>
      <c r="P125" s="693"/>
      <c r="Q125" s="693"/>
      <c r="R125" s="693"/>
      <c r="S125" s="693"/>
      <c r="T125" s="693"/>
      <c r="U125" s="693"/>
      <c r="V125" s="693"/>
      <c r="W125" s="693"/>
      <c r="X125" s="693"/>
      <c r="Y125" s="693"/>
      <c r="Z125" s="693"/>
      <c r="AA125" s="693"/>
      <c r="AB125" s="693"/>
      <c r="AC125" s="693"/>
      <c r="AE125" s="468"/>
      <c r="AF125" s="694"/>
      <c r="AG125" s="694"/>
      <c r="AH125" s="694"/>
      <c r="AI125" s="694"/>
      <c r="AJ125" s="694"/>
      <c r="AK125" s="694"/>
      <c r="AL125" s="694"/>
      <c r="AM125" s="694"/>
      <c r="AN125" s="694"/>
      <c r="AO125" s="694"/>
      <c r="AP125" s="694"/>
      <c r="AQ125" s="694"/>
      <c r="AR125" s="694"/>
      <c r="AS125" s="694"/>
      <c r="AT125" s="694"/>
      <c r="AU125" s="694"/>
      <c r="AV125" s="694"/>
      <c r="AW125" s="694"/>
      <c r="AX125" s="694"/>
      <c r="AY125" s="694"/>
      <c r="AZ125" s="694"/>
      <c r="BA125" s="694"/>
      <c r="BB125" s="694"/>
      <c r="BC125" s="694"/>
      <c r="BD125" s="694"/>
      <c r="BE125" s="694"/>
      <c r="BF125" s="694"/>
      <c r="BG125" s="694"/>
    </row>
    <row r="126" spans="1:59" s="481" customFormat="1" x14ac:dyDescent="0.2">
      <c r="A126" s="468"/>
      <c r="B126" s="693"/>
      <c r="C126" s="693"/>
      <c r="D126" s="693"/>
      <c r="E126" s="693"/>
      <c r="F126" s="693"/>
      <c r="G126" s="693"/>
      <c r="H126" s="693"/>
      <c r="I126" s="693"/>
      <c r="J126" s="693"/>
      <c r="K126" s="693"/>
      <c r="L126" s="693"/>
      <c r="M126" s="693"/>
      <c r="N126" s="693"/>
      <c r="O126" s="693"/>
      <c r="P126" s="693"/>
      <c r="Q126" s="693"/>
      <c r="R126" s="693"/>
      <c r="S126" s="693"/>
      <c r="T126" s="693"/>
      <c r="U126" s="693"/>
      <c r="V126" s="693"/>
      <c r="W126" s="693"/>
      <c r="X126" s="693"/>
      <c r="Y126" s="693"/>
      <c r="Z126" s="693"/>
      <c r="AA126" s="693"/>
      <c r="AB126" s="693"/>
      <c r="AC126" s="693"/>
      <c r="AD126" s="480"/>
      <c r="AE126" s="94"/>
      <c r="AF126" s="694"/>
      <c r="AG126" s="694"/>
      <c r="AH126" s="694"/>
      <c r="AI126" s="694"/>
      <c r="AJ126" s="694"/>
      <c r="AK126" s="694"/>
      <c r="AL126" s="694"/>
      <c r="AM126" s="694"/>
      <c r="AN126" s="694"/>
      <c r="AO126" s="694"/>
      <c r="AP126" s="694"/>
      <c r="AQ126" s="694"/>
      <c r="AR126" s="694"/>
      <c r="AS126" s="694"/>
      <c r="AT126" s="694"/>
      <c r="AU126" s="694"/>
      <c r="AV126" s="694"/>
      <c r="AW126" s="694"/>
      <c r="AX126" s="694"/>
      <c r="AY126" s="694"/>
      <c r="AZ126" s="694"/>
      <c r="BA126" s="694"/>
      <c r="BB126" s="694"/>
      <c r="BC126" s="694"/>
      <c r="BD126" s="694"/>
      <c r="BE126" s="694"/>
      <c r="BF126" s="694"/>
      <c r="BG126" s="694"/>
    </row>
    <row r="127" spans="1:59" s="481" customFormat="1" x14ac:dyDescent="0.2">
      <c r="AD127" s="480"/>
    </row>
    <row r="128" spans="1:59" s="468" customFormat="1" x14ac:dyDescent="0.2">
      <c r="A128" s="459"/>
      <c r="B128" s="459"/>
      <c r="C128" s="459"/>
      <c r="D128" s="459"/>
      <c r="E128" s="459"/>
      <c r="F128" s="459"/>
      <c r="G128" s="459"/>
      <c r="H128" s="459"/>
      <c r="I128" s="459"/>
      <c r="J128" s="459"/>
      <c r="K128" s="459"/>
      <c r="L128" s="459"/>
      <c r="M128" s="459"/>
      <c r="N128" s="459"/>
      <c r="O128" s="459"/>
      <c r="P128" s="459"/>
      <c r="Q128" s="459"/>
      <c r="R128" s="459"/>
      <c r="S128" s="459"/>
      <c r="T128" s="459"/>
      <c r="U128" s="459"/>
      <c r="V128" s="459"/>
      <c r="W128" s="459"/>
      <c r="X128" s="459"/>
      <c r="Y128" s="459"/>
      <c r="Z128" s="459"/>
      <c r="AA128" s="459"/>
      <c r="AB128" s="459"/>
      <c r="AC128" s="459"/>
      <c r="AD128" s="459"/>
      <c r="AE128" s="459"/>
      <c r="AF128" s="459"/>
      <c r="AG128" s="459"/>
      <c r="AH128" s="459"/>
      <c r="AI128" s="459"/>
      <c r="AJ128" s="459"/>
      <c r="AK128" s="459"/>
      <c r="AL128" s="459"/>
      <c r="AM128" s="459"/>
      <c r="AN128" s="459"/>
      <c r="AO128" s="459"/>
      <c r="AP128" s="459"/>
      <c r="AQ128" s="459"/>
      <c r="AR128" s="459"/>
      <c r="AS128" s="459"/>
      <c r="AT128" s="459"/>
      <c r="AU128" s="459"/>
      <c r="AV128" s="459"/>
      <c r="AW128" s="459"/>
      <c r="AX128" s="459"/>
      <c r="AY128" s="459"/>
      <c r="AZ128" s="459"/>
      <c r="BA128" s="459"/>
      <c r="BB128" s="459"/>
      <c r="BC128" s="459"/>
      <c r="BD128" s="459"/>
      <c r="BE128" s="459"/>
      <c r="BF128" s="459"/>
      <c r="BG128" s="459"/>
    </row>
    <row r="129" spans="1:59" s="468" customFormat="1" x14ac:dyDescent="0.2">
      <c r="A129" s="720" t="s">
        <v>35</v>
      </c>
      <c r="B129" s="720"/>
      <c r="C129" s="720"/>
      <c r="D129" s="720"/>
      <c r="E129" s="720"/>
      <c r="F129" s="720"/>
      <c r="G129" s="720"/>
      <c r="H129" s="720"/>
      <c r="I129" s="720"/>
      <c r="J129" s="720"/>
      <c r="K129" s="720"/>
      <c r="L129" s="720"/>
      <c r="M129" s="720"/>
      <c r="N129" s="720"/>
      <c r="O129" s="720"/>
      <c r="P129" s="720"/>
      <c r="Q129" s="720"/>
      <c r="R129" s="720"/>
      <c r="S129" s="720"/>
      <c r="T129" s="720"/>
      <c r="U129" s="720"/>
      <c r="V129" s="720"/>
      <c r="W129" s="720"/>
      <c r="X129" s="720"/>
      <c r="Y129" s="720"/>
      <c r="Z129" s="720"/>
      <c r="AA129" s="720"/>
      <c r="AB129" s="720"/>
      <c r="AC129" s="720"/>
      <c r="AD129" s="720"/>
      <c r="AE129" s="720"/>
      <c r="AF129" s="720"/>
      <c r="AG129" s="720"/>
      <c r="AH129" s="720"/>
      <c r="AI129" s="720"/>
      <c r="AJ129" s="720"/>
      <c r="AK129" s="720"/>
      <c r="AL129" s="720"/>
      <c r="AM129" s="720"/>
      <c r="AN129" s="720"/>
      <c r="AO129" s="720"/>
      <c r="AP129" s="720"/>
      <c r="AQ129" s="720"/>
      <c r="AR129" s="720"/>
      <c r="AS129" s="720"/>
      <c r="AT129" s="720"/>
      <c r="AU129" s="720"/>
      <c r="AV129" s="720"/>
      <c r="AW129" s="720"/>
      <c r="AX129" s="720"/>
      <c r="AY129" s="720"/>
      <c r="AZ129" s="720"/>
      <c r="BA129" s="720"/>
      <c r="BB129" s="720"/>
      <c r="BC129" s="720"/>
      <c r="BD129" s="720"/>
      <c r="BE129" s="720"/>
      <c r="BF129" s="720"/>
      <c r="BG129" s="720"/>
    </row>
    <row r="130" spans="1:59" s="441" customFormat="1" x14ac:dyDescent="0.2">
      <c r="A130" s="440"/>
      <c r="B130" s="440"/>
      <c r="C130" s="440"/>
      <c r="D130" s="440"/>
      <c r="E130" s="440"/>
      <c r="F130" s="440"/>
      <c r="G130" s="440"/>
      <c r="H130" s="440"/>
      <c r="I130" s="440"/>
      <c r="J130" s="440"/>
      <c r="K130" s="440"/>
      <c r="L130" s="440"/>
      <c r="M130" s="440"/>
      <c r="N130" s="440"/>
      <c r="O130" s="440"/>
      <c r="P130" s="440"/>
      <c r="Q130" s="440"/>
      <c r="R130" s="440"/>
      <c r="S130" s="440"/>
      <c r="T130" s="440"/>
      <c r="U130" s="440"/>
      <c r="V130" s="440"/>
      <c r="W130" s="440"/>
      <c r="X130" s="440"/>
      <c r="Y130" s="440"/>
      <c r="Z130" s="440"/>
      <c r="AA130" s="440"/>
      <c r="AB130" s="440"/>
      <c r="AC130" s="440"/>
      <c r="AD130" s="440"/>
      <c r="AE130" s="440"/>
      <c r="AF130" s="440"/>
      <c r="AG130" s="440"/>
      <c r="AH130" s="440"/>
      <c r="AI130" s="440"/>
      <c r="AJ130" s="440"/>
      <c r="AK130" s="440"/>
      <c r="AL130" s="440"/>
      <c r="AM130" s="440"/>
      <c r="AN130" s="440"/>
      <c r="AO130" s="440"/>
      <c r="AP130" s="440"/>
      <c r="AQ130" s="440"/>
      <c r="AR130" s="440"/>
      <c r="AS130" s="440"/>
      <c r="AT130" s="440"/>
      <c r="AU130" s="440"/>
      <c r="AV130" s="440"/>
      <c r="AW130" s="440"/>
      <c r="AX130" s="440"/>
      <c r="AY130" s="440"/>
      <c r="AZ130" s="440"/>
      <c r="BA130" s="440"/>
      <c r="BB130" s="440"/>
      <c r="BC130" s="440"/>
      <c r="BD130" s="440"/>
      <c r="BE130" s="440"/>
      <c r="BF130" s="440"/>
      <c r="BG130" s="440"/>
    </row>
    <row r="131" spans="1:59" ht="11.25" customHeight="1" x14ac:dyDescent="0.2">
      <c r="A131" s="721" t="s">
        <v>867</v>
      </c>
      <c r="B131" s="722"/>
      <c r="C131" s="722"/>
      <c r="D131" s="722"/>
      <c r="E131" s="722"/>
      <c r="F131" s="722"/>
      <c r="G131" s="722"/>
      <c r="H131" s="722"/>
      <c r="I131" s="722"/>
      <c r="J131" s="722"/>
      <c r="K131" s="722"/>
      <c r="L131" s="722"/>
      <c r="M131" s="722"/>
      <c r="N131" s="722"/>
      <c r="O131" s="722"/>
      <c r="P131" s="722"/>
      <c r="Q131" s="722"/>
      <c r="R131" s="722"/>
      <c r="S131" s="722"/>
      <c r="T131" s="722"/>
      <c r="U131" s="722"/>
      <c r="V131" s="722"/>
      <c r="W131" s="722"/>
      <c r="X131" s="722"/>
      <c r="Y131" s="722"/>
      <c r="Z131" s="722"/>
      <c r="AA131" s="722"/>
      <c r="AB131" s="722"/>
      <c r="AC131" s="722"/>
      <c r="AD131" s="723"/>
      <c r="AE131" s="721" t="s">
        <v>861</v>
      </c>
      <c r="AF131" s="722"/>
      <c r="AG131" s="722"/>
      <c r="AH131" s="722"/>
      <c r="AI131" s="722"/>
      <c r="AJ131" s="722"/>
      <c r="AK131" s="722"/>
      <c r="AL131" s="722"/>
      <c r="AM131" s="722"/>
      <c r="AN131" s="722"/>
      <c r="AO131" s="722"/>
      <c r="AP131" s="722"/>
      <c r="AQ131" s="722"/>
      <c r="AR131" s="722"/>
      <c r="AS131" s="722"/>
      <c r="AT131" s="722"/>
      <c r="AU131" s="722"/>
      <c r="AV131" s="722"/>
      <c r="AW131" s="722"/>
      <c r="AX131" s="722"/>
      <c r="AY131" s="722"/>
      <c r="AZ131" s="722"/>
      <c r="BA131" s="722"/>
      <c r="BB131" s="722"/>
      <c r="BC131" s="722"/>
      <c r="BD131" s="722"/>
      <c r="BE131" s="722"/>
      <c r="BF131" s="722"/>
      <c r="BG131" s="723"/>
    </row>
    <row r="132" spans="1:59" x14ac:dyDescent="0.2">
      <c r="A132" s="103"/>
      <c r="B132" s="90"/>
      <c r="C132" s="90"/>
      <c r="D132" s="90"/>
      <c r="E132" s="90"/>
      <c r="F132" s="90"/>
      <c r="G132" s="90"/>
      <c r="H132" s="90"/>
      <c r="I132" s="715"/>
      <c r="J132" s="715"/>
      <c r="K132" s="715"/>
      <c r="L132" s="715"/>
      <c r="M132" s="715"/>
      <c r="N132" s="715"/>
      <c r="O132" s="715"/>
      <c r="P132" s="715"/>
      <c r="Q132" s="715"/>
      <c r="R132" s="715"/>
      <c r="S132" s="715"/>
      <c r="T132" s="715"/>
      <c r="U132" s="715"/>
      <c r="V132" s="715"/>
      <c r="W132" s="715"/>
      <c r="X132" s="715"/>
      <c r="Y132" s="92"/>
      <c r="Z132" s="92"/>
      <c r="AA132" s="92"/>
      <c r="AB132" s="92"/>
      <c r="AC132" s="92"/>
      <c r="AD132" s="92"/>
      <c r="AE132" s="473"/>
      <c r="AF132" s="474"/>
      <c r="AG132" s="474"/>
      <c r="AH132" s="474"/>
      <c r="AI132" s="474"/>
      <c r="AJ132" s="474"/>
      <c r="AK132" s="474"/>
      <c r="AL132" s="474"/>
      <c r="AM132" s="474"/>
      <c r="AN132" s="474"/>
      <c r="AO132" s="474"/>
      <c r="AP132" s="474"/>
      <c r="AQ132" s="474"/>
      <c r="AR132" s="474"/>
      <c r="AS132" s="474"/>
      <c r="AT132" s="474"/>
      <c r="AU132" s="474"/>
      <c r="AV132" s="474"/>
      <c r="AW132" s="475"/>
      <c r="AX132" s="475"/>
      <c r="AY132" s="475"/>
      <c r="AZ132" s="475"/>
      <c r="BA132" s="475"/>
      <c r="BB132" s="475"/>
      <c r="BC132" s="475"/>
      <c r="BD132" s="476"/>
      <c r="BE132" s="476"/>
      <c r="BF132" s="476"/>
      <c r="BG132" s="477"/>
    </row>
    <row r="133" spans="1:59" x14ac:dyDescent="0.2">
      <c r="A133" s="105"/>
      <c r="B133" s="102"/>
      <c r="C133" s="102"/>
      <c r="D133" s="715" t="s">
        <v>868</v>
      </c>
      <c r="E133" s="715"/>
      <c r="F133" s="715"/>
      <c r="G133" s="715"/>
      <c r="H133" s="715"/>
      <c r="I133" s="715"/>
      <c r="J133" s="715"/>
      <c r="K133" s="715"/>
      <c r="L133" s="715"/>
      <c r="M133" s="715"/>
      <c r="N133" s="715"/>
      <c r="O133" s="715"/>
      <c r="P133" s="715"/>
      <c r="Q133" s="715"/>
      <c r="R133" s="715"/>
      <c r="S133" s="715"/>
      <c r="T133" s="715"/>
      <c r="U133" s="715"/>
      <c r="V133" s="715"/>
      <c r="W133" s="715"/>
      <c r="X133" s="715"/>
      <c r="Y133" s="715"/>
      <c r="Z133" s="715"/>
      <c r="AA133" s="715"/>
      <c r="AB133" s="715"/>
      <c r="AC133" s="106"/>
      <c r="AD133" s="106"/>
      <c r="AE133" s="107"/>
      <c r="AF133" s="457"/>
      <c r="AG133" s="102"/>
      <c r="AH133" s="102"/>
      <c r="AI133" s="457"/>
      <c r="AJ133" s="457"/>
      <c r="AK133" s="457"/>
      <c r="AL133" s="457"/>
      <c r="AM133" s="457"/>
      <c r="AN133" s="457"/>
      <c r="AO133" s="457"/>
      <c r="AP133" s="716" t="str">
        <f>SURNAME_KREDITOR&amp;" "&amp;NAME_KREDITOR&amp;" "&amp;FATHERNAME_KREDITOR&amp;" "&amp;G_KREDITOR</f>
        <v>Həsənov Kənan Asdan qızı</v>
      </c>
      <c r="AQ133" s="716"/>
      <c r="AR133" s="716"/>
      <c r="AS133" s="716"/>
      <c r="AT133" s="716"/>
      <c r="AU133" s="716"/>
      <c r="AV133" s="716"/>
      <c r="AW133" s="716"/>
      <c r="AX133" s="716"/>
      <c r="AY133" s="716"/>
      <c r="AZ133" s="716"/>
      <c r="BA133" s="716"/>
      <c r="BB133" s="716"/>
      <c r="BC133" s="716"/>
      <c r="BD133" s="716"/>
      <c r="BE133" s="716"/>
      <c r="BF133" s="457"/>
      <c r="BG133" s="104"/>
    </row>
    <row r="134" spans="1:59" x14ac:dyDescent="0.2">
      <c r="A134" s="105"/>
      <c r="B134" s="106"/>
      <c r="C134" s="106"/>
      <c r="D134" s="106"/>
      <c r="E134" s="715" t="str">
        <f>NAME_BRANCH&amp;" "&amp;POSITION_MENEGER_BRANCH&amp;"
 "&amp;SURNAME_MENEGER_BRANCH&amp;" "&amp;NAME_MENEGER_BRANCH&amp;" "&amp;FATHERNAME_MENEGER_BRANCH&amp;" "&amp;G_MENEGER_BRANCH</f>
        <v>Ağcabədi  Filialının kredit meneceri
 Əhmədov  Bəhruz  Tofiq  oğlu</v>
      </c>
      <c r="F134" s="715"/>
      <c r="G134" s="715"/>
      <c r="H134" s="715"/>
      <c r="I134" s="715"/>
      <c r="J134" s="715"/>
      <c r="K134" s="715"/>
      <c r="L134" s="715"/>
      <c r="M134" s="715"/>
      <c r="N134" s="715"/>
      <c r="O134" s="715"/>
      <c r="P134" s="715"/>
      <c r="Q134" s="715"/>
      <c r="R134" s="715"/>
      <c r="S134" s="715"/>
      <c r="T134" s="715"/>
      <c r="U134" s="715"/>
      <c r="V134" s="715"/>
      <c r="W134" s="715"/>
      <c r="X134" s="715"/>
      <c r="Y134" s="715"/>
      <c r="Z134" s="715"/>
      <c r="AA134" s="715"/>
      <c r="AB134" s="91"/>
      <c r="AC134" s="91"/>
      <c r="AD134" s="457"/>
      <c r="AE134" s="105"/>
      <c r="AF134" s="719" t="str">
        <f>IF(OR(AP134=0,AP134=""),"","Şəxsiyyət vəsiqəsi: ")</f>
        <v xml:space="preserve">Şəxsiyyət vəsiqəsi: </v>
      </c>
      <c r="AG134" s="719"/>
      <c r="AH134" s="719"/>
      <c r="AI134" s="719"/>
      <c r="AJ134" s="719"/>
      <c r="AK134" s="719"/>
      <c r="AL134" s="719"/>
      <c r="AM134" s="719"/>
      <c r="AN134" s="719"/>
      <c r="AO134" s="719"/>
      <c r="AP134" s="698" t="str">
        <f>IF(OR(SHV_SN_KREDITOR=0,SHV_D_KREDITOR=0,SHV_R_KREDITOR=0,SHV_SN_KREDITOR="",SHV_D_KREDITOR="",SHV_R_KREDITOR=""),"",SHV_SN_KREDITOR&amp;"  "&amp;SHV_D_KREDITOR_SOZLE&amp;" "&amp;SHV_R_KREDITOR&amp;" tərəfindən verilmişdir.")</f>
        <v>AZE № 14577224  «27» May 2014-cü il Mingəçevir ŞPŞ tərəfindən verilmişdir.</v>
      </c>
      <c r="AQ134" s="698"/>
      <c r="AR134" s="698"/>
      <c r="AS134" s="698"/>
      <c r="AT134" s="698"/>
      <c r="AU134" s="698"/>
      <c r="AV134" s="698"/>
      <c r="AW134" s="698"/>
      <c r="AX134" s="698"/>
      <c r="AY134" s="698"/>
      <c r="AZ134" s="698"/>
      <c r="BA134" s="698"/>
      <c r="BB134" s="698"/>
      <c r="BC134" s="698"/>
      <c r="BD134" s="698"/>
      <c r="BE134" s="698"/>
      <c r="BF134" s="698"/>
      <c r="BG134" s="104"/>
    </row>
    <row r="135" spans="1:59" x14ac:dyDescent="0.2">
      <c r="A135" s="105"/>
      <c r="B135" s="91"/>
      <c r="C135" s="91"/>
      <c r="D135" s="91"/>
      <c r="E135" s="715"/>
      <c r="F135" s="715"/>
      <c r="G135" s="715"/>
      <c r="H135" s="715"/>
      <c r="I135" s="715"/>
      <c r="J135" s="715"/>
      <c r="K135" s="715"/>
      <c r="L135" s="715"/>
      <c r="M135" s="715"/>
      <c r="N135" s="715"/>
      <c r="O135" s="715"/>
      <c r="P135" s="715"/>
      <c r="Q135" s="715"/>
      <c r="R135" s="715"/>
      <c r="S135" s="715"/>
      <c r="T135" s="715"/>
      <c r="U135" s="715"/>
      <c r="V135" s="715"/>
      <c r="W135" s="715"/>
      <c r="X135" s="715"/>
      <c r="Y135" s="715"/>
      <c r="Z135" s="715"/>
      <c r="AA135" s="715"/>
      <c r="AB135" s="108"/>
      <c r="AC135" s="108"/>
      <c r="AD135" s="108"/>
      <c r="AE135" s="109"/>
      <c r="AF135" s="108"/>
      <c r="AG135" s="457"/>
      <c r="AH135" s="457"/>
      <c r="AI135" s="108"/>
      <c r="AJ135" s="108"/>
      <c r="AK135" s="108"/>
      <c r="AL135" s="108"/>
      <c r="AM135" s="108"/>
      <c r="AN135" s="108"/>
      <c r="AO135" s="108"/>
      <c r="AP135" s="698"/>
      <c r="AQ135" s="698"/>
      <c r="AR135" s="698"/>
      <c r="AS135" s="698"/>
      <c r="AT135" s="698"/>
      <c r="AU135" s="698"/>
      <c r="AV135" s="698"/>
      <c r="AW135" s="698"/>
      <c r="AX135" s="698"/>
      <c r="AY135" s="698"/>
      <c r="AZ135" s="698"/>
      <c r="BA135" s="698"/>
      <c r="BB135" s="698"/>
      <c r="BC135" s="698"/>
      <c r="BD135" s="698"/>
      <c r="BE135" s="698"/>
      <c r="BF135" s="698"/>
      <c r="BG135" s="104"/>
    </row>
    <row r="136" spans="1:59" x14ac:dyDescent="0.2">
      <c r="A136" s="105"/>
      <c r="B136" s="91"/>
      <c r="C136" s="91"/>
      <c r="D136" s="91"/>
      <c r="E136" s="91"/>
      <c r="F136" s="91"/>
      <c r="G136" s="717" t="s">
        <v>33</v>
      </c>
      <c r="H136" s="717"/>
      <c r="I136" s="717"/>
      <c r="J136" s="717"/>
      <c r="K136" s="698" t="str">
        <f>NAME_REGION &amp;", "&amp;ADDRESS_REGION</f>
        <v>Ağcabədi şəhəri, İ.Qayıbov 2</v>
      </c>
      <c r="L136" s="698"/>
      <c r="M136" s="698"/>
      <c r="N136" s="698"/>
      <c r="O136" s="698"/>
      <c r="P136" s="698"/>
      <c r="Q136" s="698"/>
      <c r="R136" s="698"/>
      <c r="S136" s="698"/>
      <c r="T136" s="698"/>
      <c r="U136" s="698"/>
      <c r="V136" s="698"/>
      <c r="W136" s="698"/>
      <c r="X136" s="698"/>
      <c r="Y136" s="698"/>
      <c r="Z136" s="698"/>
      <c r="AA136" s="106"/>
      <c r="AB136" s="91"/>
      <c r="AC136" s="91"/>
      <c r="AD136" s="457"/>
      <c r="AE136" s="105"/>
      <c r="AF136" s="457"/>
      <c r="AG136" s="457"/>
      <c r="AH136" s="457"/>
      <c r="AI136" s="457"/>
      <c r="AJ136" s="457"/>
      <c r="AK136" s="457"/>
      <c r="AL136" s="457"/>
      <c r="AM136" s="457"/>
      <c r="AN136" s="457"/>
      <c r="AO136" s="457"/>
      <c r="AP136" s="698"/>
      <c r="AQ136" s="698"/>
      <c r="AR136" s="698"/>
      <c r="AS136" s="698"/>
      <c r="AT136" s="698"/>
      <c r="AU136" s="698"/>
      <c r="AV136" s="698"/>
      <c r="AW136" s="698"/>
      <c r="AX136" s="698"/>
      <c r="AY136" s="698"/>
      <c r="AZ136" s="698"/>
      <c r="BA136" s="698"/>
      <c r="BB136" s="698"/>
      <c r="BC136" s="698"/>
      <c r="BD136" s="698"/>
      <c r="BE136" s="698"/>
      <c r="BF136" s="698"/>
      <c r="BG136" s="104"/>
    </row>
    <row r="137" spans="1:59" x14ac:dyDescent="0.2">
      <c r="A137" s="110"/>
      <c r="B137" s="89"/>
      <c r="C137" s="89"/>
      <c r="D137" s="89"/>
      <c r="E137" s="91"/>
      <c r="F137" s="91"/>
      <c r="G137" s="717"/>
      <c r="H137" s="717"/>
      <c r="I137" s="717"/>
      <c r="J137" s="717"/>
      <c r="K137" s="698"/>
      <c r="L137" s="698"/>
      <c r="M137" s="698"/>
      <c r="N137" s="698"/>
      <c r="O137" s="698"/>
      <c r="P137" s="698"/>
      <c r="Q137" s="698"/>
      <c r="R137" s="698"/>
      <c r="S137" s="698"/>
      <c r="T137" s="698"/>
      <c r="U137" s="698"/>
      <c r="V137" s="698"/>
      <c r="W137" s="698"/>
      <c r="X137" s="698"/>
      <c r="Y137" s="698"/>
      <c r="Z137" s="698"/>
      <c r="AA137" s="106"/>
      <c r="AB137" s="91"/>
      <c r="AC137" s="91"/>
      <c r="AD137" s="457"/>
      <c r="AE137" s="105"/>
      <c r="AF137" s="106"/>
      <c r="AG137" s="106"/>
      <c r="AH137" s="457"/>
      <c r="AI137" s="457"/>
      <c r="AJ137" s="457"/>
      <c r="AK137" s="457"/>
      <c r="AL137" s="457"/>
      <c r="AM137" s="720" t="str">
        <f>IF(OR(AP137=0,AP137=""),"","Ünvan:" )</f>
        <v>Ünvan:</v>
      </c>
      <c r="AN137" s="720"/>
      <c r="AO137" s="720"/>
      <c r="AP137" s="718" t="str">
        <f>IF(OR(ADDRESS_KREDITOR=0,ADDRESS_KREDITOR=""),"",ADDRESS_KREDITOR)</f>
        <v xml:space="preserve">Mingəçevir şəh., H.Əliyev PR., ev. 76/1, m. 22 </v>
      </c>
      <c r="AQ137" s="718"/>
      <c r="AR137" s="718"/>
      <c r="AS137" s="718"/>
      <c r="AT137" s="718"/>
      <c r="AU137" s="718"/>
      <c r="AV137" s="718"/>
      <c r="AW137" s="718"/>
      <c r="AX137" s="718"/>
      <c r="AY137" s="718"/>
      <c r="AZ137" s="718"/>
      <c r="BA137" s="718"/>
      <c r="BB137" s="718"/>
      <c r="BC137" s="718"/>
      <c r="BD137" s="718"/>
      <c r="BE137" s="718"/>
      <c r="BF137" s="718"/>
      <c r="BG137" s="104"/>
    </row>
    <row r="138" spans="1:59" x14ac:dyDescent="0.2">
      <c r="A138" s="110"/>
      <c r="B138" s="89"/>
      <c r="C138" s="89"/>
      <c r="D138" s="91"/>
      <c r="E138" s="91"/>
      <c r="F138" s="91"/>
      <c r="G138" s="719" t="str">
        <f>IF(OR(K138=0,K138=""),"","Telefon:")</f>
        <v>Telefon:</v>
      </c>
      <c r="H138" s="719"/>
      <c r="I138" s="719"/>
      <c r="J138" s="719"/>
      <c r="K138" s="716" t="str">
        <f>IF(OR(NUM_BRANCH=0,NUM_BRANCH=""),"",NUM_BRANCH)</f>
        <v>(+994 24) 274 13 23</v>
      </c>
      <c r="L138" s="716"/>
      <c r="M138" s="716"/>
      <c r="N138" s="716"/>
      <c r="O138" s="716"/>
      <c r="P138" s="716"/>
      <c r="Q138" s="716"/>
      <c r="R138" s="716"/>
      <c r="S138" s="716"/>
      <c r="T138" s="716"/>
      <c r="U138" s="716"/>
      <c r="V138" s="716"/>
      <c r="W138" s="716"/>
      <c r="X138" s="716"/>
      <c r="Y138" s="91"/>
      <c r="Z138" s="91"/>
      <c r="AA138" s="106"/>
      <c r="AB138" s="91"/>
      <c r="AC138" s="92"/>
      <c r="AD138" s="92"/>
      <c r="AE138" s="111"/>
      <c r="AF138" s="106"/>
      <c r="AG138" s="106"/>
      <c r="AH138" s="457"/>
      <c r="AI138" s="457"/>
      <c r="AJ138" s="457"/>
      <c r="AK138" s="457"/>
      <c r="AL138" s="457"/>
      <c r="AM138" s="92"/>
      <c r="AN138" s="92"/>
      <c r="AO138" s="92"/>
      <c r="AP138" s="718"/>
      <c r="AQ138" s="718"/>
      <c r="AR138" s="718"/>
      <c r="AS138" s="718"/>
      <c r="AT138" s="718"/>
      <c r="AU138" s="718"/>
      <c r="AV138" s="718"/>
      <c r="AW138" s="718"/>
      <c r="AX138" s="718"/>
      <c r="AY138" s="718"/>
      <c r="AZ138" s="718"/>
      <c r="BA138" s="718"/>
      <c r="BB138" s="718"/>
      <c r="BC138" s="718"/>
      <c r="BD138" s="718"/>
      <c r="BE138" s="718"/>
      <c r="BF138" s="718"/>
      <c r="BG138" s="104"/>
    </row>
    <row r="139" spans="1:59" x14ac:dyDescent="0.2">
      <c r="A139" s="105"/>
      <c r="B139" s="102"/>
      <c r="C139" s="102"/>
      <c r="D139" s="91"/>
      <c r="E139" s="91"/>
      <c r="F139" s="91"/>
      <c r="G139" s="719" t="str">
        <f>IF(OR(K139=0,K139=""),"","Faks:")</f>
        <v>Faks:</v>
      </c>
      <c r="H139" s="719"/>
      <c r="I139" s="719"/>
      <c r="J139" s="719"/>
      <c r="K139" s="716" t="str">
        <f>IF(OR(FAX_BRANCH=0,FAX_BRANCH=""),"",FAX_BRANCH)</f>
        <v>(+994 24) 274 20 24</v>
      </c>
      <c r="L139" s="716"/>
      <c r="M139" s="716"/>
      <c r="N139" s="716"/>
      <c r="O139" s="716"/>
      <c r="P139" s="716"/>
      <c r="Q139" s="716"/>
      <c r="R139" s="716"/>
      <c r="S139" s="716"/>
      <c r="T139" s="716"/>
      <c r="U139" s="716"/>
      <c r="V139" s="716"/>
      <c r="W139" s="716"/>
      <c r="X139" s="716"/>
      <c r="Y139" s="91"/>
      <c r="Z139" s="91"/>
      <c r="AA139" s="106"/>
      <c r="AB139" s="91"/>
      <c r="AC139" s="91"/>
      <c r="AD139" s="457"/>
      <c r="AE139" s="105"/>
      <c r="AF139" s="106"/>
      <c r="AG139" s="106"/>
      <c r="AH139" s="457"/>
      <c r="AI139" s="457"/>
      <c r="AJ139" s="457"/>
      <c r="AK139" s="457"/>
      <c r="AL139" s="457"/>
      <c r="AM139" s="720" t="str">
        <f>IF(OR(AP139=0,AP139=""),"","Telefon:")</f>
        <v>Telefon:</v>
      </c>
      <c r="AN139" s="720"/>
      <c r="AO139" s="720"/>
      <c r="AP139" s="713" t="str">
        <f>IF(OR(NUM_1_KREDITOR=0,NUM_1_KREDITOR=""),"",NUM_1_KREDITOR&amp;"; ")&amp;IF(OR(NUM_2_KREDITOR=0,NUM_2_KREDITOR=""),"",NUM_2_KREDITOR&amp;"; ")</f>
        <v xml:space="preserve">055-915-96-56; </v>
      </c>
      <c r="AQ139" s="713"/>
      <c r="AR139" s="713"/>
      <c r="AS139" s="713"/>
      <c r="AT139" s="713"/>
      <c r="AU139" s="713"/>
      <c r="AV139" s="713"/>
      <c r="AW139" s="713"/>
      <c r="AX139" s="713"/>
      <c r="AY139" s="713"/>
      <c r="AZ139" s="713"/>
      <c r="BA139" s="713"/>
      <c r="BB139" s="713"/>
      <c r="BC139" s="713"/>
      <c r="BD139" s="713"/>
      <c r="BE139" s="713"/>
      <c r="BF139" s="457"/>
      <c r="BG139" s="104"/>
    </row>
    <row r="140" spans="1:59" x14ac:dyDescent="0.2">
      <c r="A140" s="105"/>
      <c r="B140" s="106"/>
      <c r="C140" s="106"/>
      <c r="D140" s="106"/>
      <c r="E140" s="91"/>
      <c r="F140" s="91"/>
      <c r="G140" s="714" t="s">
        <v>32</v>
      </c>
      <c r="H140" s="714"/>
      <c r="I140" s="714"/>
      <c r="J140" s="714"/>
      <c r="K140" s="91"/>
      <c r="L140" s="91"/>
      <c r="M140" s="102"/>
      <c r="N140" s="91"/>
      <c r="O140" s="91"/>
      <c r="P140" s="91"/>
      <c r="Q140" s="91"/>
      <c r="R140" s="91"/>
      <c r="S140" s="91"/>
      <c r="T140" s="91"/>
      <c r="U140" s="91"/>
      <c r="V140" s="91"/>
      <c r="W140" s="91"/>
      <c r="X140" s="91"/>
      <c r="Y140" s="106"/>
      <c r="Z140" s="91"/>
      <c r="AA140" s="91"/>
      <c r="AB140" s="91"/>
      <c r="AC140" s="91"/>
      <c r="AD140" s="457"/>
      <c r="AE140" s="105"/>
      <c r="AF140" s="106"/>
      <c r="AG140" s="106"/>
      <c r="AH140" s="457"/>
      <c r="AI140" s="457"/>
      <c r="AJ140" s="457"/>
      <c r="AK140" s="457"/>
      <c r="AL140" s="714" t="s">
        <v>32</v>
      </c>
      <c r="AM140" s="714"/>
      <c r="AN140" s="714"/>
      <c r="AO140" s="714"/>
      <c r="AP140" s="714"/>
      <c r="AQ140" s="457"/>
      <c r="AR140" s="457"/>
      <c r="AS140" s="457"/>
      <c r="AT140" s="457"/>
      <c r="AU140" s="457"/>
      <c r="AV140" s="457"/>
      <c r="AW140" s="457"/>
      <c r="AX140" s="457"/>
      <c r="AY140" s="457"/>
      <c r="AZ140" s="457"/>
      <c r="BA140" s="457"/>
      <c r="BB140" s="457"/>
      <c r="BC140" s="457"/>
      <c r="BD140" s="457"/>
      <c r="BE140" s="457"/>
      <c r="BF140" s="457"/>
      <c r="BG140" s="104"/>
    </row>
    <row r="141" spans="1:59" x14ac:dyDescent="0.2">
      <c r="A141" s="105"/>
      <c r="B141" s="443"/>
      <c r="C141" s="443"/>
      <c r="D141" s="443"/>
      <c r="E141" s="442"/>
      <c r="F141" s="443" t="s">
        <v>31</v>
      </c>
      <c r="G141" s="443"/>
      <c r="H141" s="443"/>
      <c r="I141" s="442"/>
      <c r="J141" s="443"/>
      <c r="K141" s="443"/>
      <c r="L141" s="443"/>
      <c r="M141" s="443"/>
      <c r="N141" s="443"/>
      <c r="O141" s="443"/>
      <c r="P141" s="443"/>
      <c r="Q141" s="443"/>
      <c r="R141" s="443"/>
      <c r="S141" s="443"/>
      <c r="T141" s="443"/>
      <c r="U141" s="443"/>
      <c r="V141" s="443"/>
      <c r="W141" s="443"/>
      <c r="X141" s="443"/>
      <c r="Y141" s="443"/>
      <c r="Z141" s="443"/>
      <c r="AA141" s="442"/>
      <c r="AB141" s="443"/>
      <c r="AC141" s="443"/>
      <c r="AD141" s="443"/>
      <c r="AE141" s="478"/>
      <c r="AF141" s="443"/>
      <c r="AG141" s="443"/>
      <c r="AH141" s="443"/>
      <c r="AI141" s="443"/>
      <c r="AJ141" s="443"/>
      <c r="AK141" s="443"/>
      <c r="AL141" s="443" t="s">
        <v>443</v>
      </c>
      <c r="AM141" s="443"/>
      <c r="AN141" s="443"/>
      <c r="AO141" s="443"/>
      <c r="AP141" s="443"/>
      <c r="AQ141" s="443"/>
      <c r="AR141" s="443"/>
      <c r="AS141" s="443"/>
      <c r="AT141" s="443"/>
      <c r="AU141" s="443"/>
      <c r="AV141" s="443"/>
      <c r="AW141" s="443"/>
      <c r="AX141" s="443"/>
      <c r="AY141" s="443"/>
      <c r="AZ141" s="443"/>
      <c r="BA141" s="443"/>
      <c r="BB141" s="443"/>
      <c r="BC141" s="457"/>
      <c r="BD141" s="457"/>
      <c r="BE141" s="457"/>
      <c r="BF141" s="457"/>
      <c r="BG141" s="104"/>
    </row>
    <row r="142" spans="1:59" s="441" customFormat="1" x14ac:dyDescent="0.2">
      <c r="A142" s="309"/>
      <c r="B142" s="310"/>
      <c r="C142" s="310"/>
      <c r="D142" s="310"/>
      <c r="E142" s="311"/>
      <c r="F142" s="310"/>
      <c r="G142" s="310"/>
      <c r="H142" s="310"/>
      <c r="I142" s="311"/>
      <c r="J142" s="310"/>
      <c r="K142" s="310"/>
      <c r="L142" s="310"/>
      <c r="M142" s="310"/>
      <c r="N142" s="310"/>
      <c r="O142" s="310"/>
      <c r="P142" s="310"/>
      <c r="Q142" s="310"/>
      <c r="R142" s="310"/>
      <c r="S142" s="310"/>
      <c r="T142" s="310"/>
      <c r="U142" s="310"/>
      <c r="V142" s="310"/>
      <c r="W142" s="310"/>
      <c r="X142" s="310"/>
      <c r="Y142" s="310"/>
      <c r="Z142" s="310"/>
      <c r="AA142" s="311"/>
      <c r="AB142" s="310"/>
      <c r="AC142" s="310"/>
      <c r="AD142" s="310"/>
      <c r="AE142" s="479"/>
      <c r="AF142" s="310"/>
      <c r="AG142" s="310"/>
      <c r="AH142" s="310"/>
      <c r="AI142" s="310"/>
      <c r="AJ142" s="310"/>
      <c r="AK142" s="310"/>
      <c r="AL142" s="310"/>
      <c r="AM142" s="310"/>
      <c r="AN142" s="310"/>
      <c r="AO142" s="310"/>
      <c r="AP142" s="310"/>
      <c r="AQ142" s="310"/>
      <c r="AR142" s="310"/>
      <c r="AS142" s="310"/>
      <c r="AT142" s="310"/>
      <c r="AU142" s="310"/>
      <c r="AV142" s="310"/>
      <c r="AW142" s="310"/>
      <c r="AX142" s="310"/>
      <c r="AY142" s="310"/>
      <c r="AZ142" s="310"/>
      <c r="BA142" s="310"/>
      <c r="BB142" s="310"/>
      <c r="BC142" s="311"/>
      <c r="BD142" s="311"/>
      <c r="BE142" s="311"/>
      <c r="BF142" s="311"/>
      <c r="BG142" s="312"/>
    </row>
    <row r="143" spans="1:59" x14ac:dyDescent="0.2">
      <c r="P143" s="91"/>
      <c r="Q143" s="91"/>
      <c r="R143" s="102"/>
      <c r="AM143" s="106"/>
      <c r="AN143" s="92"/>
      <c r="AO143" s="92"/>
      <c r="AP143" s="92"/>
      <c r="AQ143" s="92"/>
      <c r="AR143" s="92"/>
      <c r="AS143" s="92"/>
      <c r="AT143" s="92"/>
      <c r="AU143" s="92"/>
      <c r="AV143" s="92"/>
      <c r="AW143" s="92"/>
      <c r="AX143" s="92"/>
      <c r="AY143" s="92"/>
      <c r="AZ143" s="92"/>
      <c r="BA143" s="92"/>
      <c r="BB143" s="92"/>
      <c r="BC143" s="91"/>
      <c r="BD143" s="106"/>
      <c r="BE143" s="106"/>
      <c r="BF143" s="106"/>
      <c r="BG143" s="106"/>
    </row>
    <row r="144" spans="1:59" x14ac:dyDescent="0.2">
      <c r="P144" s="91"/>
      <c r="Q144" s="91"/>
      <c r="R144" s="102"/>
      <c r="S144" s="91"/>
      <c r="T144" s="91"/>
      <c r="U144" s="91"/>
      <c r="V144" s="91"/>
      <c r="W144" s="91"/>
      <c r="X144" s="91"/>
      <c r="Y144" s="91"/>
      <c r="Z144" s="91"/>
      <c r="AA144" s="91"/>
      <c r="AB144" s="91"/>
      <c r="AC144" s="91"/>
      <c r="AD144" s="91"/>
      <c r="AE144" s="112"/>
      <c r="AF144" s="92"/>
      <c r="AG144" s="106"/>
      <c r="AH144" s="91"/>
      <c r="AI144" s="91"/>
      <c r="AJ144" s="91"/>
      <c r="AK144" s="91"/>
      <c r="AL144" s="91"/>
      <c r="AM144" s="91"/>
      <c r="BC144" s="91"/>
      <c r="BD144" s="91"/>
      <c r="BE144" s="91"/>
      <c r="BF144" s="91"/>
      <c r="BG144" s="91"/>
    </row>
    <row r="145" spans="1:60" x14ac:dyDescent="0.2">
      <c r="R145" s="106"/>
      <c r="S145" s="102"/>
      <c r="T145" s="102"/>
      <c r="U145" s="102"/>
      <c r="V145" s="102"/>
      <c r="W145" s="102"/>
      <c r="X145" s="102"/>
      <c r="Y145" s="102"/>
      <c r="Z145" s="102"/>
      <c r="AA145" s="102"/>
      <c r="AB145" s="102"/>
      <c r="AC145" s="91"/>
      <c r="AD145" s="91"/>
      <c r="AE145" s="91"/>
      <c r="AF145" s="106"/>
      <c r="AG145" s="106"/>
      <c r="AH145" s="91"/>
      <c r="AI145" s="91"/>
      <c r="AJ145" s="91"/>
      <c r="AK145" s="91"/>
      <c r="AL145" s="91"/>
      <c r="AM145" s="106"/>
      <c r="AN145" s="102"/>
      <c r="AO145" s="102"/>
      <c r="AP145" s="102"/>
      <c r="AQ145" s="102"/>
      <c r="AR145" s="102"/>
      <c r="AS145" s="102"/>
      <c r="AT145" s="102"/>
      <c r="AU145" s="102"/>
      <c r="AV145" s="102"/>
      <c r="AW145" s="102"/>
      <c r="AX145" s="102"/>
      <c r="AY145" s="106"/>
      <c r="AZ145" s="106"/>
      <c r="BA145" s="106"/>
      <c r="BB145" s="91"/>
      <c r="BC145" s="91"/>
      <c r="BD145" s="91"/>
      <c r="BE145" s="91"/>
      <c r="BF145" s="91"/>
      <c r="BG145" s="91"/>
    </row>
    <row r="146" spans="1:60" x14ac:dyDescent="0.2">
      <c r="P146" s="93"/>
      <c r="Q146" s="93"/>
      <c r="R146" s="106"/>
      <c r="S146" s="102"/>
      <c r="T146" s="102"/>
      <c r="U146" s="102"/>
      <c r="V146" s="102"/>
      <c r="W146" s="102"/>
      <c r="X146" s="102"/>
      <c r="Y146" s="106"/>
      <c r="Z146" s="102"/>
      <c r="AA146" s="102"/>
      <c r="AB146" s="102"/>
      <c r="AC146" s="102"/>
      <c r="AD146" s="102"/>
      <c r="AE146" s="106"/>
      <c r="AF146" s="106"/>
      <c r="AG146" s="106"/>
      <c r="AH146" s="106"/>
      <c r="AI146" s="106"/>
      <c r="AJ146" s="106"/>
      <c r="AK146" s="106"/>
      <c r="AL146" s="106"/>
      <c r="AM146" s="106"/>
      <c r="AN146" s="102"/>
      <c r="AO146" s="102"/>
      <c r="AP146" s="102"/>
      <c r="AQ146" s="102"/>
      <c r="AR146" s="102"/>
      <c r="AS146" s="102"/>
      <c r="AT146" s="106"/>
      <c r="AU146" s="102"/>
      <c r="AV146" s="102"/>
      <c r="AW146" s="102"/>
      <c r="AX146" s="102"/>
      <c r="AY146" s="106"/>
      <c r="AZ146" s="106"/>
      <c r="BA146" s="106"/>
      <c r="BB146" s="106"/>
      <c r="BC146" s="106"/>
      <c r="BD146" s="106"/>
      <c r="BE146" s="106"/>
      <c r="BF146" s="106"/>
      <c r="BG146" s="106"/>
    </row>
    <row r="147" spans="1:60" x14ac:dyDescent="0.2">
      <c r="R147" s="106"/>
      <c r="S147" s="106"/>
      <c r="T147" s="106"/>
      <c r="U147" s="106"/>
      <c r="V147" s="106"/>
      <c r="W147" s="91"/>
      <c r="X147" s="106"/>
      <c r="Y147" s="91"/>
      <c r="Z147" s="106"/>
      <c r="AA147" s="106"/>
      <c r="AB147" s="106"/>
      <c r="AC147" s="102"/>
      <c r="AD147" s="102"/>
      <c r="AE147" s="106"/>
      <c r="AF147" s="106"/>
      <c r="AG147" s="106"/>
      <c r="AH147" s="106"/>
      <c r="AI147" s="106"/>
      <c r="AJ147" s="106"/>
      <c r="AK147" s="106"/>
      <c r="AL147" s="106"/>
      <c r="AM147" s="106"/>
      <c r="AN147" s="106"/>
      <c r="AO147" s="106"/>
      <c r="AP147" s="106"/>
      <c r="AQ147" s="106"/>
      <c r="AR147" s="91"/>
      <c r="AS147" s="106"/>
      <c r="AT147" s="91"/>
      <c r="AU147" s="106"/>
      <c r="AV147" s="106"/>
      <c r="AW147" s="106"/>
      <c r="AX147" s="106"/>
      <c r="AY147" s="91"/>
      <c r="AZ147" s="91"/>
      <c r="BA147" s="91"/>
      <c r="BB147" s="106"/>
      <c r="BC147" s="106"/>
      <c r="BD147" s="106"/>
      <c r="BE147" s="106"/>
      <c r="BF147" s="106"/>
      <c r="BG147" s="106"/>
    </row>
    <row r="148" spans="1:60" x14ac:dyDescent="0.2">
      <c r="R148" s="106"/>
      <c r="S148" s="106"/>
      <c r="T148" s="106"/>
      <c r="U148" s="106"/>
      <c r="V148" s="106"/>
      <c r="W148" s="106"/>
      <c r="X148" s="106"/>
      <c r="Y148" s="106"/>
      <c r="Z148" s="106"/>
      <c r="AA148" s="106"/>
      <c r="AB148" s="106"/>
      <c r="AC148" s="106"/>
      <c r="AD148" s="106"/>
      <c r="AE148" s="91"/>
      <c r="AF148" s="106"/>
      <c r="AG148" s="106"/>
      <c r="AH148" s="106"/>
      <c r="AI148" s="106"/>
      <c r="AJ148" s="91"/>
      <c r="AK148" s="106"/>
      <c r="AL148" s="106"/>
      <c r="AM148" s="106"/>
      <c r="AN148" s="106"/>
      <c r="AO148" s="106"/>
      <c r="AP148" s="106"/>
      <c r="AQ148" s="106"/>
      <c r="AR148" s="106"/>
      <c r="AS148" s="106"/>
      <c r="AT148" s="106"/>
      <c r="AU148" s="106"/>
      <c r="AV148" s="106"/>
      <c r="AW148" s="106"/>
      <c r="AX148" s="106"/>
      <c r="AY148" s="91"/>
      <c r="AZ148" s="91"/>
      <c r="BA148" s="91"/>
      <c r="BB148" s="106"/>
      <c r="BC148" s="106"/>
      <c r="BD148" s="106"/>
      <c r="BE148" s="106"/>
      <c r="BF148" s="91"/>
      <c r="BG148" s="106"/>
    </row>
    <row r="149" spans="1:60" x14ac:dyDescent="0.2">
      <c r="P149" s="113"/>
      <c r="Q149" s="113"/>
      <c r="R149" s="106"/>
      <c r="S149" s="106"/>
      <c r="T149" s="106"/>
      <c r="U149" s="106"/>
      <c r="V149" s="106"/>
      <c r="W149" s="106"/>
      <c r="X149" s="106"/>
      <c r="Y149" s="106"/>
      <c r="Z149" s="106"/>
      <c r="AA149" s="106"/>
      <c r="AB149" s="106"/>
      <c r="AC149" s="106"/>
      <c r="AD149" s="106"/>
      <c r="AE149" s="91"/>
      <c r="AF149" s="106"/>
      <c r="AG149" s="106"/>
      <c r="AH149" s="91"/>
      <c r="AI149" s="91"/>
      <c r="AJ149" s="91"/>
      <c r="AK149" s="91"/>
      <c r="AL149" s="91"/>
      <c r="AM149" s="106"/>
      <c r="AN149" s="106"/>
      <c r="AO149" s="106"/>
      <c r="AP149" s="106"/>
      <c r="AQ149" s="106"/>
      <c r="AR149" s="106"/>
      <c r="AS149" s="106"/>
      <c r="AT149" s="106"/>
      <c r="AU149" s="106"/>
      <c r="AV149" s="106"/>
      <c r="AW149" s="106"/>
      <c r="AX149" s="106"/>
      <c r="AY149" s="91"/>
      <c r="AZ149" s="106"/>
      <c r="BA149" s="106"/>
      <c r="BB149" s="91"/>
      <c r="BC149" s="91"/>
      <c r="BD149" s="91"/>
      <c r="BE149" s="91"/>
      <c r="BF149" s="91"/>
      <c r="BG149" s="91"/>
    </row>
    <row r="150" spans="1:60" x14ac:dyDescent="0.2">
      <c r="P150" s="95"/>
      <c r="Q150" s="95"/>
      <c r="R150" s="91"/>
      <c r="S150" s="91"/>
      <c r="T150" s="91"/>
      <c r="U150" s="91"/>
      <c r="V150" s="91"/>
      <c r="W150" s="91"/>
      <c r="X150" s="91"/>
      <c r="Y150" s="91"/>
      <c r="Z150" s="91"/>
      <c r="AA150" s="91"/>
      <c r="AB150" s="91"/>
      <c r="AC150" s="106"/>
      <c r="AD150" s="106"/>
      <c r="AE150" s="91"/>
      <c r="AF150" s="106"/>
      <c r="AG150" s="106"/>
      <c r="AH150" s="106"/>
      <c r="AI150" s="106"/>
      <c r="AJ150" s="106"/>
      <c r="AK150" s="106"/>
      <c r="AL150" s="106"/>
      <c r="AM150" s="91"/>
      <c r="AN150" s="91"/>
      <c r="AO150" s="91"/>
      <c r="AP150" s="91"/>
      <c r="AQ150" s="91"/>
      <c r="AR150" s="91"/>
      <c r="AS150" s="91"/>
      <c r="AT150" s="91"/>
      <c r="AU150" s="91"/>
      <c r="AV150" s="91"/>
      <c r="AW150" s="91"/>
      <c r="AX150" s="91"/>
      <c r="AY150" s="91"/>
      <c r="AZ150" s="106"/>
      <c r="BA150" s="106"/>
      <c r="BB150" s="91"/>
      <c r="BC150" s="106"/>
      <c r="BD150" s="106"/>
      <c r="BE150" s="106"/>
      <c r="BF150" s="106"/>
      <c r="BG150" s="106"/>
    </row>
    <row r="151" spans="1:60" x14ac:dyDescent="0.2">
      <c r="P151" s="95"/>
      <c r="Q151" s="95"/>
      <c r="R151" s="112"/>
      <c r="S151" s="112"/>
      <c r="T151" s="112"/>
      <c r="U151" s="112"/>
      <c r="V151" s="112"/>
      <c r="W151" s="112"/>
      <c r="X151" s="112"/>
      <c r="Y151" s="112"/>
      <c r="Z151" s="112"/>
      <c r="AA151" s="112"/>
      <c r="AB151" s="112"/>
      <c r="AC151" s="91"/>
      <c r="AD151" s="91"/>
      <c r="AE151" s="91"/>
      <c r="AF151" s="106"/>
      <c r="AG151" s="106"/>
      <c r="AH151" s="106"/>
      <c r="AI151" s="106"/>
      <c r="AJ151" s="106"/>
      <c r="AK151" s="106"/>
      <c r="AL151" s="106"/>
      <c r="AM151" s="92"/>
      <c r="AN151" s="92"/>
      <c r="AO151" s="92"/>
      <c r="AP151" s="92"/>
      <c r="AQ151" s="92"/>
      <c r="AR151" s="92"/>
      <c r="AS151" s="92"/>
      <c r="AT151" s="92"/>
      <c r="AU151" s="92"/>
      <c r="AV151" s="92"/>
      <c r="AW151" s="92"/>
      <c r="AX151" s="92"/>
      <c r="AY151" s="92"/>
      <c r="AZ151" s="92"/>
      <c r="BA151" s="92"/>
      <c r="BB151" s="91"/>
      <c r="BC151" s="106"/>
      <c r="BD151" s="106"/>
      <c r="BE151" s="106"/>
      <c r="BF151" s="106"/>
      <c r="BG151" s="106"/>
    </row>
    <row r="152" spans="1:60" x14ac:dyDescent="0.2">
      <c r="P152" s="91"/>
      <c r="Q152" s="91"/>
      <c r="R152" s="91"/>
      <c r="S152" s="91"/>
      <c r="T152" s="91"/>
      <c r="U152" s="91"/>
      <c r="V152" s="91"/>
      <c r="W152" s="106"/>
      <c r="X152" s="102"/>
      <c r="Y152" s="102"/>
      <c r="Z152" s="102"/>
      <c r="AA152" s="102"/>
      <c r="AB152" s="102"/>
      <c r="AC152" s="102"/>
      <c r="AD152" s="102"/>
      <c r="AE152" s="102"/>
      <c r="AF152" s="102"/>
      <c r="AG152" s="102"/>
      <c r="AH152" s="106"/>
      <c r="AI152" s="106"/>
      <c r="AJ152" s="106"/>
      <c r="AK152" s="91"/>
      <c r="AL152" s="91"/>
      <c r="BB152" s="91"/>
      <c r="BC152" s="91"/>
      <c r="BD152" s="91"/>
      <c r="BE152" s="91"/>
      <c r="BF152" s="91"/>
      <c r="BG152" s="91"/>
      <c r="BH152" s="113"/>
    </row>
    <row r="153" spans="1:60" x14ac:dyDescent="0.2">
      <c r="P153" s="106"/>
      <c r="Q153" s="106"/>
      <c r="R153" s="106"/>
      <c r="S153" s="106"/>
      <c r="T153" s="106"/>
      <c r="U153" s="106"/>
      <c r="V153" s="106"/>
      <c r="W153" s="106"/>
      <c r="X153" s="102"/>
      <c r="Y153" s="102"/>
      <c r="Z153" s="102"/>
      <c r="AA153" s="102"/>
      <c r="AB153" s="102"/>
      <c r="AC153" s="102"/>
      <c r="AD153" s="102"/>
      <c r="AE153" s="106"/>
      <c r="AF153" s="102"/>
      <c r="AG153" s="102"/>
      <c r="AH153" s="106"/>
      <c r="AI153" s="106"/>
      <c r="AJ153" s="106"/>
      <c r="BH153" s="95"/>
    </row>
    <row r="154" spans="1:60" x14ac:dyDescent="0.2">
      <c r="P154" s="106"/>
      <c r="Q154" s="106"/>
      <c r="R154" s="106"/>
      <c r="S154" s="106"/>
      <c r="T154" s="106"/>
      <c r="U154" s="106"/>
      <c r="V154" s="106"/>
      <c r="W154" s="106"/>
      <c r="X154" s="106"/>
      <c r="Y154" s="106"/>
      <c r="Z154" s="106"/>
      <c r="AA154" s="106"/>
      <c r="AB154" s="91"/>
      <c r="AC154" s="106"/>
      <c r="AD154" s="106"/>
      <c r="AE154" s="91"/>
      <c r="AF154" s="106"/>
      <c r="AG154" s="106"/>
      <c r="AH154" s="91"/>
      <c r="AI154" s="91"/>
      <c r="AJ154" s="91"/>
      <c r="BH154" s="95"/>
    </row>
    <row r="155" spans="1:60" x14ac:dyDescent="0.2">
      <c r="P155" s="106"/>
      <c r="Q155" s="106"/>
      <c r="R155" s="106"/>
      <c r="S155" s="106"/>
      <c r="T155" s="91"/>
      <c r="U155" s="106"/>
      <c r="V155" s="106"/>
      <c r="W155" s="106"/>
      <c r="X155" s="106"/>
      <c r="Y155" s="106"/>
      <c r="Z155" s="106"/>
      <c r="AA155" s="106"/>
      <c r="AB155" s="106"/>
      <c r="AC155" s="106"/>
      <c r="AD155" s="106"/>
      <c r="AE155" s="106"/>
      <c r="AF155" s="106"/>
      <c r="AG155" s="106"/>
      <c r="AH155" s="91"/>
      <c r="AI155" s="91"/>
      <c r="AJ155" s="91"/>
    </row>
    <row r="156" spans="1:60" x14ac:dyDescent="0.2">
      <c r="P156" s="91"/>
      <c r="Q156" s="91"/>
      <c r="R156" s="91"/>
      <c r="S156" s="91"/>
      <c r="T156" s="91"/>
      <c r="U156" s="91"/>
      <c r="V156" s="91"/>
      <c r="W156" s="106"/>
      <c r="X156" s="106"/>
      <c r="Y156" s="106"/>
      <c r="Z156" s="106"/>
      <c r="AA156" s="106"/>
      <c r="AB156" s="106"/>
      <c r="AC156" s="106"/>
      <c r="AD156" s="106"/>
      <c r="AE156" s="106"/>
      <c r="AF156" s="106"/>
      <c r="AG156" s="106"/>
      <c r="AH156" s="91"/>
      <c r="AI156" s="106"/>
      <c r="AJ156" s="106"/>
    </row>
    <row r="157" spans="1:60" x14ac:dyDescent="0.2">
      <c r="P157" s="91"/>
      <c r="Q157" s="106"/>
      <c r="R157" s="106"/>
      <c r="S157" s="106"/>
      <c r="T157" s="106"/>
      <c r="U157" s="106"/>
      <c r="V157" s="106"/>
      <c r="W157" s="91"/>
      <c r="X157" s="91"/>
      <c r="Y157" s="91"/>
      <c r="Z157" s="91"/>
      <c r="AA157" s="91"/>
      <c r="AB157" s="91"/>
      <c r="AC157" s="91"/>
      <c r="AD157" s="91"/>
      <c r="AE157" s="91"/>
      <c r="AF157" s="106"/>
      <c r="AG157" s="106"/>
      <c r="AH157" s="91"/>
      <c r="AI157" s="106"/>
      <c r="AJ157" s="106"/>
    </row>
    <row r="158" spans="1:60" x14ac:dyDescent="0.2">
      <c r="P158" s="91"/>
      <c r="Q158" s="106"/>
      <c r="R158" s="106"/>
      <c r="S158" s="106"/>
      <c r="T158" s="106"/>
      <c r="U158" s="106"/>
      <c r="V158" s="106"/>
      <c r="W158" s="92"/>
      <c r="X158" s="92"/>
      <c r="Y158" s="92"/>
      <c r="Z158" s="92"/>
      <c r="AA158" s="92"/>
      <c r="AB158" s="92"/>
      <c r="AC158" s="92"/>
      <c r="AD158" s="92"/>
      <c r="AE158" s="92"/>
      <c r="AF158" s="92"/>
      <c r="AG158" s="92"/>
      <c r="AH158" s="92"/>
      <c r="AI158" s="92"/>
      <c r="AJ158" s="92"/>
      <c r="AK158" s="91"/>
      <c r="AL158" s="91"/>
      <c r="AM158" s="91"/>
      <c r="AN158" s="91"/>
      <c r="AO158" s="91"/>
      <c r="AP158" s="91"/>
    </row>
    <row r="159" spans="1:60" x14ac:dyDescent="0.2">
      <c r="A159" s="91"/>
      <c r="B159" s="102"/>
      <c r="C159" s="102"/>
      <c r="D159" s="102"/>
      <c r="E159" s="102"/>
      <c r="F159" s="102"/>
      <c r="G159" s="102"/>
      <c r="H159" s="102"/>
      <c r="I159" s="102"/>
      <c r="J159" s="102"/>
      <c r="K159" s="102"/>
      <c r="L159" s="91"/>
      <c r="M159" s="91"/>
      <c r="N159" s="91"/>
      <c r="O159" s="91"/>
      <c r="P159" s="95"/>
      <c r="Q159" s="95"/>
      <c r="R159" s="95"/>
      <c r="S159" s="95"/>
      <c r="T159" s="95"/>
      <c r="U159" s="95"/>
      <c r="V159" s="95"/>
    </row>
    <row r="160" spans="1:60" x14ac:dyDescent="0.2">
      <c r="A160" s="91"/>
      <c r="B160" s="102"/>
      <c r="C160" s="102"/>
      <c r="D160" s="102"/>
      <c r="E160" s="102"/>
      <c r="F160" s="102"/>
      <c r="G160" s="102"/>
      <c r="H160" s="106"/>
      <c r="I160" s="102"/>
      <c r="J160" s="102"/>
      <c r="K160" s="102"/>
      <c r="L160" s="102"/>
      <c r="M160" s="106"/>
      <c r="N160" s="106"/>
      <c r="O160" s="106"/>
    </row>
    <row r="161" spans="1:59" x14ac:dyDescent="0.2">
      <c r="A161" s="91"/>
      <c r="B161" s="106"/>
      <c r="C161" s="106"/>
      <c r="D161" s="106"/>
      <c r="E161" s="106"/>
      <c r="F161" s="91"/>
      <c r="G161" s="106"/>
      <c r="H161" s="91"/>
      <c r="I161" s="106"/>
      <c r="J161" s="106"/>
      <c r="K161" s="106"/>
      <c r="L161" s="102"/>
      <c r="M161" s="106"/>
      <c r="N161" s="106"/>
      <c r="O161" s="106"/>
    </row>
    <row r="162" spans="1:59" x14ac:dyDescent="0.2">
      <c r="A162" s="91"/>
      <c r="B162" s="106"/>
      <c r="C162" s="106"/>
      <c r="D162" s="106"/>
      <c r="E162" s="106"/>
      <c r="F162" s="106"/>
      <c r="G162" s="106"/>
      <c r="H162" s="106"/>
      <c r="I162" s="106"/>
      <c r="J162" s="106"/>
      <c r="K162" s="106"/>
      <c r="L162" s="106"/>
      <c r="M162" s="91"/>
      <c r="N162" s="91"/>
      <c r="O162" s="91"/>
    </row>
    <row r="163" spans="1:59" x14ac:dyDescent="0.2">
      <c r="A163" s="91"/>
      <c r="B163" s="106"/>
      <c r="C163" s="106"/>
      <c r="D163" s="106"/>
      <c r="E163" s="106"/>
      <c r="F163" s="106"/>
      <c r="G163" s="106"/>
      <c r="H163" s="106"/>
      <c r="I163" s="106"/>
      <c r="J163" s="106"/>
      <c r="K163" s="106"/>
      <c r="L163" s="106"/>
      <c r="M163" s="91"/>
      <c r="N163" s="91"/>
      <c r="O163" s="91"/>
    </row>
    <row r="164" spans="1:59" x14ac:dyDescent="0.2">
      <c r="A164" s="91"/>
      <c r="B164" s="91"/>
      <c r="C164" s="91"/>
      <c r="D164" s="91"/>
      <c r="E164" s="91"/>
      <c r="F164" s="91"/>
      <c r="G164" s="91"/>
      <c r="H164" s="91"/>
      <c r="I164" s="91"/>
      <c r="J164" s="91"/>
      <c r="K164" s="91"/>
      <c r="L164" s="106"/>
      <c r="M164" s="91"/>
      <c r="N164" s="106"/>
      <c r="O164" s="106"/>
    </row>
    <row r="165" spans="1:59" x14ac:dyDescent="0.2">
      <c r="A165" s="112"/>
      <c r="B165" s="112"/>
      <c r="C165" s="112"/>
      <c r="D165" s="112"/>
      <c r="E165" s="112"/>
      <c r="F165" s="112"/>
      <c r="G165" s="112"/>
      <c r="H165" s="112"/>
      <c r="I165" s="112"/>
      <c r="J165" s="112"/>
      <c r="K165" s="112"/>
      <c r="L165" s="91"/>
      <c r="M165" s="91"/>
      <c r="N165" s="106"/>
      <c r="O165" s="106"/>
    </row>
    <row r="169" spans="1:59" x14ac:dyDescent="0.2">
      <c r="AQ169" s="88"/>
      <c r="AR169" s="88"/>
      <c r="AS169" s="88"/>
      <c r="AT169" s="88"/>
      <c r="AU169" s="88"/>
      <c r="AV169" s="88"/>
      <c r="AW169" s="88"/>
      <c r="AX169" s="88"/>
      <c r="AY169" s="88"/>
      <c r="AZ169" s="88"/>
      <c r="BA169" s="88"/>
      <c r="BB169" s="88"/>
      <c r="BC169" s="88"/>
      <c r="BD169" s="88"/>
      <c r="BE169" s="88"/>
      <c r="BF169" s="88"/>
      <c r="BG169" s="88"/>
    </row>
    <row r="171" spans="1:59" x14ac:dyDescent="0.2">
      <c r="J171" s="88"/>
      <c r="K171" s="88"/>
    </row>
    <row r="174" spans="1:59" x14ac:dyDescent="0.2">
      <c r="H174" s="88"/>
      <c r="I174" s="88"/>
    </row>
    <row r="179" spans="3:59" x14ac:dyDescent="0.2">
      <c r="C179" s="88"/>
      <c r="D179" s="88"/>
      <c r="E179" s="88"/>
    </row>
    <row r="183" spans="3:59" x14ac:dyDescent="0.2">
      <c r="AQ183" s="88"/>
      <c r="AR183" s="88"/>
      <c r="AS183" s="88"/>
      <c r="AT183" s="88"/>
      <c r="AU183" s="88"/>
      <c r="AV183" s="88"/>
      <c r="AW183" s="88"/>
      <c r="AX183" s="88"/>
      <c r="AY183" s="88"/>
      <c r="AZ183" s="88"/>
      <c r="BA183" s="88"/>
      <c r="BB183" s="88"/>
      <c r="BC183" s="88"/>
      <c r="BD183" s="88"/>
      <c r="BE183" s="88"/>
      <c r="BF183" s="88"/>
      <c r="BG183" s="88"/>
    </row>
    <row r="185" spans="3:59" x14ac:dyDescent="0.2">
      <c r="H185" s="88"/>
      <c r="I185" s="88"/>
      <c r="J185" s="88"/>
      <c r="K185" s="88"/>
    </row>
    <row r="190" spans="3:59" x14ac:dyDescent="0.2">
      <c r="E190" s="88"/>
    </row>
    <row r="192" spans="3:59" x14ac:dyDescent="0.2">
      <c r="C192" s="88"/>
      <c r="D192" s="88"/>
    </row>
    <row r="194" spans="10:59" x14ac:dyDescent="0.2">
      <c r="AQ194" s="88"/>
      <c r="AR194" s="88"/>
      <c r="AS194" s="88"/>
      <c r="AT194" s="88"/>
      <c r="AU194" s="88"/>
      <c r="AV194" s="88"/>
      <c r="AW194" s="88"/>
      <c r="AX194" s="88"/>
      <c r="AY194" s="88"/>
      <c r="AZ194" s="88"/>
      <c r="BA194" s="88"/>
      <c r="BB194" s="88"/>
      <c r="BC194" s="88"/>
      <c r="BD194" s="88"/>
      <c r="BE194" s="88"/>
      <c r="BF194" s="88"/>
      <c r="BG194" s="88"/>
    </row>
    <row r="196" spans="10:59" x14ac:dyDescent="0.2">
      <c r="J196" s="88"/>
      <c r="K196" s="88"/>
    </row>
  </sheetData>
  <mergeCells count="117">
    <mergeCell ref="B13:AC18"/>
    <mergeCell ref="C64:AC68"/>
    <mergeCell ref="A129:BG129"/>
    <mergeCell ref="A131:AD131"/>
    <mergeCell ref="AE131:BG131"/>
    <mergeCell ref="AF104:BG108"/>
    <mergeCell ref="AF109:BG112"/>
    <mergeCell ref="AE114:BF114"/>
    <mergeCell ref="AF116:BG118"/>
    <mergeCell ref="A84:AC84"/>
    <mergeCell ref="B107:AC108"/>
    <mergeCell ref="B86:AC89"/>
    <mergeCell ref="B109:AC117"/>
    <mergeCell ref="A119:AB119"/>
    <mergeCell ref="AE72:AF72"/>
    <mergeCell ref="A79:AC79"/>
    <mergeCell ref="AE79:BG79"/>
    <mergeCell ref="B98:AC106"/>
    <mergeCell ref="A80:B80"/>
    <mergeCell ref="AF123:BG126"/>
    <mergeCell ref="A62:B62"/>
    <mergeCell ref="AF119:BG122"/>
    <mergeCell ref="AF87:BG91"/>
    <mergeCell ref="C62:AC63"/>
    <mergeCell ref="AP139:BE139"/>
    <mergeCell ref="G140:J140"/>
    <mergeCell ref="AL140:AP140"/>
    <mergeCell ref="I132:X132"/>
    <mergeCell ref="D133:AB133"/>
    <mergeCell ref="AP133:BE133"/>
    <mergeCell ref="AP134:BF136"/>
    <mergeCell ref="G136:J137"/>
    <mergeCell ref="AP137:BF138"/>
    <mergeCell ref="G138:J138"/>
    <mergeCell ref="AF134:AO134"/>
    <mergeCell ref="AM137:AO137"/>
    <mergeCell ref="K138:X138"/>
    <mergeCell ref="G139:J139"/>
    <mergeCell ref="K139:X139"/>
    <mergeCell ref="AM139:AO139"/>
    <mergeCell ref="K136:Z137"/>
    <mergeCell ref="E134:AA135"/>
    <mergeCell ref="AE93:BG93"/>
    <mergeCell ref="AF95:BG97"/>
    <mergeCell ref="AF98:BG100"/>
    <mergeCell ref="AE102:BG102"/>
    <mergeCell ref="AF80:BG86"/>
    <mergeCell ref="A55:AC55"/>
    <mergeCell ref="B57:AC57"/>
    <mergeCell ref="A58:B58"/>
    <mergeCell ref="C58:AC58"/>
    <mergeCell ref="A59:B59"/>
    <mergeCell ref="C59:AC61"/>
    <mergeCell ref="A91:AC91"/>
    <mergeCell ref="B93:AC95"/>
    <mergeCell ref="D77:AC78"/>
    <mergeCell ref="AE67:AF67"/>
    <mergeCell ref="A64:B64"/>
    <mergeCell ref="AG72:BG78"/>
    <mergeCell ref="AG67:BG71"/>
    <mergeCell ref="C80:AC82"/>
    <mergeCell ref="B96:AC97"/>
    <mergeCell ref="AE53:AF53"/>
    <mergeCell ref="AG53:BG58"/>
    <mergeCell ref="AF50:BG50"/>
    <mergeCell ref="AE51:AF51"/>
    <mergeCell ref="AG51:BG52"/>
    <mergeCell ref="AE59:AF59"/>
    <mergeCell ref="AG59:BG66"/>
    <mergeCell ref="AE39:AF39"/>
    <mergeCell ref="B42:AC45"/>
    <mergeCell ref="AG39:BG49"/>
    <mergeCell ref="A47:AC47"/>
    <mergeCell ref="B39:AC41"/>
    <mergeCell ref="AE22:AF22"/>
    <mergeCell ref="AG22:BG22"/>
    <mergeCell ref="AE29:AF29"/>
    <mergeCell ref="AG29:BG31"/>
    <mergeCell ref="AE32:AF32"/>
    <mergeCell ref="AG32:BG33"/>
    <mergeCell ref="AE34:AF34"/>
    <mergeCell ref="AG34:BG34"/>
    <mergeCell ref="AE35:AF35"/>
    <mergeCell ref="AG35:BG38"/>
    <mergeCell ref="B26:AC27"/>
    <mergeCell ref="A30:AC30"/>
    <mergeCell ref="AE25:AF25"/>
    <mergeCell ref="AG25:BG26"/>
    <mergeCell ref="B32:AC34"/>
    <mergeCell ref="AF27:BG27"/>
    <mergeCell ref="AE28:AF28"/>
    <mergeCell ref="AG28:BG28"/>
    <mergeCell ref="B35:AC38"/>
    <mergeCell ref="AH1:BG6"/>
    <mergeCell ref="B121:AC126"/>
    <mergeCell ref="D74:AC76"/>
    <mergeCell ref="A12:AC12"/>
    <mergeCell ref="AH7:BG11"/>
    <mergeCell ref="B49:AC53"/>
    <mergeCell ref="A1:AC1"/>
    <mergeCell ref="D69:AC70"/>
    <mergeCell ref="A3:R3"/>
    <mergeCell ref="S3:AC3"/>
    <mergeCell ref="D71:AC73"/>
    <mergeCell ref="A5:AC11"/>
    <mergeCell ref="B19:AC20"/>
    <mergeCell ref="B21:AC25"/>
    <mergeCell ref="AE23:AF23"/>
    <mergeCell ref="AG23:BG24"/>
    <mergeCell ref="A29:AC29"/>
    <mergeCell ref="AE20:AF20"/>
    <mergeCell ref="AG20:BG21"/>
    <mergeCell ref="AH14:BG15"/>
    <mergeCell ref="AH12:BG13"/>
    <mergeCell ref="AH16:BG16"/>
    <mergeCell ref="AH17:BG18"/>
    <mergeCell ref="AF19:BG19"/>
  </mergeCells>
  <pageMargins left="0.67" right="0.37" top="0.27" bottom="0.17" header="0.27" footer="0.17"/>
  <pageSetup scale="87" orientation="portrait" r:id="rId1"/>
  <headerFooter alignWithMargins="0">
    <oddFooter xml:space="preserve">&amp;C&amp;"Times New Roman,Обычный"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KM5">
    <tabColor theme="3" tint="0.39997558519241921"/>
  </sheetPr>
  <dimension ref="A1:BH202"/>
  <sheetViews>
    <sheetView view="pageBreakPreview" zoomScaleNormal="120" zoomScaleSheetLayoutView="100" workbookViewId="0">
      <selection activeCell="B26" sqref="B26:AC30"/>
    </sheetView>
  </sheetViews>
  <sheetFormatPr defaultRowHeight="11.25" x14ac:dyDescent="0.2"/>
  <cols>
    <col min="1" max="1" width="3.5703125" style="519" customWidth="1"/>
    <col min="2" max="29" width="1.7109375" style="519" customWidth="1"/>
    <col min="30" max="30" width="2.28515625" style="519" customWidth="1"/>
    <col min="31" max="31" width="3.5703125" style="519" customWidth="1"/>
    <col min="32" max="33" width="1.7109375" style="95" customWidth="1"/>
    <col min="34" max="60" width="1.7109375" style="519" customWidth="1"/>
    <col min="61" max="16384" width="9.140625" style="519"/>
  </cols>
  <sheetData>
    <row r="1" spans="1:59" x14ac:dyDescent="0.2">
      <c r="A1" s="695" t="str">
        <f>"KREDİT  MÜQAVİLƏSİ  "&amp;LD_NUM</f>
        <v>KREDİT  MÜQAVİLƏSİ  LD/15212/00143</v>
      </c>
      <c r="B1" s="695"/>
      <c r="C1" s="695"/>
      <c r="D1" s="695"/>
      <c r="E1" s="695"/>
      <c r="F1" s="695"/>
      <c r="G1" s="695"/>
      <c r="H1" s="695"/>
      <c r="I1" s="695"/>
      <c r="J1" s="695"/>
      <c r="K1" s="695"/>
      <c r="L1" s="695"/>
      <c r="M1" s="695"/>
      <c r="N1" s="695"/>
      <c r="O1" s="695"/>
      <c r="P1" s="695"/>
      <c r="Q1" s="695"/>
      <c r="R1" s="695"/>
      <c r="S1" s="695"/>
      <c r="T1" s="695"/>
      <c r="U1" s="695"/>
      <c r="V1" s="695"/>
      <c r="W1" s="695"/>
      <c r="X1" s="695"/>
      <c r="Y1" s="695"/>
      <c r="Z1" s="695"/>
      <c r="AA1" s="695"/>
      <c r="AB1" s="695"/>
      <c r="AC1" s="695"/>
      <c r="AD1" s="507"/>
      <c r="AG1" s="511" t="s">
        <v>49</v>
      </c>
      <c r="AH1" s="694" t="str">
        <f>"«Borc alan»ın krediti və onun faizlərinin ödənilməsi  dövriliyini ən az 2 (iki) dəfə 5 (b"&amp;"eş) təqvim günündən çox pozduqda;"</f>
        <v>«Borc alan»ın krediti və onun faizlərinin ödənilməsi  dövriliyini ən az 2 (iki) dəfə 5 (beş) təqvim günündən çox pozduqda;</v>
      </c>
      <c r="AI1" s="694"/>
      <c r="AJ1" s="694"/>
      <c r="AK1" s="694"/>
      <c r="AL1" s="694"/>
      <c r="AM1" s="694"/>
      <c r="AN1" s="694"/>
      <c r="AO1" s="694"/>
      <c r="AP1" s="694"/>
      <c r="AQ1" s="694"/>
      <c r="AR1" s="694"/>
      <c r="AS1" s="694"/>
      <c r="AT1" s="694"/>
      <c r="AU1" s="694"/>
      <c r="AV1" s="694"/>
      <c r="AW1" s="694"/>
      <c r="AX1" s="694"/>
      <c r="AY1" s="694"/>
      <c r="AZ1" s="694"/>
      <c r="BA1" s="694"/>
      <c r="BB1" s="694"/>
      <c r="BC1" s="694"/>
      <c r="BD1" s="694"/>
      <c r="BE1" s="694"/>
      <c r="BF1" s="694"/>
      <c r="BG1" s="694"/>
    </row>
    <row r="2" spans="1:59" x14ac:dyDescent="0.2">
      <c r="A2" s="507"/>
      <c r="B2" s="507"/>
      <c r="C2" s="507"/>
      <c r="D2" s="507"/>
      <c r="E2" s="507"/>
      <c r="F2" s="507"/>
      <c r="G2" s="507"/>
      <c r="H2" s="507"/>
      <c r="I2" s="507"/>
      <c r="J2" s="507"/>
      <c r="K2" s="507"/>
      <c r="L2" s="507"/>
      <c r="M2" s="507"/>
      <c r="N2" s="507"/>
      <c r="O2" s="507"/>
      <c r="P2" s="507"/>
      <c r="Q2" s="507"/>
      <c r="R2" s="507"/>
      <c r="S2" s="507"/>
      <c r="T2" s="507"/>
      <c r="U2" s="507"/>
      <c r="V2" s="507"/>
      <c r="W2" s="507"/>
      <c r="X2" s="507"/>
      <c r="Y2" s="507"/>
      <c r="Z2" s="507"/>
      <c r="AA2" s="507"/>
      <c r="AB2" s="507"/>
      <c r="AC2" s="507"/>
      <c r="AD2" s="507"/>
      <c r="AG2" s="511"/>
      <c r="AH2" s="694"/>
      <c r="AI2" s="694"/>
      <c r="AJ2" s="694"/>
      <c r="AK2" s="694"/>
      <c r="AL2" s="694"/>
      <c r="AM2" s="694"/>
      <c r="AN2" s="694"/>
      <c r="AO2" s="694"/>
      <c r="AP2" s="694"/>
      <c r="AQ2" s="694"/>
      <c r="AR2" s="694"/>
      <c r="AS2" s="694"/>
      <c r="AT2" s="694"/>
      <c r="AU2" s="694"/>
      <c r="AV2" s="694"/>
      <c r="AW2" s="694"/>
      <c r="AX2" s="694"/>
      <c r="AY2" s="694"/>
      <c r="AZ2" s="694"/>
      <c r="BA2" s="694"/>
      <c r="BB2" s="694"/>
      <c r="BC2" s="694"/>
      <c r="BD2" s="694"/>
      <c r="BE2" s="694"/>
      <c r="BF2" s="694"/>
      <c r="BG2" s="694"/>
    </row>
    <row r="3" spans="1:59" x14ac:dyDescent="0.2">
      <c r="A3" s="696" t="str">
        <f>NAME_REGION</f>
        <v>Ağcabədi şəhəri</v>
      </c>
      <c r="B3" s="696"/>
      <c r="C3" s="696"/>
      <c r="D3" s="696"/>
      <c r="E3" s="696"/>
      <c r="F3" s="696"/>
      <c r="G3" s="696"/>
      <c r="H3" s="696"/>
      <c r="I3" s="696"/>
      <c r="J3" s="696"/>
      <c r="K3" s="696"/>
      <c r="L3" s="696"/>
      <c r="M3" s="696"/>
      <c r="N3" s="696"/>
      <c r="O3" s="696"/>
      <c r="P3" s="696"/>
      <c r="Q3" s="696"/>
      <c r="R3" s="696"/>
      <c r="S3" s="697" t="str">
        <f>START_DATE_KREDIT_SOZLE</f>
        <v>«31» İyul 2015-ci il</v>
      </c>
      <c r="T3" s="697"/>
      <c r="U3" s="697"/>
      <c r="V3" s="697"/>
      <c r="W3" s="697"/>
      <c r="X3" s="697"/>
      <c r="Y3" s="697"/>
      <c r="Z3" s="697"/>
      <c r="AA3" s="697"/>
      <c r="AB3" s="697"/>
      <c r="AC3" s="697"/>
      <c r="AD3" s="507"/>
      <c r="AG3" s="511" t="s">
        <v>47</v>
      </c>
      <c r="AH3" s="694" t="str">
        <f>"«Borc alan»ın krediti və onun faizlərinin ödənilməsi  dövriliyini bu müqavilənin tərkib hissəsi ola"&amp;"n ödəniş cədvəli üzrə müəyyən edilmiş müddətdən 7 (yeddi) təqvim günündən artıq  gecikdirdikdə;"</f>
        <v>«Borc alan»ın krediti və onun faizlərinin ödənilməsi  dövriliyini bu müqavilənin tərkib hissəsi olan ödəniş cədvəli üzrə müəyyən edilmiş müddətdən 7 (yeddi) təqvim günündən artıq  gecikdirdikdə;</v>
      </c>
      <c r="AI3" s="694"/>
      <c r="AJ3" s="694"/>
      <c r="AK3" s="694"/>
      <c r="AL3" s="694"/>
      <c r="AM3" s="694"/>
      <c r="AN3" s="694"/>
      <c r="AO3" s="694"/>
      <c r="AP3" s="694"/>
      <c r="AQ3" s="694"/>
      <c r="AR3" s="694"/>
      <c r="AS3" s="694"/>
      <c r="AT3" s="694"/>
      <c r="AU3" s="694"/>
      <c r="AV3" s="694"/>
      <c r="AW3" s="694"/>
      <c r="AX3" s="694"/>
      <c r="AY3" s="694"/>
      <c r="AZ3" s="694"/>
      <c r="BA3" s="694"/>
      <c r="BB3" s="694"/>
      <c r="BC3" s="694"/>
      <c r="BD3" s="694"/>
      <c r="BE3" s="694"/>
      <c r="BF3" s="694"/>
      <c r="BG3" s="694"/>
    </row>
    <row r="4" spans="1:59" x14ac:dyDescent="0.2">
      <c r="AD4" s="507"/>
      <c r="AG4" s="511"/>
      <c r="AH4" s="694"/>
      <c r="AI4" s="694"/>
      <c r="AJ4" s="694"/>
      <c r="AK4" s="694"/>
      <c r="AL4" s="694"/>
      <c r="AM4" s="694"/>
      <c r="AN4" s="694"/>
      <c r="AO4" s="694"/>
      <c r="AP4" s="694"/>
      <c r="AQ4" s="694"/>
      <c r="AR4" s="694"/>
      <c r="AS4" s="694"/>
      <c r="AT4" s="694"/>
      <c r="AU4" s="694"/>
      <c r="AV4" s="694"/>
      <c r="AW4" s="694"/>
      <c r="AX4" s="694"/>
      <c r="AY4" s="694"/>
      <c r="AZ4" s="694"/>
      <c r="BA4" s="694"/>
      <c r="BB4" s="694"/>
      <c r="BC4" s="694"/>
      <c r="BD4" s="694"/>
      <c r="BE4" s="694"/>
      <c r="BF4" s="694"/>
      <c r="BG4" s="694"/>
    </row>
    <row r="5" spans="1:59" x14ac:dyDescent="0.2">
      <c r="A5" s="694" t="str">
        <f>"Bir tərəfdən bundan sonra «Borc verən» adlanacaq, Azərbaycan Respublikasının Mərkəzi Bankı  tərəfindən  verilmiş  lisenziya və Nizamnamə əsasında fəaliyyət göstərən, Bank Olmayan Kredit Təşkilatı «Vijn Fond Azərkredit» MMC, "&amp;NAME_BRANCH&amp;"  "&amp;POSITION_MENEGER_BRANCH&amp;" "&amp;SURNAME_MENEGER_BRANCH&amp;" "&amp;NAME_MENEGER_BRANCH&amp;" "&amp;FATHERNAME_MENEGER_BRANCH&amp;" "&amp;G_MENEGER_BRANCH&amp;"nun şəxsində və digər tərəfdən  bundan sonra  «Borc alan»  adlanacaq "&amp;SURNAME_KREDITOR&amp;" "&amp;NAME_KREDITOR&amp;" "&amp;FATHERNAME_KREDITOR&amp;" "&amp;G_KREDITOR&amp;"  aşağıdakı məzmunda və şərtlərlə bu müqaviləni bağladılar."</f>
        <v>Bir tərəfdən bundan sonra «Borc verən» adlanacaq, Azərbaycan Respublikasının Mərkəzi Bankı  tərəfindən  verilmiş  lisenziya və Nizamnamə əsasında fəaliyyət göstərən, Bank Olmayan Kredit Təşkilatı «Vijn Fond Azərkredit» MMC, Ağcabədi  Filialının  kredit meneceri Əhmədov  Bəhruz  Tofiq  oğlunun şəxsində və digər tərəfdən  bundan sonra  «Borc alan»  adlanacaq Həsənov Kənan Asdan qızı  aşağıdakı məzmunda və şərtlərlə bu müqaviləni bağladılar.</v>
      </c>
      <c r="B5" s="694"/>
      <c r="C5" s="694"/>
      <c r="D5" s="694"/>
      <c r="E5" s="694"/>
      <c r="F5" s="694"/>
      <c r="G5" s="694"/>
      <c r="H5" s="694"/>
      <c r="I5" s="694"/>
      <c r="J5" s="694"/>
      <c r="K5" s="694"/>
      <c r="L5" s="694"/>
      <c r="M5" s="694"/>
      <c r="N5" s="694"/>
      <c r="O5" s="694"/>
      <c r="P5" s="694"/>
      <c r="Q5" s="694"/>
      <c r="R5" s="694"/>
      <c r="S5" s="694"/>
      <c r="T5" s="694"/>
      <c r="U5" s="694"/>
      <c r="V5" s="694"/>
      <c r="W5" s="694"/>
      <c r="X5" s="694"/>
      <c r="Y5" s="694"/>
      <c r="Z5" s="694"/>
      <c r="AA5" s="694"/>
      <c r="AB5" s="694"/>
      <c r="AC5" s="694"/>
      <c r="AD5" s="507"/>
      <c r="AG5" s="511"/>
      <c r="AH5" s="694"/>
      <c r="AI5" s="694"/>
      <c r="AJ5" s="694"/>
      <c r="AK5" s="694"/>
      <c r="AL5" s="694"/>
      <c r="AM5" s="694"/>
      <c r="AN5" s="694"/>
      <c r="AO5" s="694"/>
      <c r="AP5" s="694"/>
      <c r="AQ5" s="694"/>
      <c r="AR5" s="694"/>
      <c r="AS5" s="694"/>
      <c r="AT5" s="694"/>
      <c r="AU5" s="694"/>
      <c r="AV5" s="694"/>
      <c r="AW5" s="694"/>
      <c r="AX5" s="694"/>
      <c r="AY5" s="694"/>
      <c r="AZ5" s="694"/>
      <c r="BA5" s="694"/>
      <c r="BB5" s="694"/>
      <c r="BC5" s="694"/>
      <c r="BD5" s="694"/>
      <c r="BE5" s="694"/>
      <c r="BF5" s="694"/>
      <c r="BG5" s="694"/>
    </row>
    <row r="6" spans="1:59" x14ac:dyDescent="0.2">
      <c r="A6" s="694"/>
      <c r="B6" s="694"/>
      <c r="C6" s="694"/>
      <c r="D6" s="694"/>
      <c r="E6" s="694"/>
      <c r="F6" s="694"/>
      <c r="G6" s="694"/>
      <c r="H6" s="694"/>
      <c r="I6" s="694"/>
      <c r="J6" s="694"/>
      <c r="K6" s="694"/>
      <c r="L6" s="694"/>
      <c r="M6" s="694"/>
      <c r="N6" s="694"/>
      <c r="O6" s="694"/>
      <c r="P6" s="694"/>
      <c r="Q6" s="694"/>
      <c r="R6" s="694"/>
      <c r="S6" s="694"/>
      <c r="T6" s="694"/>
      <c r="U6" s="694"/>
      <c r="V6" s="694"/>
      <c r="W6" s="694"/>
      <c r="X6" s="694"/>
      <c r="Y6" s="694"/>
      <c r="Z6" s="694"/>
      <c r="AA6" s="694"/>
      <c r="AB6" s="694"/>
      <c r="AC6" s="694"/>
      <c r="AD6" s="507"/>
      <c r="AG6" s="511" t="s">
        <v>46</v>
      </c>
      <c r="AH6" s="694" t="s">
        <v>440</v>
      </c>
      <c r="AI6" s="694"/>
      <c r="AJ6" s="694"/>
      <c r="AK6" s="694"/>
      <c r="AL6" s="694"/>
      <c r="AM6" s="694"/>
      <c r="AN6" s="694"/>
      <c r="AO6" s="694"/>
      <c r="AP6" s="694"/>
      <c r="AQ6" s="694"/>
      <c r="AR6" s="694"/>
      <c r="AS6" s="694"/>
      <c r="AT6" s="694"/>
      <c r="AU6" s="694"/>
      <c r="AV6" s="694"/>
      <c r="AW6" s="694"/>
      <c r="AX6" s="694"/>
      <c r="AY6" s="694"/>
      <c r="AZ6" s="694"/>
      <c r="BA6" s="694"/>
      <c r="BB6" s="694"/>
      <c r="BC6" s="694"/>
      <c r="BD6" s="694"/>
      <c r="BE6" s="694"/>
      <c r="BF6" s="694"/>
      <c r="BG6" s="694"/>
    </row>
    <row r="7" spans="1:59" x14ac:dyDescent="0.2">
      <c r="A7" s="694"/>
      <c r="B7" s="694"/>
      <c r="C7" s="694"/>
      <c r="D7" s="694"/>
      <c r="E7" s="694"/>
      <c r="F7" s="694"/>
      <c r="G7" s="694"/>
      <c r="H7" s="694"/>
      <c r="I7" s="694"/>
      <c r="J7" s="694"/>
      <c r="K7" s="694"/>
      <c r="L7" s="694"/>
      <c r="M7" s="694"/>
      <c r="N7" s="694"/>
      <c r="O7" s="694"/>
      <c r="P7" s="694"/>
      <c r="Q7" s="694"/>
      <c r="R7" s="694"/>
      <c r="S7" s="694"/>
      <c r="T7" s="694"/>
      <c r="U7" s="694"/>
      <c r="V7" s="694"/>
      <c r="W7" s="694"/>
      <c r="X7" s="694"/>
      <c r="Y7" s="694"/>
      <c r="Z7" s="694"/>
      <c r="AA7" s="694"/>
      <c r="AB7" s="694"/>
      <c r="AC7" s="694"/>
      <c r="AD7" s="507"/>
      <c r="AG7" s="511"/>
      <c r="AH7" s="694"/>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row>
    <row r="8" spans="1:59" x14ac:dyDescent="0.2">
      <c r="A8" s="694"/>
      <c r="B8" s="694"/>
      <c r="C8" s="694"/>
      <c r="D8" s="694"/>
      <c r="E8" s="694"/>
      <c r="F8" s="694"/>
      <c r="G8" s="694"/>
      <c r="H8" s="694"/>
      <c r="I8" s="694"/>
      <c r="J8" s="694"/>
      <c r="K8" s="694"/>
      <c r="L8" s="694"/>
      <c r="M8" s="694"/>
      <c r="N8" s="694"/>
      <c r="O8" s="694"/>
      <c r="P8" s="694"/>
      <c r="Q8" s="694"/>
      <c r="R8" s="694"/>
      <c r="S8" s="694"/>
      <c r="T8" s="694"/>
      <c r="U8" s="694"/>
      <c r="V8" s="694"/>
      <c r="W8" s="694"/>
      <c r="X8" s="694"/>
      <c r="Y8" s="694"/>
      <c r="Z8" s="694"/>
      <c r="AA8" s="694"/>
      <c r="AB8" s="694"/>
      <c r="AC8" s="694"/>
      <c r="AD8" s="507"/>
      <c r="AG8" s="511"/>
      <c r="AH8" s="694"/>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row>
    <row r="9" spans="1:59" x14ac:dyDescent="0.2">
      <c r="A9" s="694"/>
      <c r="B9" s="694"/>
      <c r="C9" s="694"/>
      <c r="D9" s="694"/>
      <c r="E9" s="694"/>
      <c r="F9" s="694"/>
      <c r="G9" s="694"/>
      <c r="H9" s="694"/>
      <c r="I9" s="694"/>
      <c r="J9" s="694"/>
      <c r="K9" s="694"/>
      <c r="L9" s="694"/>
      <c r="M9" s="694"/>
      <c r="N9" s="694"/>
      <c r="O9" s="694"/>
      <c r="P9" s="694"/>
      <c r="Q9" s="694"/>
      <c r="R9" s="694"/>
      <c r="S9" s="694"/>
      <c r="T9" s="694"/>
      <c r="U9" s="694"/>
      <c r="V9" s="694"/>
      <c r="W9" s="694"/>
      <c r="X9" s="694"/>
      <c r="Y9" s="694"/>
      <c r="Z9" s="694"/>
      <c r="AA9" s="694"/>
      <c r="AB9" s="694"/>
      <c r="AC9" s="694"/>
      <c r="AD9" s="507"/>
      <c r="AG9" s="511" t="s">
        <v>467</v>
      </c>
      <c r="AH9" s="694" t="str">
        <f>"«Borc alan» tərəfindən «Borc verən»i aldatmağa yönəlmiş hər hansı bir hərəkətin edildiyi, o cümlədən «Borc alan» özünün fəaliyyəti, iqtisadi maliyyə imkanları və bu müqavilə üzrə öhdəliyin vaxtında və lazımi qaydada icrası üçün əhəmiyyətli olan digər "&amp;"faktlar (dövlət büdcəsinə, digər hüquqi və fiziki şəxslərə olan borclar,"&amp;"kreditorlar qarşısında icra edilməmiş mülki-hüquqi öhdəliklər  və s.) haqqında verdiyi məlumatla"&amp;"rın və təqdim etdiyi sənədlərin həqiqətə uyğun olmadığı aşkar edildikdə;"</f>
        <v>«Borc alan» tərəfindən «Borc verən»i aldatmağa yönəlmiş hər hansı bir hərəkətin edildiyi, o cümlədən «Borc alan» özünün fəaliyyəti, iqtisadi maliyyə imkanları və bu müqavilə üzrə öhdəliyin vaxtında və lazımi qaydada icrası üçün əhəmiyyətli olan digər faktlar (dövlət büdcəsinə, digər hüquqi və fiziki şəxslərə olan borclar,kreditorlar qarşısında icra edilməmiş mülki-hüquqi öhdəliklər  və s.) haqqında verdiyi məlumatların və təqdim etdiyi sənədlərin həqiqətə uyğun olmadığı aşkar edildikdə;</v>
      </c>
      <c r="AI9" s="694"/>
      <c r="AJ9" s="694"/>
      <c r="AK9" s="694"/>
      <c r="AL9" s="694"/>
      <c r="AM9" s="694"/>
      <c r="AN9" s="694"/>
      <c r="AO9" s="694"/>
      <c r="AP9" s="694"/>
      <c r="AQ9" s="694"/>
      <c r="AR9" s="694"/>
      <c r="AS9" s="694"/>
      <c r="AT9" s="694"/>
      <c r="AU9" s="694"/>
      <c r="AV9" s="694"/>
      <c r="AW9" s="694"/>
      <c r="AX9" s="694"/>
      <c r="AY9" s="694"/>
      <c r="AZ9" s="694"/>
      <c r="BA9" s="694"/>
      <c r="BB9" s="694"/>
      <c r="BC9" s="694"/>
      <c r="BD9" s="694"/>
      <c r="BE9" s="694"/>
      <c r="BF9" s="694"/>
      <c r="BG9" s="694"/>
    </row>
    <row r="10" spans="1:59" x14ac:dyDescent="0.2">
      <c r="A10" s="694"/>
      <c r="B10" s="694"/>
      <c r="C10" s="694"/>
      <c r="D10" s="694"/>
      <c r="E10" s="694"/>
      <c r="F10" s="694"/>
      <c r="G10" s="694"/>
      <c r="H10" s="694"/>
      <c r="I10" s="694"/>
      <c r="J10" s="694"/>
      <c r="K10" s="694"/>
      <c r="L10" s="694"/>
      <c r="M10" s="694"/>
      <c r="N10" s="694"/>
      <c r="O10" s="694"/>
      <c r="P10" s="694"/>
      <c r="Q10" s="694"/>
      <c r="R10" s="694"/>
      <c r="S10" s="694"/>
      <c r="T10" s="694"/>
      <c r="U10" s="694"/>
      <c r="V10" s="694"/>
      <c r="W10" s="694"/>
      <c r="X10" s="694"/>
      <c r="Y10" s="694"/>
      <c r="Z10" s="694"/>
      <c r="AA10" s="694"/>
      <c r="AB10" s="694"/>
      <c r="AC10" s="694"/>
      <c r="AD10" s="507"/>
      <c r="AG10" s="511"/>
      <c r="AH10" s="694"/>
      <c r="AI10" s="694"/>
      <c r="AJ10" s="694"/>
      <c r="AK10" s="694"/>
      <c r="AL10" s="694"/>
      <c r="AM10" s="694"/>
      <c r="AN10" s="694"/>
      <c r="AO10" s="694"/>
      <c r="AP10" s="694"/>
      <c r="AQ10" s="694"/>
      <c r="AR10" s="694"/>
      <c r="AS10" s="694"/>
      <c r="AT10" s="694"/>
      <c r="AU10" s="694"/>
      <c r="AV10" s="694"/>
      <c r="AW10" s="694"/>
      <c r="AX10" s="694"/>
      <c r="AY10" s="694"/>
      <c r="AZ10" s="694"/>
      <c r="BA10" s="694"/>
      <c r="BB10" s="694"/>
      <c r="BC10" s="694"/>
      <c r="BD10" s="694"/>
      <c r="BE10" s="694"/>
      <c r="BF10" s="694"/>
      <c r="BG10" s="694"/>
    </row>
    <row r="11" spans="1:59" x14ac:dyDescent="0.2">
      <c r="A11" s="694"/>
      <c r="B11" s="694"/>
      <c r="C11" s="694"/>
      <c r="D11" s="694"/>
      <c r="E11" s="694"/>
      <c r="F11" s="694"/>
      <c r="G11" s="694"/>
      <c r="H11" s="694"/>
      <c r="I11" s="694"/>
      <c r="J11" s="694"/>
      <c r="K11" s="694"/>
      <c r="L11" s="694"/>
      <c r="M11" s="694"/>
      <c r="N11" s="694"/>
      <c r="O11" s="694"/>
      <c r="P11" s="694"/>
      <c r="Q11" s="694"/>
      <c r="R11" s="694"/>
      <c r="S11" s="694"/>
      <c r="T11" s="694"/>
      <c r="U11" s="694"/>
      <c r="V11" s="694"/>
      <c r="W11" s="694"/>
      <c r="X11" s="694"/>
      <c r="Y11" s="694"/>
      <c r="Z11" s="694"/>
      <c r="AA11" s="694"/>
      <c r="AB11" s="694"/>
      <c r="AC11" s="694"/>
      <c r="AD11" s="507"/>
      <c r="AG11" s="511"/>
      <c r="AH11" s="694"/>
      <c r="AI11" s="694"/>
      <c r="AJ11" s="694"/>
      <c r="AK11" s="694"/>
      <c r="AL11" s="694"/>
      <c r="AM11" s="694"/>
      <c r="AN11" s="694"/>
      <c r="AO11" s="694"/>
      <c r="AP11" s="694"/>
      <c r="AQ11" s="694"/>
      <c r="AR11" s="694"/>
      <c r="AS11" s="694"/>
      <c r="AT11" s="694"/>
      <c r="AU11" s="694"/>
      <c r="AV11" s="694"/>
      <c r="AW11" s="694"/>
      <c r="AX11" s="694"/>
      <c r="AY11" s="694"/>
      <c r="AZ11" s="694"/>
      <c r="BA11" s="694"/>
      <c r="BB11" s="694"/>
      <c r="BC11" s="694"/>
      <c r="BD11" s="694"/>
      <c r="BE11" s="694"/>
      <c r="BF11" s="694"/>
      <c r="BG11" s="694"/>
    </row>
    <row r="12" spans="1:59" x14ac:dyDescent="0.2">
      <c r="A12" s="695" t="s">
        <v>164</v>
      </c>
      <c r="B12" s="695"/>
      <c r="C12" s="695"/>
      <c r="D12" s="695"/>
      <c r="E12" s="695"/>
      <c r="F12" s="695"/>
      <c r="G12" s="695"/>
      <c r="H12" s="695"/>
      <c r="I12" s="695"/>
      <c r="J12" s="695"/>
      <c r="K12" s="695"/>
      <c r="L12" s="695"/>
      <c r="M12" s="695"/>
      <c r="N12" s="695"/>
      <c r="O12" s="695"/>
      <c r="P12" s="695"/>
      <c r="Q12" s="695"/>
      <c r="R12" s="695"/>
      <c r="S12" s="695"/>
      <c r="T12" s="695"/>
      <c r="U12" s="695"/>
      <c r="V12" s="695"/>
      <c r="W12" s="695"/>
      <c r="X12" s="695"/>
      <c r="Y12" s="695"/>
      <c r="Z12" s="695"/>
      <c r="AA12" s="695"/>
      <c r="AB12" s="695"/>
      <c r="AC12" s="695"/>
      <c r="AD12" s="507"/>
      <c r="AG12" s="511"/>
      <c r="AH12" s="694"/>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row>
    <row r="13" spans="1:59" x14ac:dyDescent="0.2">
      <c r="A13" s="99" t="s">
        <v>93</v>
      </c>
      <c r="B13" s="694" t="str">
        <f>"Bu müqaviləyə görə «Borc verən» «Borc alan»a sonuncunun öz biznesini inkişaf etdirmək və həyat səviyyəsini yaxşılaşdırmaq üçün "&amp;OLD_DATE_KREDIT_SOZLE&amp;" tarixli LD/"&amp;LEFT(OLD_LD,5)&amp;"/"&amp;RIGHT(OLD_LD,5)&amp;" nömrəli kredit müqaviləsi əsasında götürdüyü kredit üzrə "&amp;START_DATE_KREDIT_SOZLE&amp;" tarixə olan qalıq öhdəliyini isə restrukturizasiya edir, «Borc alan» isəisə restrukturizas"&amp;"iya edilmiş yeni öhdəliyi qəbul edir və həmin krediti bu müqavilə ilə müəyyən olunmuş müddətdə faizi ilə birlikdə «Borc verən»ə qaytarmağı öz öhdəsinə götürür."</f>
        <v>Bu müqaviləyə görə «Borc verən» «Borc alan»a sonuncunun öz biznesini inkişaf etdirmək və həyat səviyyəsini yaxşılaşdırmaq üçün «27» İyul 2014-cü il tarixli LD/12345/67890 nömrəli kredit müqaviləsi əsasında götürdüyü kredit üzrə «31» İyul 2015-ci il tarixə olan qalıq öhdəliyini isə restrukturizasiya edir, «Borc alan» isəisə restrukturizasiya edilmiş yeni öhdəliyi qəbul edir və həmin krediti bu müqavilə ilə müəyyən olunmuş müddətdə faizi ilə birlikdə «Borc verən»ə qaytarmağı öz öhdəsinə götürür.</v>
      </c>
      <c r="C13" s="694"/>
      <c r="D13" s="694"/>
      <c r="E13" s="694"/>
      <c r="F13" s="694"/>
      <c r="G13" s="694"/>
      <c r="H13" s="694"/>
      <c r="I13" s="694"/>
      <c r="J13" s="694"/>
      <c r="K13" s="694"/>
      <c r="L13" s="694"/>
      <c r="M13" s="694"/>
      <c r="N13" s="694"/>
      <c r="O13" s="694"/>
      <c r="P13" s="694"/>
      <c r="Q13" s="694"/>
      <c r="R13" s="694"/>
      <c r="S13" s="694"/>
      <c r="T13" s="694"/>
      <c r="U13" s="694"/>
      <c r="V13" s="694"/>
      <c r="W13" s="694"/>
      <c r="X13" s="694"/>
      <c r="Y13" s="694"/>
      <c r="Z13" s="694"/>
      <c r="AA13" s="694"/>
      <c r="AB13" s="694"/>
      <c r="AC13" s="694"/>
      <c r="AD13" s="507"/>
      <c r="AG13" s="511"/>
      <c r="AH13" s="694"/>
      <c r="AI13" s="694"/>
      <c r="AJ13" s="694"/>
      <c r="AK13" s="694"/>
      <c r="AL13" s="694"/>
      <c r="AM13" s="694"/>
      <c r="AN13" s="694"/>
      <c r="AO13" s="694"/>
      <c r="AP13" s="694"/>
      <c r="AQ13" s="694"/>
      <c r="AR13" s="694"/>
      <c r="AS13" s="694"/>
      <c r="AT13" s="694"/>
      <c r="AU13" s="694"/>
      <c r="AV13" s="694"/>
      <c r="AW13" s="694"/>
      <c r="AX13" s="694"/>
      <c r="AY13" s="694"/>
      <c r="AZ13" s="694"/>
      <c r="BA13" s="694"/>
      <c r="BB13" s="694"/>
      <c r="BC13" s="694"/>
      <c r="BD13" s="694"/>
      <c r="BE13" s="694"/>
      <c r="BF13" s="694"/>
      <c r="BG13" s="694"/>
    </row>
    <row r="14" spans="1:59" x14ac:dyDescent="0.2">
      <c r="A14" s="99"/>
      <c r="B14" s="694"/>
      <c r="C14" s="694"/>
      <c r="D14" s="694"/>
      <c r="E14" s="694"/>
      <c r="F14" s="694"/>
      <c r="G14" s="694"/>
      <c r="H14" s="694"/>
      <c r="I14" s="694"/>
      <c r="J14" s="694"/>
      <c r="K14" s="694"/>
      <c r="L14" s="694"/>
      <c r="M14" s="694"/>
      <c r="N14" s="694"/>
      <c r="O14" s="694"/>
      <c r="P14" s="694"/>
      <c r="Q14" s="694"/>
      <c r="R14" s="694"/>
      <c r="S14" s="694"/>
      <c r="T14" s="694"/>
      <c r="U14" s="694"/>
      <c r="V14" s="694"/>
      <c r="W14" s="694"/>
      <c r="X14" s="694"/>
      <c r="Y14" s="694"/>
      <c r="Z14" s="694"/>
      <c r="AA14" s="694"/>
      <c r="AB14" s="694"/>
      <c r="AC14" s="694"/>
      <c r="AD14" s="507"/>
      <c r="AG14" s="511"/>
      <c r="AH14" s="694"/>
      <c r="AI14" s="694"/>
      <c r="AJ14" s="694"/>
      <c r="AK14" s="694"/>
      <c r="AL14" s="694"/>
      <c r="AM14" s="694"/>
      <c r="AN14" s="694"/>
      <c r="AO14" s="694"/>
      <c r="AP14" s="694"/>
      <c r="AQ14" s="694"/>
      <c r="AR14" s="694"/>
      <c r="AS14" s="694"/>
      <c r="AT14" s="694"/>
      <c r="AU14" s="694"/>
      <c r="AV14" s="694"/>
      <c r="AW14" s="694"/>
      <c r="AX14" s="694"/>
      <c r="AY14" s="694"/>
      <c r="AZ14" s="694"/>
      <c r="BA14" s="694"/>
      <c r="BB14" s="694"/>
      <c r="BC14" s="694"/>
      <c r="BD14" s="694"/>
      <c r="BE14" s="694"/>
      <c r="BF14" s="694"/>
      <c r="BG14" s="694"/>
    </row>
    <row r="15" spans="1:59" x14ac:dyDescent="0.2">
      <c r="B15" s="694"/>
      <c r="C15" s="694"/>
      <c r="D15" s="694"/>
      <c r="E15" s="694"/>
      <c r="F15" s="694"/>
      <c r="G15" s="694"/>
      <c r="H15" s="694"/>
      <c r="I15" s="694"/>
      <c r="J15" s="694"/>
      <c r="K15" s="694"/>
      <c r="L15" s="694"/>
      <c r="M15" s="694"/>
      <c r="N15" s="694"/>
      <c r="O15" s="694"/>
      <c r="P15" s="694"/>
      <c r="Q15" s="694"/>
      <c r="R15" s="694"/>
      <c r="S15" s="694"/>
      <c r="T15" s="694"/>
      <c r="U15" s="694"/>
      <c r="V15" s="694"/>
      <c r="W15" s="694"/>
      <c r="X15" s="694"/>
      <c r="Y15" s="694"/>
      <c r="Z15" s="694"/>
      <c r="AA15" s="694"/>
      <c r="AB15" s="694"/>
      <c r="AC15" s="694"/>
      <c r="AD15" s="507"/>
      <c r="AG15" s="511"/>
      <c r="AH15" s="694"/>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row>
    <row r="16" spans="1:59" x14ac:dyDescent="0.2">
      <c r="B16" s="694"/>
      <c r="C16" s="694"/>
      <c r="D16" s="694"/>
      <c r="E16" s="694"/>
      <c r="F16" s="694"/>
      <c r="G16" s="694"/>
      <c r="H16" s="694"/>
      <c r="I16" s="694"/>
      <c r="J16" s="694"/>
      <c r="K16" s="694"/>
      <c r="L16" s="694"/>
      <c r="M16" s="694"/>
      <c r="N16" s="694"/>
      <c r="O16" s="694"/>
      <c r="P16" s="694"/>
      <c r="Q16" s="694"/>
      <c r="R16" s="694"/>
      <c r="S16" s="694"/>
      <c r="T16" s="694"/>
      <c r="U16" s="694"/>
      <c r="V16" s="694"/>
      <c r="W16" s="694"/>
      <c r="X16" s="694"/>
      <c r="Y16" s="694"/>
      <c r="Z16" s="694"/>
      <c r="AA16" s="694"/>
      <c r="AB16" s="694"/>
      <c r="AC16" s="694"/>
      <c r="AD16" s="507"/>
      <c r="AG16" s="511"/>
      <c r="AH16" s="694"/>
      <c r="AI16" s="694"/>
      <c r="AJ16" s="694"/>
      <c r="AK16" s="694"/>
      <c r="AL16" s="694"/>
      <c r="AM16" s="694"/>
      <c r="AN16" s="694"/>
      <c r="AO16" s="694"/>
      <c r="AP16" s="694"/>
      <c r="AQ16" s="694"/>
      <c r="AR16" s="694"/>
      <c r="AS16" s="694"/>
      <c r="AT16" s="694"/>
      <c r="AU16" s="694"/>
      <c r="AV16" s="694"/>
      <c r="AW16" s="694"/>
      <c r="AX16" s="694"/>
      <c r="AY16" s="694"/>
      <c r="AZ16" s="694"/>
      <c r="BA16" s="694"/>
      <c r="BB16" s="694"/>
      <c r="BC16" s="694"/>
      <c r="BD16" s="694"/>
      <c r="BE16" s="694"/>
      <c r="BF16" s="694"/>
      <c r="BG16" s="694"/>
    </row>
    <row r="17" spans="1:59" ht="11.25" customHeight="1" x14ac:dyDescent="0.2">
      <c r="B17" s="694"/>
      <c r="C17" s="694"/>
      <c r="D17" s="694"/>
      <c r="E17" s="694"/>
      <c r="F17" s="694"/>
      <c r="G17" s="694"/>
      <c r="H17" s="694"/>
      <c r="I17" s="694"/>
      <c r="J17" s="694"/>
      <c r="K17" s="694"/>
      <c r="L17" s="694"/>
      <c r="M17" s="694"/>
      <c r="N17" s="694"/>
      <c r="O17" s="694"/>
      <c r="P17" s="694"/>
      <c r="Q17" s="694"/>
      <c r="R17" s="694"/>
      <c r="S17" s="694"/>
      <c r="T17" s="694"/>
      <c r="U17" s="694"/>
      <c r="V17" s="694"/>
      <c r="W17" s="694"/>
      <c r="X17" s="694"/>
      <c r="Y17" s="694"/>
      <c r="Z17" s="694"/>
      <c r="AA17" s="694"/>
      <c r="AB17" s="694"/>
      <c r="AC17" s="694"/>
      <c r="AD17" s="507"/>
      <c r="AG17" s="511" t="s">
        <v>468</v>
      </c>
      <c r="AH17" s="694" t="str">
        <f>"Kreditin təyinati üzrə istifadə edilməsinin yoxlanılması, eləcə də, «Borc alan»ın maliyyə vəziyyətinin təhlil edilməsi, krediti qaytarmaq qabiliyyətinin müəyyənləşdirilməsi məqsədilə "&amp;"«Borc verən» tərəfindən yoxlamaların (monitorinq) aparılmasına hər hansı bir şəkildə maneçilik törətdikdə; "</f>
        <v xml:space="preserve">Kreditin təyinati üzrə istifadə edilməsinin yoxlanılması, eləcə də, «Borc alan»ın maliyyə vəziyyətinin təhlil edilməsi, krediti qaytarmaq qabiliyyətinin müəyyənləşdirilməsi məqsədilə «Borc verən» tərəfindən yoxlamaların (monitorinq) aparılmasına hər hansı bir şəkildə maneçilik törətdikdə; </v>
      </c>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row>
    <row r="18" spans="1:59" x14ac:dyDescent="0.2">
      <c r="B18" s="694"/>
      <c r="C18" s="694"/>
      <c r="D18" s="694"/>
      <c r="E18" s="694"/>
      <c r="F18" s="694"/>
      <c r="G18" s="694"/>
      <c r="H18" s="694"/>
      <c r="I18" s="694"/>
      <c r="J18" s="694"/>
      <c r="K18" s="694"/>
      <c r="L18" s="694"/>
      <c r="M18" s="694"/>
      <c r="N18" s="694"/>
      <c r="O18" s="694"/>
      <c r="P18" s="694"/>
      <c r="Q18" s="694"/>
      <c r="R18" s="694"/>
      <c r="S18" s="694"/>
      <c r="T18" s="694"/>
      <c r="U18" s="694"/>
      <c r="V18" s="694"/>
      <c r="W18" s="694"/>
      <c r="X18" s="694"/>
      <c r="Y18" s="694"/>
      <c r="Z18" s="694"/>
      <c r="AA18" s="694"/>
      <c r="AB18" s="694"/>
      <c r="AC18" s="694"/>
      <c r="AD18" s="507"/>
      <c r="AG18" s="511"/>
      <c r="AH18" s="694"/>
      <c r="AI18" s="694"/>
      <c r="AJ18" s="694"/>
      <c r="AK18" s="694"/>
      <c r="AL18" s="694"/>
      <c r="AM18" s="694"/>
      <c r="AN18" s="694"/>
      <c r="AO18" s="694"/>
      <c r="AP18" s="694"/>
      <c r="AQ18" s="694"/>
      <c r="AR18" s="694"/>
      <c r="AS18" s="694"/>
      <c r="AT18" s="694"/>
      <c r="AU18" s="694"/>
      <c r="AV18" s="694"/>
      <c r="AW18" s="694"/>
      <c r="AX18" s="694"/>
      <c r="AY18" s="694"/>
      <c r="AZ18" s="694"/>
      <c r="BA18" s="694"/>
      <c r="BB18" s="694"/>
      <c r="BC18" s="694"/>
      <c r="BD18" s="694"/>
      <c r="BE18" s="694"/>
      <c r="BF18" s="694"/>
      <c r="BG18" s="694"/>
    </row>
    <row r="19" spans="1:59" x14ac:dyDescent="0.2">
      <c r="B19" s="694"/>
      <c r="C19" s="694"/>
      <c r="D19" s="694"/>
      <c r="E19" s="694"/>
      <c r="F19" s="694"/>
      <c r="G19" s="694"/>
      <c r="H19" s="694"/>
      <c r="I19" s="694"/>
      <c r="J19" s="694"/>
      <c r="K19" s="694"/>
      <c r="L19" s="694"/>
      <c r="M19" s="694"/>
      <c r="N19" s="694"/>
      <c r="O19" s="694"/>
      <c r="P19" s="694"/>
      <c r="Q19" s="694"/>
      <c r="R19" s="694"/>
      <c r="S19" s="694"/>
      <c r="T19" s="694"/>
      <c r="U19" s="694"/>
      <c r="V19" s="694"/>
      <c r="W19" s="694"/>
      <c r="X19" s="694"/>
      <c r="Y19" s="694"/>
      <c r="Z19" s="694"/>
      <c r="AA19" s="694"/>
      <c r="AB19" s="694"/>
      <c r="AC19" s="694"/>
      <c r="AD19" s="507"/>
      <c r="AF19" s="519"/>
      <c r="AG19" s="511"/>
      <c r="AH19" s="694"/>
      <c r="AI19" s="694"/>
      <c r="AJ19" s="694"/>
      <c r="AK19" s="694"/>
      <c r="AL19" s="694"/>
      <c r="AM19" s="694"/>
      <c r="AN19" s="694"/>
      <c r="AO19" s="694"/>
      <c r="AP19" s="694"/>
      <c r="AQ19" s="694"/>
      <c r="AR19" s="694"/>
      <c r="AS19" s="694"/>
      <c r="AT19" s="694"/>
      <c r="AU19" s="694"/>
      <c r="AV19" s="694"/>
      <c r="AW19" s="694"/>
      <c r="AX19" s="694"/>
      <c r="AY19" s="694"/>
      <c r="AZ19" s="694"/>
      <c r="BA19" s="694"/>
      <c r="BB19" s="694"/>
      <c r="BC19" s="694"/>
      <c r="BD19" s="694"/>
      <c r="BE19" s="694"/>
      <c r="BF19" s="694"/>
      <c r="BG19" s="694"/>
    </row>
    <row r="20" spans="1:59" ht="12.75" customHeight="1" x14ac:dyDescent="0.2">
      <c r="B20" s="694"/>
      <c r="C20" s="694"/>
      <c r="D20" s="694"/>
      <c r="E20" s="694"/>
      <c r="F20" s="694"/>
      <c r="G20" s="694"/>
      <c r="H20" s="694"/>
      <c r="I20" s="694"/>
      <c r="J20" s="694"/>
      <c r="K20" s="694"/>
      <c r="L20" s="694"/>
      <c r="M20" s="694"/>
      <c r="N20" s="694"/>
      <c r="O20" s="694"/>
      <c r="P20" s="694"/>
      <c r="Q20" s="694"/>
      <c r="R20" s="694"/>
      <c r="S20" s="694"/>
      <c r="T20" s="694"/>
      <c r="U20" s="694"/>
      <c r="V20" s="694"/>
      <c r="W20" s="694"/>
      <c r="X20" s="694"/>
      <c r="Y20" s="694"/>
      <c r="Z20" s="694"/>
      <c r="AA20" s="694"/>
      <c r="AB20" s="694"/>
      <c r="AC20" s="694"/>
      <c r="AD20" s="507"/>
      <c r="AF20" s="519"/>
      <c r="AG20" s="511"/>
      <c r="AH20" s="694"/>
      <c r="AI20" s="694"/>
      <c r="AJ20" s="694"/>
      <c r="AK20" s="694"/>
      <c r="AL20" s="694"/>
      <c r="AM20" s="694"/>
      <c r="AN20" s="694"/>
      <c r="AO20" s="694"/>
      <c r="AP20" s="694"/>
      <c r="AQ20" s="694"/>
      <c r="AR20" s="694"/>
      <c r="AS20" s="694"/>
      <c r="AT20" s="694"/>
      <c r="AU20" s="694"/>
      <c r="AV20" s="694"/>
      <c r="AW20" s="694"/>
      <c r="AX20" s="694"/>
      <c r="AY20" s="694"/>
      <c r="AZ20" s="694"/>
      <c r="BA20" s="694"/>
      <c r="BB20" s="694"/>
      <c r="BC20" s="694"/>
      <c r="BD20" s="694"/>
      <c r="BE20" s="694"/>
      <c r="BF20" s="694"/>
      <c r="BG20" s="694"/>
    </row>
    <row r="21" spans="1:59" ht="11.25" customHeight="1" x14ac:dyDescent="0.2">
      <c r="A21" s="100" t="s">
        <v>88</v>
      </c>
      <c r="B21" s="694" t="str">
        <f>"“Borc alan”ın  "&amp;OLD_DATE_KREDIT_SOZLE&amp;" tarixli LD/"&amp;LEFT(OLD_LD,5)&amp;"/"&amp;RIGHT(OLD_LD,5)&amp;" nömrəli kredit müqaviləsi üzrə götürdüyü kreditin "&amp;START_DATE_KREDIT_SOZLE&amp;" tarixə əsas məbləğ və faiz borcu üzrə cəmi  qalığı "&amp;OLD_MEBLEQ_SOZLE&amp;" təşkil edir. “Borc alan” bu məbləğ restrukturizasiya olunmuş yeni kredit öhdəliyi kimi qəbul edir."</f>
        <v>“Borc alan”ın  «27» İyul 2014-cü il tarixli LD/12345/67890 nömrəli kredit müqaviləsi üzrə götürdüyü kreditin «31» İyul 2015-ci il tarixə əsas məbləğ və faiz borcu üzrə cəmi  qalığı 963.03 USD (doqquz yüz altmış üç  ABŞ dolları 3 sent) təşkil edir. “Borc alan” bu məbləğ restrukturizasiya olunmuş yeni kredit öhdəliyi kimi qəbul edir.</v>
      </c>
      <c r="C21" s="694"/>
      <c r="D21" s="694"/>
      <c r="E21" s="694"/>
      <c r="F21" s="694"/>
      <c r="G21" s="694"/>
      <c r="H21" s="694"/>
      <c r="I21" s="694"/>
      <c r="J21" s="694"/>
      <c r="K21" s="694"/>
      <c r="L21" s="694"/>
      <c r="M21" s="694"/>
      <c r="N21" s="694"/>
      <c r="O21" s="694"/>
      <c r="P21" s="694"/>
      <c r="Q21" s="694"/>
      <c r="R21" s="694"/>
      <c r="S21" s="694"/>
      <c r="T21" s="694"/>
      <c r="U21" s="694"/>
      <c r="V21" s="694"/>
      <c r="W21" s="694"/>
      <c r="X21" s="694"/>
      <c r="Y21" s="694"/>
      <c r="Z21" s="694"/>
      <c r="AA21" s="694"/>
      <c r="AB21" s="694"/>
      <c r="AC21" s="694"/>
      <c r="AD21" s="507"/>
      <c r="AF21" s="505"/>
      <c r="AG21" s="511"/>
      <c r="AH21" s="694"/>
      <c r="AI21" s="694"/>
      <c r="AJ21" s="694"/>
      <c r="AK21" s="694"/>
      <c r="AL21" s="694"/>
      <c r="AM21" s="694"/>
      <c r="AN21" s="694"/>
      <c r="AO21" s="694"/>
      <c r="AP21" s="694"/>
      <c r="AQ21" s="694"/>
      <c r="AR21" s="694"/>
      <c r="AS21" s="694"/>
      <c r="AT21" s="694"/>
      <c r="AU21" s="694"/>
      <c r="AV21" s="694"/>
      <c r="AW21" s="694"/>
      <c r="AX21" s="694"/>
      <c r="AY21" s="694"/>
      <c r="AZ21" s="694"/>
      <c r="BA21" s="694"/>
      <c r="BB21" s="694"/>
      <c r="BC21" s="694"/>
      <c r="BD21" s="694"/>
      <c r="BE21" s="694"/>
      <c r="BF21" s="694"/>
      <c r="BG21" s="694"/>
    </row>
    <row r="22" spans="1:59" x14ac:dyDescent="0.2">
      <c r="A22" s="100"/>
      <c r="B22" s="694"/>
      <c r="C22" s="694"/>
      <c r="D22" s="694"/>
      <c r="E22" s="694"/>
      <c r="F22" s="694"/>
      <c r="G22" s="694"/>
      <c r="H22" s="694"/>
      <c r="I22" s="694"/>
      <c r="J22" s="694"/>
      <c r="K22" s="694"/>
      <c r="L22" s="694"/>
      <c r="M22" s="694"/>
      <c r="N22" s="694"/>
      <c r="O22" s="694"/>
      <c r="P22" s="694"/>
      <c r="Q22" s="694"/>
      <c r="R22" s="694"/>
      <c r="S22" s="694"/>
      <c r="T22" s="694"/>
      <c r="U22" s="694"/>
      <c r="V22" s="694"/>
      <c r="W22" s="694"/>
      <c r="X22" s="694"/>
      <c r="Y22" s="694"/>
      <c r="Z22" s="694"/>
      <c r="AA22" s="694"/>
      <c r="AB22" s="694"/>
      <c r="AC22" s="694"/>
      <c r="AD22" s="507"/>
      <c r="AG22" s="511" t="s">
        <v>469</v>
      </c>
      <c r="AH22" s="694" t="s">
        <v>453</v>
      </c>
      <c r="AI22" s="694"/>
      <c r="AJ22" s="694"/>
      <c r="AK22" s="694"/>
      <c r="AL22" s="694"/>
      <c r="AM22" s="694"/>
      <c r="AN22" s="694"/>
      <c r="AO22" s="694"/>
      <c r="AP22" s="694"/>
      <c r="AQ22" s="694"/>
      <c r="AR22" s="694"/>
      <c r="AS22" s="694"/>
      <c r="AT22" s="694"/>
      <c r="AU22" s="694"/>
      <c r="AV22" s="694"/>
      <c r="AW22" s="694"/>
      <c r="AX22" s="694"/>
      <c r="AY22" s="694"/>
      <c r="AZ22" s="694"/>
      <c r="BA22" s="694"/>
      <c r="BB22" s="694"/>
      <c r="BC22" s="694"/>
      <c r="BD22" s="694"/>
      <c r="BE22" s="694"/>
      <c r="BF22" s="694"/>
      <c r="BG22" s="694"/>
    </row>
    <row r="23" spans="1:59" x14ac:dyDescent="0.2">
      <c r="A23" s="100"/>
      <c r="B23" s="694"/>
      <c r="C23" s="694"/>
      <c r="D23" s="694"/>
      <c r="E23" s="694"/>
      <c r="F23" s="694"/>
      <c r="G23" s="694"/>
      <c r="H23" s="694"/>
      <c r="I23" s="694"/>
      <c r="J23" s="694"/>
      <c r="K23" s="694"/>
      <c r="L23" s="694"/>
      <c r="M23" s="694"/>
      <c r="N23" s="694"/>
      <c r="O23" s="694"/>
      <c r="P23" s="694"/>
      <c r="Q23" s="694"/>
      <c r="R23" s="694"/>
      <c r="S23" s="694"/>
      <c r="T23" s="694"/>
      <c r="U23" s="694"/>
      <c r="V23" s="694"/>
      <c r="W23" s="694"/>
      <c r="X23" s="694"/>
      <c r="Y23" s="694"/>
      <c r="Z23" s="694"/>
      <c r="AA23" s="694"/>
      <c r="AB23" s="694"/>
      <c r="AC23" s="694"/>
      <c r="AD23" s="507"/>
      <c r="AG23" s="511"/>
      <c r="AH23" s="694"/>
      <c r="AI23" s="694"/>
      <c r="AJ23" s="694"/>
      <c r="AK23" s="694"/>
      <c r="AL23" s="694"/>
      <c r="AM23" s="694"/>
      <c r="AN23" s="694"/>
      <c r="AO23" s="694"/>
      <c r="AP23" s="694"/>
      <c r="AQ23" s="694"/>
      <c r="AR23" s="694"/>
      <c r="AS23" s="694"/>
      <c r="AT23" s="694"/>
      <c r="AU23" s="694"/>
      <c r="AV23" s="694"/>
      <c r="AW23" s="694"/>
      <c r="AX23" s="694"/>
      <c r="AY23" s="694"/>
      <c r="AZ23" s="694"/>
      <c r="BA23" s="694"/>
      <c r="BB23" s="694"/>
      <c r="BC23" s="694"/>
      <c r="BD23" s="694"/>
      <c r="BE23" s="694"/>
      <c r="BF23" s="694"/>
      <c r="BG23" s="694"/>
    </row>
    <row r="24" spans="1:59" x14ac:dyDescent="0.2">
      <c r="B24" s="694"/>
      <c r="C24" s="694"/>
      <c r="D24" s="694"/>
      <c r="E24" s="694"/>
      <c r="F24" s="694"/>
      <c r="G24" s="694"/>
      <c r="H24" s="694"/>
      <c r="I24" s="694"/>
      <c r="J24" s="694"/>
      <c r="K24" s="694"/>
      <c r="L24" s="694"/>
      <c r="M24" s="694"/>
      <c r="N24" s="694"/>
      <c r="O24" s="694"/>
      <c r="P24" s="694"/>
      <c r="Q24" s="694"/>
      <c r="R24" s="694"/>
      <c r="S24" s="694"/>
      <c r="T24" s="694"/>
      <c r="U24" s="694"/>
      <c r="V24" s="694"/>
      <c r="W24" s="694"/>
      <c r="X24" s="694"/>
      <c r="Y24" s="694"/>
      <c r="Z24" s="694"/>
      <c r="AA24" s="694"/>
      <c r="AB24" s="694"/>
      <c r="AC24" s="694"/>
      <c r="AF24" s="519"/>
      <c r="AG24" s="511" t="s">
        <v>470</v>
      </c>
      <c r="AH24" s="694" t="s">
        <v>454</v>
      </c>
      <c r="AI24" s="694"/>
      <c r="AJ24" s="694"/>
      <c r="AK24" s="694"/>
      <c r="AL24" s="694"/>
      <c r="AM24" s="694"/>
      <c r="AN24" s="694"/>
      <c r="AO24" s="694"/>
      <c r="AP24" s="694"/>
      <c r="AQ24" s="694"/>
      <c r="AR24" s="694"/>
      <c r="AS24" s="694"/>
      <c r="AT24" s="694"/>
      <c r="AU24" s="694"/>
      <c r="AV24" s="694"/>
      <c r="AW24" s="694"/>
      <c r="AX24" s="694"/>
      <c r="AY24" s="694"/>
      <c r="AZ24" s="694"/>
      <c r="BA24" s="694"/>
      <c r="BB24" s="694"/>
      <c r="BC24" s="694"/>
      <c r="BD24" s="694"/>
      <c r="BE24" s="694"/>
      <c r="BF24" s="694"/>
      <c r="BG24" s="694"/>
    </row>
    <row r="25" spans="1:59" x14ac:dyDescent="0.2">
      <c r="B25" s="694"/>
      <c r="C25" s="694"/>
      <c r="D25" s="694"/>
      <c r="E25" s="694"/>
      <c r="F25" s="694"/>
      <c r="G25" s="694"/>
      <c r="H25" s="694"/>
      <c r="I25" s="694"/>
      <c r="J25" s="694"/>
      <c r="K25" s="694"/>
      <c r="L25" s="694"/>
      <c r="M25" s="694"/>
      <c r="N25" s="694"/>
      <c r="O25" s="694"/>
      <c r="P25" s="694"/>
      <c r="Q25" s="694"/>
      <c r="R25" s="694"/>
      <c r="S25" s="694"/>
      <c r="T25" s="694"/>
      <c r="U25" s="694"/>
      <c r="V25" s="694"/>
      <c r="W25" s="694"/>
      <c r="X25" s="694"/>
      <c r="Y25" s="694"/>
      <c r="Z25" s="694"/>
      <c r="AA25" s="694"/>
      <c r="AB25" s="694"/>
      <c r="AC25" s="694"/>
      <c r="AF25" s="519"/>
      <c r="AG25" s="511"/>
      <c r="AH25" s="694"/>
      <c r="AI25" s="694"/>
      <c r="AJ25" s="694"/>
      <c r="AK25" s="694"/>
      <c r="AL25" s="694"/>
      <c r="AM25" s="694"/>
      <c r="AN25" s="694"/>
      <c r="AO25" s="694"/>
      <c r="AP25" s="694"/>
      <c r="AQ25" s="694"/>
      <c r="AR25" s="694"/>
      <c r="AS25" s="694"/>
      <c r="AT25" s="694"/>
      <c r="AU25" s="694"/>
      <c r="AV25" s="694"/>
      <c r="AW25" s="694"/>
      <c r="AX25" s="694"/>
      <c r="AY25" s="694"/>
      <c r="AZ25" s="694"/>
      <c r="BA25" s="694"/>
      <c r="BB25" s="694"/>
      <c r="BC25" s="694"/>
      <c r="BD25" s="694"/>
      <c r="BE25" s="694"/>
      <c r="BF25" s="694"/>
      <c r="BG25" s="694"/>
    </row>
    <row r="26" spans="1:59" x14ac:dyDescent="0.2">
      <c r="A26" s="511" t="s">
        <v>85</v>
      </c>
      <c r="B26" s="698" t="str">
        <f>"Restrukturizasiya olunmuş Kredit "&amp;MONTH_KREDIT&amp;" ("&amp;LEFT(MONTH_KREDIT_SOZLE,LEN(MONTH_KREDIT_SOZLE)-1)&amp;") ay müddətinə "&amp;END_DATE_KREDIT_SOZLE&amp;" tarixinədək, ilin 360 günü hesabı ilə illik "&amp;TEXT(IFF,"0.00")&amp;" % dərəcəsi tətbiq edilməklə verilir. Faktiki illik faiz dərəcəsi (FİFD) "&amp;TEXT(FIFD,"0.00")&amp;" % təşkil edir.  Burada nəzərdə tutulan FİFD Azərbaycan Respublikasının Mərkəzi Bankının müvafiq təlimatlarına və göstərişlərinə müvafiq olmaqla müəyyən edilmişdir."</f>
        <v>Restrukturizasiya olunmuş Kredit 10 (on) ay müddətinə «31» May 2016-cı il tarixinədək, ilin 360 günü hesabı ilə illik 0.60 % dərəcəsi tətbiq edilməklə verilir. Faktiki illik faiz dərəcəsi (FİFD) 2.80 % təşkil edir.  Burada nəzərdə tutulan FİFD Azərbaycan Respublikasının Mərkəzi Bankının müvafiq təlimatlarına və göstərişlərinə müvafiq olmaqla müəyyən edilmişdir.</v>
      </c>
      <c r="C26" s="698"/>
      <c r="D26" s="698"/>
      <c r="E26" s="698"/>
      <c r="F26" s="698"/>
      <c r="G26" s="698"/>
      <c r="H26" s="698"/>
      <c r="I26" s="698"/>
      <c r="J26" s="698"/>
      <c r="K26" s="698"/>
      <c r="L26" s="698"/>
      <c r="M26" s="698"/>
      <c r="N26" s="698"/>
      <c r="O26" s="698"/>
      <c r="P26" s="698"/>
      <c r="Q26" s="698"/>
      <c r="R26" s="698"/>
      <c r="S26" s="698"/>
      <c r="T26" s="698"/>
      <c r="U26" s="698"/>
      <c r="V26" s="698"/>
      <c r="W26" s="698"/>
      <c r="X26" s="698"/>
      <c r="Y26" s="698"/>
      <c r="Z26" s="698"/>
      <c r="AA26" s="698"/>
      <c r="AB26" s="698"/>
      <c r="AC26" s="698"/>
      <c r="AF26" s="519"/>
      <c r="AG26" s="511" t="s">
        <v>471</v>
      </c>
      <c r="AH26" s="702" t="s">
        <v>476</v>
      </c>
      <c r="AI26" s="702"/>
      <c r="AJ26" s="702"/>
      <c r="AK26" s="702"/>
      <c r="AL26" s="702"/>
      <c r="AM26" s="702"/>
      <c r="AN26" s="702"/>
      <c r="AO26" s="702"/>
      <c r="AP26" s="702"/>
      <c r="AQ26" s="702"/>
      <c r="AR26" s="702"/>
      <c r="AS26" s="702"/>
      <c r="AT26" s="702"/>
      <c r="AU26" s="702"/>
      <c r="AV26" s="702"/>
      <c r="AW26" s="702"/>
      <c r="AX26" s="702"/>
      <c r="AY26" s="702"/>
      <c r="AZ26" s="702"/>
      <c r="BA26" s="702"/>
      <c r="BB26" s="702"/>
      <c r="BC26" s="702"/>
      <c r="BD26" s="702"/>
      <c r="BE26" s="702"/>
      <c r="BF26" s="702"/>
      <c r="BG26" s="702"/>
    </row>
    <row r="27" spans="1:59" x14ac:dyDescent="0.2">
      <c r="B27" s="698"/>
      <c r="C27" s="698"/>
      <c r="D27" s="698"/>
      <c r="E27" s="698"/>
      <c r="F27" s="698"/>
      <c r="G27" s="698"/>
      <c r="H27" s="698"/>
      <c r="I27" s="698"/>
      <c r="J27" s="698"/>
      <c r="K27" s="698"/>
      <c r="L27" s="698"/>
      <c r="M27" s="698"/>
      <c r="N27" s="698"/>
      <c r="O27" s="698"/>
      <c r="P27" s="698"/>
      <c r="Q27" s="698"/>
      <c r="R27" s="698"/>
      <c r="S27" s="698"/>
      <c r="T27" s="698"/>
      <c r="U27" s="698"/>
      <c r="V27" s="698"/>
      <c r="W27" s="698"/>
      <c r="X27" s="698"/>
      <c r="Y27" s="698"/>
      <c r="Z27" s="698"/>
      <c r="AA27" s="698"/>
      <c r="AB27" s="698"/>
      <c r="AC27" s="698"/>
      <c r="AD27" s="507"/>
      <c r="AF27" s="519"/>
      <c r="AG27" s="511" t="s">
        <v>95</v>
      </c>
      <c r="AH27" s="702" t="s">
        <v>477</v>
      </c>
      <c r="AI27" s="702"/>
      <c r="AJ27" s="702"/>
      <c r="AK27" s="702"/>
      <c r="AL27" s="702"/>
      <c r="AM27" s="702"/>
      <c r="AN27" s="702"/>
      <c r="AO27" s="702"/>
      <c r="AP27" s="702"/>
      <c r="AQ27" s="702"/>
      <c r="AR27" s="702"/>
      <c r="AS27" s="702"/>
      <c r="AT27" s="702"/>
      <c r="AU27" s="702"/>
      <c r="AV27" s="702"/>
      <c r="AW27" s="702"/>
      <c r="AX27" s="702"/>
      <c r="AY27" s="702"/>
      <c r="AZ27" s="702"/>
      <c r="BA27" s="702"/>
      <c r="BB27" s="702"/>
      <c r="BC27" s="702"/>
      <c r="BD27" s="702"/>
      <c r="BE27" s="702"/>
      <c r="BF27" s="702"/>
      <c r="BG27" s="702"/>
    </row>
    <row r="28" spans="1:59" ht="11.25" customHeight="1" x14ac:dyDescent="0.2">
      <c r="B28" s="698"/>
      <c r="C28" s="698"/>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507"/>
      <c r="AF28" s="519"/>
      <c r="AG28" s="511"/>
      <c r="AH28" s="702"/>
      <c r="AI28" s="702"/>
      <c r="AJ28" s="702"/>
      <c r="AK28" s="702"/>
      <c r="AL28" s="702"/>
      <c r="AM28" s="702"/>
      <c r="AN28" s="702"/>
      <c r="AO28" s="702"/>
      <c r="AP28" s="702"/>
      <c r="AQ28" s="702"/>
      <c r="AR28" s="702"/>
      <c r="AS28" s="702"/>
      <c r="AT28" s="702"/>
      <c r="AU28" s="702"/>
      <c r="AV28" s="702"/>
      <c r="AW28" s="702"/>
      <c r="AX28" s="702"/>
      <c r="AY28" s="702"/>
      <c r="AZ28" s="702"/>
      <c r="BA28" s="702"/>
      <c r="BB28" s="702"/>
      <c r="BC28" s="702"/>
      <c r="BD28" s="702"/>
      <c r="BE28" s="702"/>
      <c r="BF28" s="702"/>
      <c r="BG28" s="702"/>
    </row>
    <row r="29" spans="1:59" x14ac:dyDescent="0.2">
      <c r="B29" s="698"/>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507"/>
      <c r="AE29" s="518" t="s">
        <v>91</v>
      </c>
      <c r="AF29" s="703" t="s">
        <v>90</v>
      </c>
      <c r="AG29" s="703"/>
      <c r="AH29" s="703"/>
      <c r="AI29" s="703"/>
      <c r="AJ29" s="703"/>
      <c r="AK29" s="703"/>
      <c r="AL29" s="703"/>
      <c r="AM29" s="703"/>
      <c r="AN29" s="703"/>
      <c r="AO29" s="703"/>
      <c r="AP29" s="703"/>
      <c r="AQ29" s="703"/>
      <c r="AR29" s="703"/>
      <c r="AS29" s="703"/>
      <c r="AT29" s="703"/>
      <c r="AU29" s="703"/>
      <c r="AV29" s="703"/>
      <c r="AW29" s="703"/>
      <c r="AX29" s="703"/>
      <c r="AY29" s="703"/>
      <c r="AZ29" s="703"/>
      <c r="BA29" s="703"/>
      <c r="BB29" s="703"/>
      <c r="BC29" s="703"/>
      <c r="BD29" s="703"/>
      <c r="BE29" s="703"/>
      <c r="BF29" s="703"/>
      <c r="BG29" s="703"/>
    </row>
    <row r="30" spans="1:59" x14ac:dyDescent="0.2">
      <c r="B30" s="698"/>
      <c r="C30" s="698"/>
      <c r="D30" s="698"/>
      <c r="E30" s="698"/>
      <c r="F30" s="698"/>
      <c r="G30" s="698"/>
      <c r="H30" s="698"/>
      <c r="I30" s="698"/>
      <c r="J30" s="698"/>
      <c r="K30" s="698"/>
      <c r="L30" s="698"/>
      <c r="M30" s="698"/>
      <c r="N30" s="698"/>
      <c r="O30" s="698"/>
      <c r="P30" s="698"/>
      <c r="Q30" s="698"/>
      <c r="R30" s="698"/>
      <c r="S30" s="698"/>
      <c r="T30" s="698"/>
      <c r="U30" s="698"/>
      <c r="V30" s="698"/>
      <c r="W30" s="698"/>
      <c r="X30" s="698"/>
      <c r="Y30" s="698"/>
      <c r="Z30" s="698"/>
      <c r="AA30" s="698"/>
      <c r="AB30" s="698"/>
      <c r="AC30" s="698"/>
      <c r="AD30" s="507"/>
      <c r="AE30" s="701" t="s">
        <v>89</v>
      </c>
      <c r="AF30" s="701"/>
      <c r="AG30" s="694" t="s">
        <v>939</v>
      </c>
      <c r="AH30" s="694"/>
      <c r="AI30" s="694"/>
      <c r="AJ30" s="694"/>
      <c r="AK30" s="694"/>
      <c r="AL30" s="694"/>
      <c r="AM30" s="694"/>
      <c r="AN30" s="694"/>
      <c r="AO30" s="694"/>
      <c r="AP30" s="694"/>
      <c r="AQ30" s="694"/>
      <c r="AR30" s="694"/>
      <c r="AS30" s="694"/>
      <c r="AT30" s="694"/>
      <c r="AU30" s="694"/>
      <c r="AV30" s="694"/>
      <c r="AW30" s="694"/>
      <c r="AX30" s="694"/>
      <c r="AY30" s="694"/>
      <c r="AZ30" s="694"/>
      <c r="BA30" s="694"/>
      <c r="BB30" s="694"/>
      <c r="BC30" s="694"/>
      <c r="BD30" s="694"/>
      <c r="BE30" s="694"/>
      <c r="BF30" s="694"/>
      <c r="BG30" s="694"/>
    </row>
    <row r="31" spans="1:59" x14ac:dyDescent="0.2">
      <c r="A31" s="511">
        <v>1.4</v>
      </c>
      <c r="B31" s="694" t="str">
        <f>"«Borc alan» kreditin verilməsinə görə  «Borc verən»ə   kreditin ümumi  məbləğinin 0 % (sıfır faiz) məbləğində komisyon haqqı ödəyir."</f>
        <v>«Borc alan» kreditin verilməsinə görə  «Borc verən»ə   kreditin ümumi  məbləğinin 0 % (sıfır faiz) məbləğində komisyon haqqı ödəyir.</v>
      </c>
      <c r="C31" s="694"/>
      <c r="D31" s="694"/>
      <c r="E31" s="694"/>
      <c r="F31" s="694"/>
      <c r="G31" s="694"/>
      <c r="H31" s="694"/>
      <c r="I31" s="694"/>
      <c r="J31" s="694"/>
      <c r="K31" s="694"/>
      <c r="L31" s="694"/>
      <c r="M31" s="694"/>
      <c r="N31" s="694"/>
      <c r="O31" s="694"/>
      <c r="P31" s="694"/>
      <c r="Q31" s="694"/>
      <c r="R31" s="694"/>
      <c r="S31" s="694"/>
      <c r="T31" s="694"/>
      <c r="U31" s="694"/>
      <c r="V31" s="694"/>
      <c r="W31" s="694"/>
      <c r="X31" s="694"/>
      <c r="Y31" s="694"/>
      <c r="Z31" s="694"/>
      <c r="AA31" s="694"/>
      <c r="AB31" s="694"/>
      <c r="AC31" s="694"/>
      <c r="AD31" s="507"/>
      <c r="AE31" s="518"/>
      <c r="AF31" s="518"/>
      <c r="AG31" s="694"/>
      <c r="AH31" s="694"/>
      <c r="AI31" s="694"/>
      <c r="AJ31" s="694"/>
      <c r="AK31" s="694"/>
      <c r="AL31" s="694"/>
      <c r="AM31" s="694"/>
      <c r="AN31" s="694"/>
      <c r="AO31" s="694"/>
      <c r="AP31" s="694"/>
      <c r="AQ31" s="694"/>
      <c r="AR31" s="694"/>
      <c r="AS31" s="694"/>
      <c r="AT31" s="694"/>
      <c r="AU31" s="694"/>
      <c r="AV31" s="694"/>
      <c r="AW31" s="694"/>
      <c r="AX31" s="694"/>
      <c r="AY31" s="694"/>
      <c r="AZ31" s="694"/>
      <c r="BA31" s="694"/>
      <c r="BB31" s="694"/>
      <c r="BC31" s="694"/>
      <c r="BD31" s="694"/>
      <c r="BE31" s="694"/>
      <c r="BF31" s="694"/>
      <c r="BG31" s="694"/>
    </row>
    <row r="32" spans="1:59" x14ac:dyDescent="0.2">
      <c r="A32" s="512"/>
      <c r="B32" s="694"/>
      <c r="C32" s="694"/>
      <c r="D32" s="694"/>
      <c r="E32" s="694"/>
      <c r="F32" s="694"/>
      <c r="G32" s="694"/>
      <c r="H32" s="694"/>
      <c r="I32" s="694"/>
      <c r="J32" s="694"/>
      <c r="K32" s="694"/>
      <c r="L32" s="694"/>
      <c r="M32" s="694"/>
      <c r="N32" s="694"/>
      <c r="O32" s="694"/>
      <c r="P32" s="694"/>
      <c r="Q32" s="694"/>
      <c r="R32" s="694"/>
      <c r="S32" s="694"/>
      <c r="T32" s="694"/>
      <c r="U32" s="694"/>
      <c r="V32" s="694"/>
      <c r="W32" s="694"/>
      <c r="X32" s="694"/>
      <c r="Y32" s="694"/>
      <c r="Z32" s="694"/>
      <c r="AA32" s="694"/>
      <c r="AB32" s="694"/>
      <c r="AC32" s="694"/>
      <c r="AD32" s="507"/>
      <c r="AE32" s="699" t="s">
        <v>87</v>
      </c>
      <c r="AF32" s="699"/>
      <c r="AG32" s="702" t="s">
        <v>86</v>
      </c>
      <c r="AH32" s="702"/>
      <c r="AI32" s="702"/>
      <c r="AJ32" s="702"/>
      <c r="AK32" s="702"/>
      <c r="AL32" s="702"/>
      <c r="AM32" s="702"/>
      <c r="AN32" s="702"/>
      <c r="AO32" s="702"/>
      <c r="AP32" s="702"/>
      <c r="AQ32" s="702"/>
      <c r="AR32" s="702"/>
      <c r="AS32" s="702"/>
      <c r="AT32" s="702"/>
      <c r="AU32" s="702"/>
      <c r="AV32" s="702"/>
      <c r="AW32" s="702"/>
      <c r="AX32" s="702"/>
      <c r="AY32" s="702"/>
      <c r="AZ32" s="702"/>
      <c r="BA32" s="702"/>
      <c r="BB32" s="702"/>
      <c r="BC32" s="702"/>
      <c r="BD32" s="702"/>
      <c r="BE32" s="702"/>
      <c r="BF32" s="702"/>
      <c r="BG32" s="702"/>
    </row>
    <row r="33" spans="1:59" x14ac:dyDescent="0.2">
      <c r="AD33" s="507"/>
      <c r="AE33" s="699" t="s">
        <v>84</v>
      </c>
      <c r="AF33" s="699"/>
      <c r="AG33" s="694" t="s">
        <v>450</v>
      </c>
      <c r="AH33" s="694"/>
      <c r="AI33" s="694"/>
      <c r="AJ33" s="694"/>
      <c r="AK33" s="694"/>
      <c r="AL33" s="694"/>
      <c r="AM33" s="694"/>
      <c r="AN33" s="694"/>
      <c r="AO33" s="694"/>
      <c r="AP33" s="694"/>
      <c r="AQ33" s="694"/>
      <c r="AR33" s="694"/>
      <c r="AS33" s="694"/>
      <c r="AT33" s="694"/>
      <c r="AU33" s="694"/>
      <c r="AV33" s="694"/>
      <c r="AW33" s="694"/>
      <c r="AX33" s="694"/>
      <c r="AY33" s="694"/>
      <c r="AZ33" s="694"/>
      <c r="BA33" s="694"/>
      <c r="BB33" s="694"/>
      <c r="BC33" s="694"/>
      <c r="BD33" s="694"/>
      <c r="BE33" s="694"/>
      <c r="BF33" s="694"/>
      <c r="BG33" s="694"/>
    </row>
    <row r="34" spans="1:59" x14ac:dyDescent="0.2">
      <c r="A34" s="700" t="s">
        <v>76</v>
      </c>
      <c r="B34" s="700"/>
      <c r="C34" s="700"/>
      <c r="D34" s="700"/>
      <c r="E34" s="700"/>
      <c r="F34" s="700"/>
      <c r="G34" s="700"/>
      <c r="H34" s="700"/>
      <c r="I34" s="700"/>
      <c r="J34" s="700"/>
      <c r="K34" s="700"/>
      <c r="L34" s="700"/>
      <c r="M34" s="700"/>
      <c r="N34" s="700"/>
      <c r="O34" s="700"/>
      <c r="P34" s="700"/>
      <c r="Q34" s="700"/>
      <c r="R34" s="700"/>
      <c r="S34" s="700"/>
      <c r="T34" s="700"/>
      <c r="U34" s="700"/>
      <c r="V34" s="700"/>
      <c r="W34" s="700"/>
      <c r="X34" s="700"/>
      <c r="Y34" s="700"/>
      <c r="Z34" s="700"/>
      <c r="AA34" s="700"/>
      <c r="AB34" s="700"/>
      <c r="AC34" s="700"/>
      <c r="AD34" s="507"/>
      <c r="AE34" s="517"/>
      <c r="AF34" s="517"/>
      <c r="AG34" s="694"/>
      <c r="AH34" s="694"/>
      <c r="AI34" s="694"/>
      <c r="AJ34" s="694"/>
      <c r="AK34" s="694"/>
      <c r="AL34" s="694"/>
      <c r="AM34" s="694"/>
      <c r="AN34" s="694"/>
      <c r="AO34" s="694"/>
      <c r="AP34" s="694"/>
      <c r="AQ34" s="694"/>
      <c r="AR34" s="694"/>
      <c r="AS34" s="694"/>
      <c r="AT34" s="694"/>
      <c r="AU34" s="694"/>
      <c r="AV34" s="694"/>
      <c r="AW34" s="694"/>
      <c r="AX34" s="694"/>
      <c r="AY34" s="694"/>
      <c r="AZ34" s="694"/>
      <c r="BA34" s="694"/>
      <c r="BB34" s="694"/>
      <c r="BC34" s="694"/>
      <c r="BD34" s="694"/>
      <c r="BE34" s="694"/>
      <c r="BF34" s="694"/>
      <c r="BG34" s="694"/>
    </row>
    <row r="35" spans="1:59" x14ac:dyDescent="0.2">
      <c r="A35" s="695" t="s">
        <v>415</v>
      </c>
      <c r="B35" s="695"/>
      <c r="C35" s="695"/>
      <c r="D35" s="695"/>
      <c r="E35" s="695"/>
      <c r="F35" s="695"/>
      <c r="G35" s="695"/>
      <c r="H35" s="695"/>
      <c r="I35" s="695"/>
      <c r="J35" s="695"/>
      <c r="K35" s="695"/>
      <c r="L35" s="695"/>
      <c r="M35" s="695"/>
      <c r="N35" s="695"/>
      <c r="O35" s="695"/>
      <c r="P35" s="695"/>
      <c r="Q35" s="695"/>
      <c r="R35" s="695"/>
      <c r="S35" s="695"/>
      <c r="T35" s="695"/>
      <c r="U35" s="695"/>
      <c r="V35" s="695"/>
      <c r="W35" s="695"/>
      <c r="X35" s="695"/>
      <c r="Y35" s="695"/>
      <c r="Z35" s="695"/>
      <c r="AA35" s="695"/>
      <c r="AB35" s="695"/>
      <c r="AC35" s="695"/>
      <c r="AD35" s="507"/>
      <c r="AE35" s="699" t="s">
        <v>83</v>
      </c>
      <c r="AF35" s="699"/>
      <c r="AG35" s="694" t="s">
        <v>451</v>
      </c>
      <c r="AH35" s="694"/>
      <c r="AI35" s="694"/>
      <c r="AJ35" s="694"/>
      <c r="AK35" s="694"/>
      <c r="AL35" s="694"/>
      <c r="AM35" s="694"/>
      <c r="AN35" s="694"/>
      <c r="AO35" s="694"/>
      <c r="AP35" s="694"/>
      <c r="AQ35" s="694"/>
      <c r="AR35" s="694"/>
      <c r="AS35" s="694"/>
      <c r="AT35" s="694"/>
      <c r="AU35" s="694"/>
      <c r="AV35" s="694"/>
      <c r="AW35" s="694"/>
      <c r="AX35" s="694"/>
      <c r="AY35" s="694"/>
      <c r="AZ35" s="694"/>
      <c r="BA35" s="694"/>
      <c r="BB35" s="694"/>
      <c r="BC35" s="694"/>
      <c r="BD35" s="694"/>
      <c r="BE35" s="694"/>
      <c r="BF35" s="694"/>
      <c r="BG35" s="694"/>
    </row>
    <row r="36" spans="1:59" x14ac:dyDescent="0.2">
      <c r="A36" s="507"/>
      <c r="B36" s="507"/>
      <c r="C36" s="507"/>
      <c r="D36" s="507"/>
      <c r="E36" s="507"/>
      <c r="F36" s="507"/>
      <c r="G36" s="507"/>
      <c r="H36" s="507"/>
      <c r="I36" s="507"/>
      <c r="J36" s="507"/>
      <c r="K36" s="507"/>
      <c r="L36" s="507"/>
      <c r="M36" s="507"/>
      <c r="N36" s="507"/>
      <c r="O36" s="507"/>
      <c r="P36" s="507"/>
      <c r="Q36" s="507"/>
      <c r="R36" s="507"/>
      <c r="S36" s="507"/>
      <c r="T36" s="507"/>
      <c r="U36" s="507"/>
      <c r="V36" s="507"/>
      <c r="W36" s="507"/>
      <c r="X36" s="507"/>
      <c r="Y36" s="507"/>
      <c r="Z36" s="507"/>
      <c r="AA36" s="507"/>
      <c r="AB36" s="507"/>
      <c r="AC36" s="507"/>
      <c r="AD36" s="507"/>
      <c r="AE36" s="517"/>
      <c r="AF36" s="517"/>
      <c r="AG36" s="694"/>
      <c r="AH36" s="694"/>
      <c r="AI36" s="694"/>
      <c r="AJ36" s="694"/>
      <c r="AK36" s="694"/>
      <c r="AL36" s="694"/>
      <c r="AM36" s="694"/>
      <c r="AN36" s="694"/>
      <c r="AO36" s="694"/>
      <c r="AP36" s="694"/>
      <c r="AQ36" s="694"/>
      <c r="AR36" s="694"/>
      <c r="AS36" s="694"/>
      <c r="AT36" s="694"/>
      <c r="AU36" s="694"/>
      <c r="AV36" s="694"/>
      <c r="AW36" s="694"/>
      <c r="AX36" s="694"/>
      <c r="AY36" s="694"/>
      <c r="AZ36" s="694"/>
      <c r="BA36" s="694"/>
      <c r="BB36" s="694"/>
      <c r="BC36" s="694"/>
      <c r="BD36" s="694"/>
      <c r="BE36" s="694"/>
      <c r="BF36" s="694"/>
      <c r="BG36" s="694"/>
    </row>
    <row r="37" spans="1:59" x14ac:dyDescent="0.2">
      <c r="A37" s="511" t="s">
        <v>73</v>
      </c>
      <c r="B37" s="694" t="str">
        <f>"Kreditin və kreditdən istifadəyə görə faizlərin ödənilməsi bu müqaviləyə əlavə olunmuş  və müqav"&amp;"ilənin ayrılmaz tərkib hissəsi olan ödəniş cədvəlinə (Əlavə № 1) müvafiq həyata keçirilir."</f>
        <v>Kreditin və kreditdən istifadəyə görə faizlərin ödənilməsi bu müqaviləyə əlavə olunmuş  və müqavilənin ayrılmaz tərkib hissəsi olan ödəniş cədvəlinə (Əlavə № 1) müvafiq həyata keçirilir.</v>
      </c>
      <c r="C37" s="694"/>
      <c r="D37" s="694"/>
      <c r="E37" s="694"/>
      <c r="F37" s="694"/>
      <c r="G37" s="694"/>
      <c r="H37" s="694"/>
      <c r="I37" s="694"/>
      <c r="J37" s="694"/>
      <c r="K37" s="694"/>
      <c r="L37" s="694"/>
      <c r="M37" s="694"/>
      <c r="N37" s="694"/>
      <c r="O37" s="694"/>
      <c r="P37" s="694"/>
      <c r="Q37" s="694"/>
      <c r="R37" s="694"/>
      <c r="S37" s="694"/>
      <c r="T37" s="694"/>
      <c r="U37" s="694"/>
      <c r="V37" s="694"/>
      <c r="W37" s="694"/>
      <c r="X37" s="694"/>
      <c r="Y37" s="694"/>
      <c r="Z37" s="694"/>
      <c r="AA37" s="694"/>
      <c r="AB37" s="694"/>
      <c r="AC37" s="694"/>
      <c r="AD37" s="507"/>
      <c r="AE37" s="518" t="s">
        <v>82</v>
      </c>
      <c r="AF37" s="704" t="s">
        <v>444</v>
      </c>
      <c r="AG37" s="704"/>
      <c r="AH37" s="704"/>
      <c r="AI37" s="704"/>
      <c r="AJ37" s="704"/>
      <c r="AK37" s="704"/>
      <c r="AL37" s="704"/>
      <c r="AM37" s="704"/>
      <c r="AN37" s="704"/>
      <c r="AO37" s="704"/>
      <c r="AP37" s="704"/>
      <c r="AQ37" s="704"/>
      <c r="AR37" s="704"/>
      <c r="AS37" s="704"/>
      <c r="AT37" s="704"/>
      <c r="AU37" s="704"/>
      <c r="AV37" s="704"/>
      <c r="AW37" s="704"/>
      <c r="AX37" s="704"/>
      <c r="AY37" s="704"/>
      <c r="AZ37" s="704"/>
      <c r="BA37" s="704"/>
      <c r="BB37" s="704"/>
      <c r="BC37" s="704"/>
      <c r="BD37" s="704"/>
      <c r="BE37" s="704"/>
      <c r="BF37" s="704"/>
      <c r="BG37" s="704"/>
    </row>
    <row r="38" spans="1:59" x14ac:dyDescent="0.2">
      <c r="A38" s="511"/>
      <c r="B38" s="694"/>
      <c r="C38" s="694"/>
      <c r="D38" s="694"/>
      <c r="E38" s="694"/>
      <c r="F38" s="694"/>
      <c r="G38" s="694"/>
      <c r="H38" s="694"/>
      <c r="I38" s="694"/>
      <c r="J38" s="694"/>
      <c r="K38" s="694"/>
      <c r="L38" s="694"/>
      <c r="M38" s="694"/>
      <c r="N38" s="694"/>
      <c r="O38" s="694"/>
      <c r="P38" s="694"/>
      <c r="Q38" s="694"/>
      <c r="R38" s="694"/>
      <c r="S38" s="694"/>
      <c r="T38" s="694"/>
      <c r="U38" s="694"/>
      <c r="V38" s="694"/>
      <c r="W38" s="694"/>
      <c r="X38" s="694"/>
      <c r="Y38" s="694"/>
      <c r="Z38" s="694"/>
      <c r="AA38" s="694"/>
      <c r="AB38" s="694"/>
      <c r="AC38" s="694"/>
      <c r="AD38" s="507"/>
      <c r="AE38" s="701" t="s">
        <v>80</v>
      </c>
      <c r="AF38" s="701"/>
      <c r="AG38" s="694" t="s">
        <v>940</v>
      </c>
      <c r="AH38" s="694"/>
      <c r="AI38" s="694"/>
      <c r="AJ38" s="694"/>
      <c r="AK38" s="694"/>
      <c r="AL38" s="694"/>
      <c r="AM38" s="694"/>
      <c r="AN38" s="694"/>
      <c r="AO38" s="694"/>
      <c r="AP38" s="694"/>
      <c r="AQ38" s="694"/>
      <c r="AR38" s="694"/>
      <c r="AS38" s="694"/>
      <c r="AT38" s="694"/>
      <c r="AU38" s="694"/>
      <c r="AV38" s="694"/>
      <c r="AW38" s="694"/>
      <c r="AX38" s="694"/>
      <c r="AY38" s="694"/>
      <c r="AZ38" s="694"/>
      <c r="BA38" s="694"/>
      <c r="BB38" s="694"/>
      <c r="BC38" s="694"/>
      <c r="BD38" s="694"/>
      <c r="BE38" s="694"/>
      <c r="BF38" s="694"/>
      <c r="BG38" s="694"/>
    </row>
    <row r="39" spans="1:59" x14ac:dyDescent="0.2">
      <c r="A39" s="511"/>
      <c r="B39" s="694"/>
      <c r="C39" s="694"/>
      <c r="D39" s="694"/>
      <c r="E39" s="694"/>
      <c r="F39" s="694"/>
      <c r="G39" s="694"/>
      <c r="H39" s="694"/>
      <c r="I39" s="694"/>
      <c r="J39" s="694"/>
      <c r="K39" s="694"/>
      <c r="L39" s="694"/>
      <c r="M39" s="694"/>
      <c r="N39" s="694"/>
      <c r="O39" s="694"/>
      <c r="P39" s="694"/>
      <c r="Q39" s="694"/>
      <c r="R39" s="694"/>
      <c r="S39" s="694"/>
      <c r="T39" s="694"/>
      <c r="U39" s="694"/>
      <c r="V39" s="694"/>
      <c r="W39" s="694"/>
      <c r="X39" s="694"/>
      <c r="Y39" s="694"/>
      <c r="Z39" s="694"/>
      <c r="AA39" s="694"/>
      <c r="AB39" s="694"/>
      <c r="AC39" s="694"/>
      <c r="AD39" s="507"/>
      <c r="AE39" s="518"/>
      <c r="AF39" s="518"/>
      <c r="AG39" s="694"/>
      <c r="AH39" s="694"/>
      <c r="AI39" s="694"/>
      <c r="AJ39" s="694"/>
      <c r="AK39" s="694"/>
      <c r="AL39" s="694"/>
      <c r="AM39" s="694"/>
      <c r="AN39" s="694"/>
      <c r="AO39" s="694"/>
      <c r="AP39" s="694"/>
      <c r="AQ39" s="694"/>
      <c r="AR39" s="694"/>
      <c r="AS39" s="694"/>
      <c r="AT39" s="694"/>
      <c r="AU39" s="694"/>
      <c r="AV39" s="694"/>
      <c r="AW39" s="694"/>
      <c r="AX39" s="694"/>
      <c r="AY39" s="694"/>
      <c r="AZ39" s="694"/>
      <c r="BA39" s="694"/>
      <c r="BB39" s="694"/>
      <c r="BC39" s="694"/>
      <c r="BD39" s="694"/>
      <c r="BE39" s="694"/>
      <c r="BF39" s="694"/>
      <c r="BG39" s="694"/>
    </row>
    <row r="40" spans="1:59" x14ac:dyDescent="0.2">
      <c r="A40" s="511" t="s">
        <v>70</v>
      </c>
      <c r="B40" s="694" t="str">
        <f>"Bu müqaviləyə görə «Borc alan»ın aparmalı olduğu ödənişlər manatda həyata keçirilir. Kreditdən istifadəyə görə faizlər kreditin verildiyi gündən onun tam qaytarıldığı günə qədər hesablanır. Bu zaman əsas kimi ayda 30 gün və ildə "&amp;"360 gün götürülür."</f>
        <v>Bu müqaviləyə görə «Borc alan»ın aparmalı olduğu ödənişlər manatda həyata keçirilir. Kreditdən istifadəyə görə faizlər kreditin verildiyi gündən onun tam qaytarıldığı günə qədər hesablanır. Bu zaman əsas kimi ayda 30 gün və ildə 360 gün götürülür.</v>
      </c>
      <c r="C40" s="694"/>
      <c r="D40" s="694"/>
      <c r="E40" s="694"/>
      <c r="F40" s="694"/>
      <c r="G40" s="694"/>
      <c r="H40" s="694"/>
      <c r="I40" s="694"/>
      <c r="J40" s="694"/>
      <c r="K40" s="694"/>
      <c r="L40" s="694"/>
      <c r="M40" s="694"/>
      <c r="N40" s="694"/>
      <c r="O40" s="694"/>
      <c r="P40" s="694"/>
      <c r="Q40" s="694"/>
      <c r="R40" s="694"/>
      <c r="S40" s="694"/>
      <c r="T40" s="694"/>
      <c r="U40" s="694"/>
      <c r="V40" s="694"/>
      <c r="W40" s="694"/>
      <c r="X40" s="694"/>
      <c r="Y40" s="694"/>
      <c r="Z40" s="694"/>
      <c r="AA40" s="694"/>
      <c r="AB40" s="694"/>
      <c r="AC40" s="694"/>
      <c r="AD40" s="507"/>
      <c r="AE40" s="701" t="s">
        <v>78</v>
      </c>
      <c r="AF40" s="701"/>
      <c r="AG40" s="694" t="s">
        <v>77</v>
      </c>
      <c r="AH40" s="694"/>
      <c r="AI40" s="694"/>
      <c r="AJ40" s="694"/>
      <c r="AK40" s="694"/>
      <c r="AL40" s="694"/>
      <c r="AM40" s="694"/>
      <c r="AN40" s="694"/>
      <c r="AO40" s="694"/>
      <c r="AP40" s="694"/>
      <c r="AQ40" s="694"/>
      <c r="AR40" s="694"/>
      <c r="AS40" s="694"/>
      <c r="AT40" s="694"/>
      <c r="AU40" s="694"/>
      <c r="AV40" s="694"/>
      <c r="AW40" s="694"/>
      <c r="AX40" s="694"/>
      <c r="AY40" s="694"/>
      <c r="AZ40" s="694"/>
      <c r="BA40" s="694"/>
      <c r="BB40" s="694"/>
      <c r="BC40" s="694"/>
      <c r="BD40" s="694"/>
      <c r="BE40" s="694"/>
      <c r="BF40" s="694"/>
      <c r="BG40" s="694"/>
    </row>
    <row r="41" spans="1:59" x14ac:dyDescent="0.2">
      <c r="B41" s="694"/>
      <c r="C41" s="694"/>
      <c r="D41" s="694"/>
      <c r="E41" s="694"/>
      <c r="F41" s="694"/>
      <c r="G41" s="694"/>
      <c r="H41" s="694"/>
      <c r="I41" s="694"/>
      <c r="J41" s="694"/>
      <c r="K41" s="694"/>
      <c r="L41" s="694"/>
      <c r="M41" s="694"/>
      <c r="N41" s="694"/>
      <c r="O41" s="694"/>
      <c r="P41" s="694"/>
      <c r="Q41" s="694"/>
      <c r="R41" s="694"/>
      <c r="S41" s="694"/>
      <c r="T41" s="694"/>
      <c r="U41" s="694"/>
      <c r="V41" s="694"/>
      <c r="W41" s="694"/>
      <c r="X41" s="694"/>
      <c r="Y41" s="694"/>
      <c r="Z41" s="694"/>
      <c r="AA41" s="694"/>
      <c r="AB41" s="694"/>
      <c r="AC41" s="694"/>
      <c r="AD41" s="507"/>
      <c r="AE41" s="517"/>
      <c r="AF41" s="517"/>
      <c r="AG41" s="694"/>
      <c r="AH41" s="694"/>
      <c r="AI41" s="694"/>
      <c r="AJ41" s="694"/>
      <c r="AK41" s="694"/>
      <c r="AL41" s="694"/>
      <c r="AM41" s="694"/>
      <c r="AN41" s="694"/>
      <c r="AO41" s="694"/>
      <c r="AP41" s="694"/>
      <c r="AQ41" s="694"/>
      <c r="AR41" s="694"/>
      <c r="AS41" s="694"/>
      <c r="AT41" s="694"/>
      <c r="AU41" s="694"/>
      <c r="AV41" s="694"/>
      <c r="AW41" s="694"/>
      <c r="AX41" s="694"/>
      <c r="AY41" s="694"/>
      <c r="AZ41" s="694"/>
      <c r="BA41" s="694"/>
      <c r="BB41" s="694"/>
      <c r="BC41" s="694"/>
      <c r="BD41" s="694"/>
      <c r="BE41" s="694"/>
      <c r="BF41" s="694"/>
      <c r="BG41" s="694"/>
    </row>
    <row r="42" spans="1:59" x14ac:dyDescent="0.2">
      <c r="B42" s="694"/>
      <c r="C42" s="694"/>
      <c r="D42" s="694"/>
      <c r="E42" s="694"/>
      <c r="F42" s="694"/>
      <c r="G42" s="694"/>
      <c r="H42" s="694"/>
      <c r="I42" s="694"/>
      <c r="J42" s="694"/>
      <c r="K42" s="694"/>
      <c r="L42" s="694"/>
      <c r="M42" s="694"/>
      <c r="N42" s="694"/>
      <c r="O42" s="694"/>
      <c r="P42" s="694"/>
      <c r="Q42" s="694"/>
      <c r="R42" s="694"/>
      <c r="S42" s="694"/>
      <c r="T42" s="694"/>
      <c r="U42" s="694"/>
      <c r="V42" s="694"/>
      <c r="W42" s="694"/>
      <c r="X42" s="694"/>
      <c r="Y42" s="694"/>
      <c r="Z42" s="694"/>
      <c r="AA42" s="694"/>
      <c r="AB42" s="694"/>
      <c r="AC42" s="694"/>
      <c r="AD42" s="507"/>
      <c r="AE42" s="517"/>
      <c r="AF42" s="517"/>
      <c r="AG42" s="694"/>
      <c r="AH42" s="694"/>
      <c r="AI42" s="694"/>
      <c r="AJ42" s="694"/>
      <c r="AK42" s="694"/>
      <c r="AL42" s="694"/>
      <c r="AM42" s="694"/>
      <c r="AN42" s="694"/>
      <c r="AO42" s="694"/>
      <c r="AP42" s="694"/>
      <c r="AQ42" s="694"/>
      <c r="AR42" s="694"/>
      <c r="AS42" s="694"/>
      <c r="AT42" s="694"/>
      <c r="AU42" s="694"/>
      <c r="AV42" s="694"/>
      <c r="AW42" s="694"/>
      <c r="AX42" s="694"/>
      <c r="AY42" s="694"/>
      <c r="AZ42" s="694"/>
      <c r="BA42" s="694"/>
      <c r="BB42" s="694"/>
      <c r="BC42" s="694"/>
      <c r="BD42" s="694"/>
      <c r="BE42" s="694"/>
      <c r="BF42" s="694"/>
      <c r="BG42" s="694"/>
    </row>
    <row r="43" spans="1:59" x14ac:dyDescent="0.2">
      <c r="B43" s="694"/>
      <c r="C43" s="694"/>
      <c r="D43" s="694"/>
      <c r="E43" s="694"/>
      <c r="F43" s="694"/>
      <c r="G43" s="694"/>
      <c r="H43" s="694"/>
      <c r="I43" s="694"/>
      <c r="J43" s="694"/>
      <c r="K43" s="694"/>
      <c r="L43" s="694"/>
      <c r="M43" s="694"/>
      <c r="N43" s="694"/>
      <c r="O43" s="694"/>
      <c r="P43" s="694"/>
      <c r="Q43" s="694"/>
      <c r="R43" s="694"/>
      <c r="S43" s="694"/>
      <c r="T43" s="694"/>
      <c r="U43" s="694"/>
      <c r="V43" s="694"/>
      <c r="W43" s="694"/>
      <c r="X43" s="694"/>
      <c r="Y43" s="694"/>
      <c r="Z43" s="694"/>
      <c r="AA43" s="694"/>
      <c r="AB43" s="694"/>
      <c r="AC43" s="694"/>
      <c r="AD43" s="507"/>
      <c r="AE43" s="701" t="s">
        <v>75</v>
      </c>
      <c r="AF43" s="701"/>
      <c r="AG43" s="694" t="s">
        <v>74</v>
      </c>
      <c r="AH43" s="694"/>
      <c r="AI43" s="694"/>
      <c r="AJ43" s="694"/>
      <c r="AK43" s="694"/>
      <c r="AL43" s="694"/>
      <c r="AM43" s="694"/>
      <c r="AN43" s="694"/>
      <c r="AO43" s="694"/>
      <c r="AP43" s="694"/>
      <c r="AQ43" s="694"/>
      <c r="AR43" s="694"/>
      <c r="AS43" s="694"/>
      <c r="AT43" s="694"/>
      <c r="AU43" s="694"/>
      <c r="AV43" s="694"/>
      <c r="AW43" s="694"/>
      <c r="AX43" s="694"/>
      <c r="AY43" s="694"/>
      <c r="AZ43" s="694"/>
      <c r="BA43" s="694"/>
      <c r="BB43" s="694"/>
      <c r="BC43" s="694"/>
      <c r="BD43" s="694"/>
      <c r="BE43" s="694"/>
      <c r="BF43" s="694"/>
      <c r="BG43" s="694"/>
    </row>
    <row r="44" spans="1:59" x14ac:dyDescent="0.2">
      <c r="A44" s="511" t="s">
        <v>68</v>
      </c>
      <c r="B44" s="694" t="s">
        <v>499</v>
      </c>
      <c r="C44" s="694"/>
      <c r="D44" s="694"/>
      <c r="E44" s="694"/>
      <c r="F44" s="694"/>
      <c r="G44" s="694"/>
      <c r="H44" s="694"/>
      <c r="I44" s="694"/>
      <c r="J44" s="694"/>
      <c r="K44" s="694"/>
      <c r="L44" s="694"/>
      <c r="M44" s="694"/>
      <c r="N44" s="694"/>
      <c r="O44" s="694"/>
      <c r="P44" s="694"/>
      <c r="Q44" s="694"/>
      <c r="R44" s="694"/>
      <c r="S44" s="694"/>
      <c r="T44" s="694"/>
      <c r="U44" s="694"/>
      <c r="V44" s="694"/>
      <c r="W44" s="694"/>
      <c r="X44" s="694"/>
      <c r="Y44" s="694"/>
      <c r="Z44" s="694"/>
      <c r="AA44" s="694"/>
      <c r="AB44" s="694"/>
      <c r="AC44" s="694"/>
      <c r="AD44" s="507"/>
      <c r="AE44" s="517"/>
      <c r="AF44" s="517"/>
      <c r="AG44" s="694"/>
      <c r="AH44" s="694"/>
      <c r="AI44" s="694"/>
      <c r="AJ44" s="694"/>
      <c r="AK44" s="694"/>
      <c r="AL44" s="694"/>
      <c r="AM44" s="694"/>
      <c r="AN44" s="694"/>
      <c r="AO44" s="694"/>
      <c r="AP44" s="694"/>
      <c r="AQ44" s="694"/>
      <c r="AR44" s="694"/>
      <c r="AS44" s="694"/>
      <c r="AT44" s="694"/>
      <c r="AU44" s="694"/>
      <c r="AV44" s="694"/>
      <c r="AW44" s="694"/>
      <c r="AX44" s="694"/>
      <c r="AY44" s="694"/>
      <c r="AZ44" s="694"/>
      <c r="BA44" s="694"/>
      <c r="BB44" s="694"/>
      <c r="BC44" s="694"/>
      <c r="BD44" s="694"/>
      <c r="BE44" s="694"/>
      <c r="BF44" s="694"/>
      <c r="BG44" s="694"/>
    </row>
    <row r="45" spans="1:59" x14ac:dyDescent="0.2">
      <c r="B45" s="694"/>
      <c r="C45" s="694"/>
      <c r="D45" s="694"/>
      <c r="E45" s="694"/>
      <c r="F45" s="694"/>
      <c r="G45" s="694"/>
      <c r="H45" s="694"/>
      <c r="I45" s="694"/>
      <c r="J45" s="694"/>
      <c r="K45" s="694"/>
      <c r="L45" s="694"/>
      <c r="M45" s="694"/>
      <c r="N45" s="694"/>
      <c r="O45" s="694"/>
      <c r="P45" s="694"/>
      <c r="Q45" s="694"/>
      <c r="R45" s="694"/>
      <c r="S45" s="694"/>
      <c r="T45" s="694"/>
      <c r="U45" s="694"/>
      <c r="V45" s="694"/>
      <c r="W45" s="694"/>
      <c r="X45" s="694"/>
      <c r="Y45" s="694"/>
      <c r="Z45" s="694"/>
      <c r="AA45" s="694"/>
      <c r="AB45" s="694"/>
      <c r="AC45" s="694"/>
      <c r="AD45" s="507"/>
      <c r="AE45" s="701" t="s">
        <v>72</v>
      </c>
      <c r="AF45" s="701"/>
      <c r="AG45" s="702" t="s">
        <v>452</v>
      </c>
      <c r="AH45" s="702"/>
      <c r="AI45" s="702"/>
      <c r="AJ45" s="702"/>
      <c r="AK45" s="702"/>
      <c r="AL45" s="702"/>
      <c r="AM45" s="702"/>
      <c r="AN45" s="702"/>
      <c r="AO45" s="702"/>
      <c r="AP45" s="702"/>
      <c r="AQ45" s="702"/>
      <c r="AR45" s="702"/>
      <c r="AS45" s="702"/>
      <c r="AT45" s="702"/>
      <c r="AU45" s="702"/>
      <c r="AV45" s="702"/>
      <c r="AW45" s="702"/>
      <c r="AX45" s="702"/>
      <c r="AY45" s="702"/>
      <c r="AZ45" s="702"/>
      <c r="BA45" s="702"/>
      <c r="BB45" s="702"/>
      <c r="BC45" s="702"/>
      <c r="BD45" s="702"/>
      <c r="BE45" s="702"/>
      <c r="BF45" s="702"/>
      <c r="BG45" s="702"/>
    </row>
    <row r="46" spans="1:59" x14ac:dyDescent="0.2">
      <c r="A46" s="512"/>
      <c r="B46" s="69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507"/>
      <c r="AE46" s="701" t="s">
        <v>71</v>
      </c>
      <c r="AF46" s="701"/>
      <c r="AG46" s="694" t="str">
        <f>"«Borc alan»ın öz kredit borcları haqqında məlumatların alınması və onun haqqında toplanan məlumatlarda qeyri-dəqiqliyinin aradan qaldırılması üçün yazılı formada Mərkəzləşdirilmiş Kredit Reyestrinə  müraciət etmək hüququ var;"</f>
        <v>«Borc alan»ın öz kredit borcları haqqında məlumatların alınması və onun haqqında toplanan məlumatlarda qeyri-dəqiqliyinin aradan qaldırılması üçün yazılı formada Mərkəzləşdirilmiş Kredit Reyestrinə  müraciət etmək hüququ var;</v>
      </c>
      <c r="AH46" s="694"/>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row>
    <row r="47" spans="1:59" x14ac:dyDescent="0.2">
      <c r="A47" s="511" t="s">
        <v>67</v>
      </c>
      <c r="B47" s="694" t="s">
        <v>862</v>
      </c>
      <c r="C47" s="694"/>
      <c r="D47" s="694"/>
      <c r="E47" s="694"/>
      <c r="F47" s="694"/>
      <c r="G47" s="694"/>
      <c r="H47" s="694"/>
      <c r="I47" s="694"/>
      <c r="J47" s="694"/>
      <c r="K47" s="694"/>
      <c r="L47" s="694"/>
      <c r="M47" s="694"/>
      <c r="N47" s="694"/>
      <c r="O47" s="694"/>
      <c r="P47" s="694"/>
      <c r="Q47" s="694"/>
      <c r="R47" s="694"/>
      <c r="S47" s="694"/>
      <c r="T47" s="694"/>
      <c r="U47" s="694"/>
      <c r="V47" s="694"/>
      <c r="W47" s="694"/>
      <c r="X47" s="694"/>
      <c r="Y47" s="694"/>
      <c r="Z47" s="694"/>
      <c r="AA47" s="694"/>
      <c r="AB47" s="694"/>
      <c r="AC47" s="694"/>
      <c r="AD47" s="507"/>
      <c r="AE47" s="517"/>
      <c r="AF47" s="517"/>
      <c r="AG47" s="694"/>
      <c r="AH47" s="694"/>
      <c r="AI47" s="694"/>
      <c r="AJ47" s="694"/>
      <c r="AK47" s="694"/>
      <c r="AL47" s="694"/>
      <c r="AM47" s="694"/>
      <c r="AN47" s="694"/>
      <c r="AO47" s="694"/>
      <c r="AP47" s="694"/>
      <c r="AQ47" s="694"/>
      <c r="AR47" s="694"/>
      <c r="AS47" s="694"/>
      <c r="AT47" s="694"/>
      <c r="AU47" s="694"/>
      <c r="AV47" s="694"/>
      <c r="AW47" s="694"/>
      <c r="AX47" s="694"/>
      <c r="AY47" s="694"/>
      <c r="AZ47" s="694"/>
      <c r="BA47" s="694"/>
      <c r="BB47" s="694"/>
      <c r="BC47" s="694"/>
      <c r="BD47" s="694"/>
      <c r="BE47" s="694"/>
      <c r="BF47" s="694"/>
      <c r="BG47" s="694"/>
    </row>
    <row r="48" spans="1:59" x14ac:dyDescent="0.2">
      <c r="A48" s="512"/>
      <c r="B48" s="694"/>
      <c r="C48" s="694"/>
      <c r="D48" s="694"/>
      <c r="E48" s="694"/>
      <c r="F48" s="694"/>
      <c r="G48" s="694"/>
      <c r="H48" s="694"/>
      <c r="I48" s="694"/>
      <c r="J48" s="694"/>
      <c r="K48" s="694"/>
      <c r="L48" s="694"/>
      <c r="M48" s="694"/>
      <c r="N48" s="694"/>
      <c r="O48" s="694"/>
      <c r="P48" s="694"/>
      <c r="Q48" s="694"/>
      <c r="R48" s="694"/>
      <c r="S48" s="694"/>
      <c r="T48" s="694"/>
      <c r="U48" s="694"/>
      <c r="V48" s="694"/>
      <c r="W48" s="694"/>
      <c r="X48" s="694"/>
      <c r="Y48" s="694"/>
      <c r="Z48" s="694"/>
      <c r="AA48" s="694"/>
      <c r="AB48" s="694"/>
      <c r="AC48" s="694"/>
      <c r="AD48" s="507"/>
      <c r="AE48" s="517"/>
      <c r="AF48" s="517"/>
      <c r="AG48" s="694"/>
      <c r="AH48" s="694"/>
      <c r="AI48" s="694"/>
      <c r="AJ48" s="694"/>
      <c r="AK48" s="694"/>
      <c r="AL48" s="694"/>
      <c r="AM48" s="694"/>
      <c r="AN48" s="694"/>
      <c r="AO48" s="694"/>
      <c r="AP48" s="694"/>
      <c r="AQ48" s="694"/>
      <c r="AR48" s="694"/>
      <c r="AS48" s="694"/>
      <c r="AT48" s="694"/>
      <c r="AU48" s="694"/>
      <c r="AV48" s="694"/>
      <c r="AW48" s="694"/>
      <c r="AX48" s="694"/>
      <c r="AY48" s="694"/>
      <c r="AZ48" s="694"/>
      <c r="BA48" s="694"/>
      <c r="BB48" s="694"/>
      <c r="BC48" s="694"/>
      <c r="BD48" s="694"/>
      <c r="BE48" s="694"/>
      <c r="BF48" s="694"/>
      <c r="BG48" s="694"/>
    </row>
    <row r="49" spans="1:59" x14ac:dyDescent="0.2">
      <c r="A49" s="512"/>
      <c r="B49" s="694"/>
      <c r="C49" s="694"/>
      <c r="D49" s="694"/>
      <c r="E49" s="694"/>
      <c r="F49" s="694"/>
      <c r="G49" s="694"/>
      <c r="H49" s="694"/>
      <c r="I49" s="694"/>
      <c r="J49" s="694"/>
      <c r="K49" s="694"/>
      <c r="L49" s="694"/>
      <c r="M49" s="694"/>
      <c r="N49" s="694"/>
      <c r="O49" s="694"/>
      <c r="P49" s="694"/>
      <c r="Q49" s="694"/>
      <c r="R49" s="694"/>
      <c r="S49" s="694"/>
      <c r="T49" s="694"/>
      <c r="U49" s="694"/>
      <c r="V49" s="694"/>
      <c r="W49" s="694"/>
      <c r="X49" s="694"/>
      <c r="Y49" s="694"/>
      <c r="Z49" s="694"/>
      <c r="AA49" s="694"/>
      <c r="AB49" s="694"/>
      <c r="AC49" s="694"/>
      <c r="AD49" s="507"/>
      <c r="AE49" s="517"/>
      <c r="AF49" s="517"/>
      <c r="AG49" s="694"/>
      <c r="AH49" s="694"/>
      <c r="AI49" s="694"/>
      <c r="AJ49" s="694"/>
      <c r="AK49" s="694"/>
      <c r="AL49" s="694"/>
      <c r="AM49" s="694"/>
      <c r="AN49" s="694"/>
      <c r="AO49" s="694"/>
      <c r="AP49" s="694"/>
      <c r="AQ49" s="694"/>
      <c r="AR49" s="694"/>
      <c r="AS49" s="694"/>
      <c r="AT49" s="694"/>
      <c r="AU49" s="694"/>
      <c r="AV49" s="694"/>
      <c r="AW49" s="694"/>
      <c r="AX49" s="694"/>
      <c r="AY49" s="694"/>
      <c r="AZ49" s="694"/>
      <c r="BA49" s="694"/>
      <c r="BB49" s="694"/>
      <c r="BC49" s="694"/>
      <c r="BD49" s="694"/>
      <c r="BE49" s="694"/>
      <c r="BF49" s="694"/>
      <c r="BG49" s="694"/>
    </row>
    <row r="50" spans="1:59" x14ac:dyDescent="0.2">
      <c r="B50" s="694"/>
      <c r="C50" s="694"/>
      <c r="D50" s="694"/>
      <c r="E50" s="694"/>
      <c r="F50" s="694"/>
      <c r="G50" s="694"/>
      <c r="H50" s="694"/>
      <c r="I50" s="694"/>
      <c r="J50" s="694"/>
      <c r="K50" s="694"/>
      <c r="L50" s="694"/>
      <c r="M50" s="694"/>
      <c r="N50" s="694"/>
      <c r="O50" s="694"/>
      <c r="P50" s="694"/>
      <c r="Q50" s="694"/>
      <c r="R50" s="694"/>
      <c r="S50" s="694"/>
      <c r="T50" s="694"/>
      <c r="U50" s="694"/>
      <c r="V50" s="694"/>
      <c r="W50" s="694"/>
      <c r="X50" s="694"/>
      <c r="Y50" s="694"/>
      <c r="Z50" s="694"/>
      <c r="AA50" s="694"/>
      <c r="AB50" s="694"/>
      <c r="AC50" s="694"/>
      <c r="AD50" s="507"/>
      <c r="AE50" s="701" t="s">
        <v>69</v>
      </c>
      <c r="AF50" s="701"/>
      <c r="AG50" s="706" t="str">
        <f>"Hüquqlarının pozulduğunu  düşündükdə və ya hər hansı məsələ ilə bağlı şikayəti   və ya təklifi olduqda,  «Borc alan» iş günləri (saat 09:00-dan 18:00-dək) ərzində həm birbaşa olaraq kredit  götürdüyü filialın menecerinə,   həm də təşkilatın qaynar xətti –"&amp;" (+994 50) 287 30 37,  şəhərdaxili  telefon nömrəsi– (+994 12) 597 48 17 (daxili 303),  faks– (+994 12) 597 30 39,  elektron poçt ün"&amp;"vanı– muraciet@azercredit.az, internet səhifəsindəki «Müraciət»  bölməsi və ya ofislərdə qoyulan Şikayət və Təklif Qutuları vasitəsilə və yaxud da birbaşa  olaraq təşkilatın Baş Ofisinə (ünvan: Bakı  şəh., AZ1009, S. Rəhimov/ S.Vurğun küçələrin kəsişm"&amp;"əsi, World Business Center, 3-cü mərtəbə) gəlməklə  Müştəri xidmətləri üzrə məsul şəxsə  müraciət edə bilər. "</f>
        <v xml:space="preserve">Hüquqlarının pozulduğunu  düşündükdə və ya hər hansı məsələ ilə bağlı şikayəti   və ya təklifi olduqda,  «Borc alan» iş günləri (saat 09:00-dan 18:00-dək) ərzində həm birbaşa olaraq kredit  götürdüyü filialın menecerinə,   həm də təşkilatın qaynar xətti – (+994 50) 287 30 37,  şəhərdaxili  telefon nömrəsi– (+994 12) 597 48 17 (daxili 303),  faks– (+994 12) 597 30 39,  elektron poçt ünvanı– muraciet@azercredit.az, internet səhifəsindəki «Müraciət»  bölməsi və ya ofislərdə qoyulan Şikayət və Təklif Qutuları vasitəsilə və yaxud da birbaşa  olaraq təşkilatın Baş Ofisinə (ünvan: Bakı  şəh., AZ1009, S. Rəhimov/ S.Vurğun küçələrin kəsişməsi, World Business Center, 3-cü mərtəbə) gəlməklə  Müştəri xidmətləri üzrə məsul şəxsə  müraciət edə bilər. </v>
      </c>
      <c r="AH50" s="706"/>
      <c r="AI50" s="706"/>
      <c r="AJ50" s="706"/>
      <c r="AK50" s="706"/>
      <c r="AL50" s="706"/>
      <c r="AM50" s="706"/>
      <c r="AN50" s="706"/>
      <c r="AO50" s="706"/>
      <c r="AP50" s="706"/>
      <c r="AQ50" s="706"/>
      <c r="AR50" s="706"/>
      <c r="AS50" s="706"/>
      <c r="AT50" s="706"/>
      <c r="AU50" s="706"/>
      <c r="AV50" s="706"/>
      <c r="AW50" s="706"/>
      <c r="AX50" s="706"/>
      <c r="AY50" s="706"/>
      <c r="AZ50" s="706"/>
      <c r="BA50" s="706"/>
      <c r="BB50" s="706"/>
      <c r="BC50" s="706"/>
      <c r="BD50" s="706"/>
      <c r="BE50" s="706"/>
      <c r="BF50" s="706"/>
      <c r="BG50" s="706"/>
    </row>
    <row r="51" spans="1:59" x14ac:dyDescent="0.2">
      <c r="A51" s="511" t="s">
        <v>66</v>
      </c>
      <c r="B51" s="694" t="str">
        <f>"«Borc alan» kredit və kreditdən istifadəyə görə faizlərin ödənişini bu müqavilənin ayrılmaz tərkib hissəsi olan ödəniş cədvəlinə müvafiq həyata keçrirərsə son "&amp;IF(AND(MONTH_KREDIT&gt;=18,MONTH_KREDIT&lt;=36),"8 (səkkiz)",IF(AND(MONTH_KREDIT&gt;=37,MONTH_KREDIT&lt;=48),"10 (on)","0 (sıfır)"))&amp;" ayın faizləri ona güzəşt ediləcəkdir."</f>
        <v>«Borc alan» kredit və kreditdən istifadəyə görə faizlərin ödənişini bu müqavilənin ayrılmaz tərkib hissəsi olan ödəniş cədvəlinə müvafiq həyata keçrirərsə son 0 (sıfır) ayın faizləri ona güzəşt ediləcəkdir.</v>
      </c>
      <c r="C51" s="694"/>
      <c r="D51" s="694"/>
      <c r="E51" s="694"/>
      <c r="F51" s="694"/>
      <c r="G51" s="694"/>
      <c r="H51" s="694"/>
      <c r="I51" s="694"/>
      <c r="J51" s="694"/>
      <c r="K51" s="694"/>
      <c r="L51" s="694"/>
      <c r="M51" s="694"/>
      <c r="N51" s="694"/>
      <c r="O51" s="694"/>
      <c r="P51" s="694"/>
      <c r="Q51" s="694"/>
      <c r="R51" s="694"/>
      <c r="S51" s="694"/>
      <c r="T51" s="694"/>
      <c r="U51" s="694"/>
      <c r="V51" s="694"/>
      <c r="W51" s="694"/>
      <c r="X51" s="694"/>
      <c r="Y51" s="694"/>
      <c r="Z51" s="694"/>
      <c r="AA51" s="694"/>
      <c r="AB51" s="694"/>
      <c r="AC51" s="694"/>
      <c r="AD51" s="507"/>
      <c r="AE51" s="517"/>
      <c r="AF51" s="517"/>
      <c r="AG51" s="706"/>
      <c r="AH51" s="706"/>
      <c r="AI51" s="706"/>
      <c r="AJ51" s="706"/>
      <c r="AK51" s="706"/>
      <c r="AL51" s="706"/>
      <c r="AM51" s="706"/>
      <c r="AN51" s="706"/>
      <c r="AO51" s="706"/>
      <c r="AP51" s="706"/>
      <c r="AQ51" s="706"/>
      <c r="AR51" s="706"/>
      <c r="AS51" s="706"/>
      <c r="AT51" s="706"/>
      <c r="AU51" s="706"/>
      <c r="AV51" s="706"/>
      <c r="AW51" s="706"/>
      <c r="AX51" s="706"/>
      <c r="AY51" s="706"/>
      <c r="AZ51" s="706"/>
      <c r="BA51" s="706"/>
      <c r="BB51" s="706"/>
      <c r="BC51" s="706"/>
      <c r="BD51" s="706"/>
      <c r="BE51" s="706"/>
      <c r="BF51" s="706"/>
      <c r="BG51" s="706"/>
    </row>
    <row r="52" spans="1:59" x14ac:dyDescent="0.2">
      <c r="A52" s="512"/>
      <c r="B52" s="694"/>
      <c r="C52" s="694"/>
      <c r="D52" s="694"/>
      <c r="E52" s="694"/>
      <c r="F52" s="694"/>
      <c r="G52" s="694"/>
      <c r="H52" s="694"/>
      <c r="I52" s="694"/>
      <c r="J52" s="694"/>
      <c r="K52" s="694"/>
      <c r="L52" s="694"/>
      <c r="M52" s="694"/>
      <c r="N52" s="694"/>
      <c r="O52" s="694"/>
      <c r="P52" s="694"/>
      <c r="Q52" s="694"/>
      <c r="R52" s="694"/>
      <c r="S52" s="694"/>
      <c r="T52" s="694"/>
      <c r="U52" s="694"/>
      <c r="V52" s="694"/>
      <c r="W52" s="694"/>
      <c r="X52" s="694"/>
      <c r="Y52" s="694"/>
      <c r="Z52" s="694"/>
      <c r="AA52" s="694"/>
      <c r="AB52" s="694"/>
      <c r="AC52" s="694"/>
      <c r="AD52" s="507"/>
      <c r="AE52" s="517"/>
      <c r="AF52" s="517"/>
      <c r="AG52" s="706"/>
      <c r="AH52" s="706"/>
      <c r="AI52" s="706"/>
      <c r="AJ52" s="706"/>
      <c r="AK52" s="706"/>
      <c r="AL52" s="706"/>
      <c r="AM52" s="706"/>
      <c r="AN52" s="706"/>
      <c r="AO52" s="706"/>
      <c r="AP52" s="706"/>
      <c r="AQ52" s="706"/>
      <c r="AR52" s="706"/>
      <c r="AS52" s="706"/>
      <c r="AT52" s="706"/>
      <c r="AU52" s="706"/>
      <c r="AV52" s="706"/>
      <c r="AW52" s="706"/>
      <c r="AX52" s="706"/>
      <c r="AY52" s="706"/>
      <c r="AZ52" s="706"/>
      <c r="BA52" s="706"/>
      <c r="BB52" s="706"/>
      <c r="BC52" s="706"/>
      <c r="BD52" s="706"/>
      <c r="BE52" s="706"/>
      <c r="BF52" s="706"/>
      <c r="BG52" s="706"/>
    </row>
    <row r="53" spans="1:59" x14ac:dyDescent="0.2">
      <c r="A53" s="512"/>
      <c r="B53" s="694"/>
      <c r="C53" s="694"/>
      <c r="D53" s="694"/>
      <c r="E53" s="694"/>
      <c r="F53" s="694"/>
      <c r="G53" s="694"/>
      <c r="H53" s="694"/>
      <c r="I53" s="694"/>
      <c r="J53" s="694"/>
      <c r="K53" s="694"/>
      <c r="L53" s="694"/>
      <c r="M53" s="694"/>
      <c r="N53" s="694"/>
      <c r="O53" s="694"/>
      <c r="P53" s="694"/>
      <c r="Q53" s="694"/>
      <c r="R53" s="694"/>
      <c r="S53" s="694"/>
      <c r="T53" s="694"/>
      <c r="U53" s="694"/>
      <c r="V53" s="694"/>
      <c r="W53" s="694"/>
      <c r="X53" s="694"/>
      <c r="Y53" s="694"/>
      <c r="Z53" s="694"/>
      <c r="AA53" s="694"/>
      <c r="AB53" s="694"/>
      <c r="AC53" s="694"/>
      <c r="AD53" s="507"/>
      <c r="AE53" s="517"/>
      <c r="AF53" s="517"/>
      <c r="AG53" s="706"/>
      <c r="AH53" s="706"/>
      <c r="AI53" s="706"/>
      <c r="AJ53" s="706"/>
      <c r="AK53" s="706"/>
      <c r="AL53" s="706"/>
      <c r="AM53" s="706"/>
      <c r="AN53" s="706"/>
      <c r="AO53" s="706"/>
      <c r="AP53" s="706"/>
      <c r="AQ53" s="706"/>
      <c r="AR53" s="706"/>
      <c r="AS53" s="706"/>
      <c r="AT53" s="706"/>
      <c r="AU53" s="706"/>
      <c r="AV53" s="706"/>
      <c r="AW53" s="706"/>
      <c r="AX53" s="706"/>
      <c r="AY53" s="706"/>
      <c r="AZ53" s="706"/>
      <c r="BA53" s="706"/>
      <c r="BB53" s="706"/>
      <c r="BC53" s="706"/>
      <c r="BD53" s="706"/>
      <c r="BE53" s="706"/>
      <c r="BF53" s="706"/>
      <c r="BG53" s="706"/>
    </row>
    <row r="54" spans="1:59" x14ac:dyDescent="0.2">
      <c r="B54" s="102"/>
      <c r="C54" s="102"/>
      <c r="D54" s="102"/>
      <c r="E54" s="102"/>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507"/>
      <c r="AE54" s="517"/>
      <c r="AF54" s="517"/>
      <c r="AG54" s="706"/>
      <c r="AH54" s="706"/>
      <c r="AI54" s="706"/>
      <c r="AJ54" s="706"/>
      <c r="AK54" s="706"/>
      <c r="AL54" s="706"/>
      <c r="AM54" s="706"/>
      <c r="AN54" s="706"/>
      <c r="AO54" s="706"/>
      <c r="AP54" s="706"/>
      <c r="AQ54" s="706"/>
      <c r="AR54" s="706"/>
      <c r="AS54" s="706"/>
      <c r="AT54" s="706"/>
      <c r="AU54" s="706"/>
      <c r="AV54" s="706"/>
      <c r="AW54" s="706"/>
      <c r="AX54" s="706"/>
      <c r="AY54" s="706"/>
      <c r="AZ54" s="706"/>
      <c r="BA54" s="706"/>
      <c r="BB54" s="706"/>
      <c r="BC54" s="706"/>
      <c r="BD54" s="706"/>
      <c r="BE54" s="706"/>
      <c r="BF54" s="706"/>
      <c r="BG54" s="706"/>
    </row>
    <row r="55" spans="1:59" x14ac:dyDescent="0.2">
      <c r="A55" s="695" t="s">
        <v>60</v>
      </c>
      <c r="B55" s="695"/>
      <c r="C55" s="695"/>
      <c r="D55" s="695"/>
      <c r="E55" s="695"/>
      <c r="F55" s="695"/>
      <c r="G55" s="695"/>
      <c r="H55" s="695"/>
      <c r="I55" s="695"/>
      <c r="J55" s="695"/>
      <c r="K55" s="695"/>
      <c r="L55" s="695"/>
      <c r="M55" s="695"/>
      <c r="N55" s="695"/>
      <c r="O55" s="695"/>
      <c r="P55" s="695"/>
      <c r="Q55" s="695"/>
      <c r="R55" s="695"/>
      <c r="S55" s="695"/>
      <c r="T55" s="695"/>
      <c r="U55" s="695"/>
      <c r="V55" s="695"/>
      <c r="W55" s="695"/>
      <c r="X55" s="695"/>
      <c r="Y55" s="695"/>
      <c r="Z55" s="695"/>
      <c r="AA55" s="695"/>
      <c r="AB55" s="695"/>
      <c r="AC55" s="695"/>
      <c r="AD55" s="507"/>
      <c r="AE55" s="517"/>
      <c r="AF55" s="517"/>
      <c r="AG55" s="706"/>
      <c r="AH55" s="706"/>
      <c r="AI55" s="706"/>
      <c r="AJ55" s="706"/>
      <c r="AK55" s="706"/>
      <c r="AL55" s="706"/>
      <c r="AM55" s="706"/>
      <c r="AN55" s="706"/>
      <c r="AO55" s="706"/>
      <c r="AP55" s="706"/>
      <c r="AQ55" s="706"/>
      <c r="AR55" s="706"/>
      <c r="AS55" s="706"/>
      <c r="AT55" s="706"/>
      <c r="AU55" s="706"/>
      <c r="AV55" s="706"/>
      <c r="AW55" s="706"/>
      <c r="AX55" s="706"/>
      <c r="AY55" s="706"/>
      <c r="AZ55" s="706"/>
      <c r="BA55" s="706"/>
      <c r="BB55" s="706"/>
      <c r="BC55" s="706"/>
      <c r="BD55" s="706"/>
      <c r="BE55" s="706"/>
      <c r="BF55" s="706"/>
      <c r="BG55" s="706"/>
    </row>
    <row r="56" spans="1:59" x14ac:dyDescent="0.2">
      <c r="AD56" s="507"/>
      <c r="AE56" s="517"/>
      <c r="AF56" s="517"/>
      <c r="AG56" s="706"/>
      <c r="AH56" s="706"/>
      <c r="AI56" s="706"/>
      <c r="AJ56" s="706"/>
      <c r="AK56" s="706"/>
      <c r="AL56" s="706"/>
      <c r="AM56" s="706"/>
      <c r="AN56" s="706"/>
      <c r="AO56" s="706"/>
      <c r="AP56" s="706"/>
      <c r="AQ56" s="706"/>
      <c r="AR56" s="706"/>
      <c r="AS56" s="706"/>
      <c r="AT56" s="706"/>
      <c r="AU56" s="706"/>
      <c r="AV56" s="706"/>
      <c r="AW56" s="706"/>
      <c r="AX56" s="706"/>
      <c r="AY56" s="706"/>
      <c r="AZ56" s="706"/>
      <c r="BA56" s="706"/>
      <c r="BB56" s="706"/>
      <c r="BC56" s="706"/>
      <c r="BD56" s="706"/>
      <c r="BE56" s="706"/>
      <c r="BF56" s="706"/>
      <c r="BG56" s="706"/>
    </row>
    <row r="57" spans="1:59" x14ac:dyDescent="0.2">
      <c r="A57" s="511" t="s">
        <v>59</v>
      </c>
      <c r="B57" s="694" t="str">
        <f>"Bu müqaviləyə əsasən kredit təminatla verilir. Bu müqavilə üzrə kreditin təminatı «Borc alan»ın və ya üçüncü şəxsin  «Borc verən»ə kreditin təminatı olaraq "&amp;LD_NUM&amp;" saylı  girov müqaviləsinə əsasən  yüklü etdiyi əmlakdır. Kreditin təminatı zaminlik və kreditin sığortalanması formasında bağlanan müqavilələr də ola bilər."</f>
        <v>Bu müqaviləyə əsasən kredit təminatla verilir. Bu müqavilə üzrə kreditin təminatı «Borc alan»ın və ya üçüncü şəxsin  «Borc verən»ə kreditin təminatı olaraq LD/15212/00143 saylı  girov müqaviləsinə əsasən  yüklü etdiyi əmlakdır. Kreditin təminatı zaminlik və kreditin sığortalanması formasında bağlanan müqavilələr də ola bilər.</v>
      </c>
      <c r="C57" s="694"/>
      <c r="D57" s="694"/>
      <c r="E57" s="694"/>
      <c r="F57" s="694"/>
      <c r="G57" s="694"/>
      <c r="H57" s="694"/>
      <c r="I57" s="694"/>
      <c r="J57" s="694"/>
      <c r="K57" s="694"/>
      <c r="L57" s="694"/>
      <c r="M57" s="694"/>
      <c r="N57" s="694"/>
      <c r="O57" s="694"/>
      <c r="P57" s="694"/>
      <c r="Q57" s="694"/>
      <c r="R57" s="694"/>
      <c r="S57" s="694"/>
      <c r="T57" s="694"/>
      <c r="U57" s="694"/>
      <c r="V57" s="694"/>
      <c r="W57" s="694"/>
      <c r="X57" s="694"/>
      <c r="Y57" s="694"/>
      <c r="Z57" s="694"/>
      <c r="AA57" s="694"/>
      <c r="AB57" s="694"/>
      <c r="AC57" s="694"/>
      <c r="AD57" s="507"/>
      <c r="AE57" s="517"/>
      <c r="AF57" s="517"/>
      <c r="AG57" s="706"/>
      <c r="AH57" s="706"/>
      <c r="AI57" s="706"/>
      <c r="AJ57" s="706"/>
      <c r="AK57" s="706"/>
      <c r="AL57" s="706"/>
      <c r="AM57" s="706"/>
      <c r="AN57" s="706"/>
      <c r="AO57" s="706"/>
      <c r="AP57" s="706"/>
      <c r="AQ57" s="706"/>
      <c r="AR57" s="706"/>
      <c r="AS57" s="706"/>
      <c r="AT57" s="706"/>
      <c r="AU57" s="706"/>
      <c r="AV57" s="706"/>
      <c r="AW57" s="706"/>
      <c r="AX57" s="706"/>
      <c r="AY57" s="706"/>
      <c r="AZ57" s="706"/>
      <c r="BA57" s="706"/>
      <c r="BB57" s="706"/>
      <c r="BC57" s="706"/>
      <c r="BD57" s="706"/>
      <c r="BE57" s="706"/>
      <c r="BF57" s="706"/>
      <c r="BG57" s="706"/>
    </row>
    <row r="58" spans="1:59" x14ac:dyDescent="0.2">
      <c r="B58" s="694"/>
      <c r="C58" s="694"/>
      <c r="D58" s="694"/>
      <c r="E58" s="694"/>
      <c r="F58" s="694"/>
      <c r="G58" s="694"/>
      <c r="H58" s="694"/>
      <c r="I58" s="694"/>
      <c r="J58" s="694"/>
      <c r="K58" s="694"/>
      <c r="L58" s="694"/>
      <c r="M58" s="694"/>
      <c r="N58" s="694"/>
      <c r="O58" s="694"/>
      <c r="P58" s="694"/>
      <c r="Q58" s="694"/>
      <c r="R58" s="694"/>
      <c r="S58" s="694"/>
      <c r="T58" s="694"/>
      <c r="U58" s="694"/>
      <c r="V58" s="694"/>
      <c r="W58" s="694"/>
      <c r="X58" s="694"/>
      <c r="Y58" s="694"/>
      <c r="Z58" s="694"/>
      <c r="AA58" s="694"/>
      <c r="AB58" s="694"/>
      <c r="AC58" s="694"/>
      <c r="AD58" s="507"/>
      <c r="AE58" s="517"/>
      <c r="AF58" s="517"/>
      <c r="AG58" s="706"/>
      <c r="AH58" s="706"/>
      <c r="AI58" s="706"/>
      <c r="AJ58" s="706"/>
      <c r="AK58" s="706"/>
      <c r="AL58" s="706"/>
      <c r="AM58" s="706"/>
      <c r="AN58" s="706"/>
      <c r="AO58" s="706"/>
      <c r="AP58" s="706"/>
      <c r="AQ58" s="706"/>
      <c r="AR58" s="706"/>
      <c r="AS58" s="706"/>
      <c r="AT58" s="706"/>
      <c r="AU58" s="706"/>
      <c r="AV58" s="706"/>
      <c r="AW58" s="706"/>
      <c r="AX58" s="706"/>
      <c r="AY58" s="706"/>
      <c r="AZ58" s="706"/>
      <c r="BA58" s="706"/>
      <c r="BB58" s="706"/>
      <c r="BC58" s="706"/>
      <c r="BD58" s="706"/>
      <c r="BE58" s="706"/>
      <c r="BF58" s="706"/>
      <c r="BG58" s="706"/>
    </row>
    <row r="59" spans="1:59" x14ac:dyDescent="0.2">
      <c r="B59" s="694"/>
      <c r="C59" s="694"/>
      <c r="D59" s="694"/>
      <c r="E59" s="694"/>
      <c r="F59" s="694"/>
      <c r="G59" s="694"/>
      <c r="H59" s="694"/>
      <c r="I59" s="694"/>
      <c r="J59" s="694"/>
      <c r="K59" s="694"/>
      <c r="L59" s="694"/>
      <c r="M59" s="694"/>
      <c r="N59" s="694"/>
      <c r="O59" s="694"/>
      <c r="P59" s="694"/>
      <c r="Q59" s="694"/>
      <c r="R59" s="694"/>
      <c r="S59" s="694"/>
      <c r="T59" s="694"/>
      <c r="U59" s="694"/>
      <c r="V59" s="694"/>
      <c r="W59" s="694"/>
      <c r="X59" s="694"/>
      <c r="Y59" s="694"/>
      <c r="Z59" s="694"/>
      <c r="AA59" s="694"/>
      <c r="AB59" s="694"/>
      <c r="AC59" s="694"/>
      <c r="AD59" s="507"/>
      <c r="AE59" s="517"/>
      <c r="AF59" s="517"/>
      <c r="AG59" s="706"/>
      <c r="AH59" s="706"/>
      <c r="AI59" s="706"/>
      <c r="AJ59" s="706"/>
      <c r="AK59" s="706"/>
      <c r="AL59" s="706"/>
      <c r="AM59" s="706"/>
      <c r="AN59" s="706"/>
      <c r="AO59" s="706"/>
      <c r="AP59" s="706"/>
      <c r="AQ59" s="706"/>
      <c r="AR59" s="706"/>
      <c r="AS59" s="706"/>
      <c r="AT59" s="706"/>
      <c r="AU59" s="706"/>
      <c r="AV59" s="706"/>
      <c r="AW59" s="706"/>
      <c r="AX59" s="706"/>
      <c r="AY59" s="706"/>
      <c r="AZ59" s="706"/>
      <c r="BA59" s="706"/>
      <c r="BB59" s="706"/>
      <c r="BC59" s="706"/>
      <c r="BD59" s="706"/>
      <c r="BE59" s="706"/>
      <c r="BF59" s="706"/>
      <c r="BG59" s="706"/>
    </row>
    <row r="60" spans="1:59" ht="11.25" customHeight="1" x14ac:dyDescent="0.2">
      <c r="B60" s="694"/>
      <c r="C60" s="694"/>
      <c r="D60" s="694"/>
      <c r="E60" s="694"/>
      <c r="F60" s="694"/>
      <c r="G60" s="694"/>
      <c r="H60" s="694"/>
      <c r="I60" s="694"/>
      <c r="J60" s="694"/>
      <c r="K60" s="694"/>
      <c r="L60" s="694"/>
      <c r="M60" s="694"/>
      <c r="N60" s="694"/>
      <c r="O60" s="694"/>
      <c r="P60" s="694"/>
      <c r="Q60" s="694"/>
      <c r="R60" s="694"/>
      <c r="S60" s="694"/>
      <c r="T60" s="694"/>
      <c r="U60" s="694"/>
      <c r="V60" s="694"/>
      <c r="W60" s="694"/>
      <c r="X60" s="694"/>
      <c r="Y60" s="694"/>
      <c r="Z60" s="694"/>
      <c r="AA60" s="694"/>
      <c r="AB60" s="694"/>
      <c r="AC60" s="694"/>
      <c r="AD60" s="507"/>
      <c r="AE60" s="517"/>
      <c r="AF60" s="517"/>
      <c r="AG60" s="706"/>
      <c r="AH60" s="706"/>
      <c r="AI60" s="706"/>
      <c r="AJ60" s="706"/>
      <c r="AK60" s="706"/>
      <c r="AL60" s="706"/>
      <c r="AM60" s="706"/>
      <c r="AN60" s="706"/>
      <c r="AO60" s="706"/>
      <c r="AP60" s="706"/>
      <c r="AQ60" s="706"/>
      <c r="AR60" s="706"/>
      <c r="AS60" s="706"/>
      <c r="AT60" s="706"/>
      <c r="AU60" s="706"/>
      <c r="AV60" s="706"/>
      <c r="AW60" s="706"/>
      <c r="AX60" s="706"/>
      <c r="AY60" s="706"/>
      <c r="AZ60" s="706"/>
      <c r="BA60" s="706"/>
      <c r="BB60" s="706"/>
      <c r="BC60" s="706"/>
      <c r="BD60" s="706"/>
      <c r="BE60" s="706"/>
      <c r="BF60" s="706"/>
      <c r="BG60" s="706"/>
    </row>
    <row r="61" spans="1:59" ht="11.25" customHeight="1" x14ac:dyDescent="0.2">
      <c r="B61" s="694"/>
      <c r="C61" s="694"/>
      <c r="D61" s="694"/>
      <c r="E61" s="694"/>
      <c r="F61" s="694"/>
      <c r="G61" s="694"/>
      <c r="H61" s="694"/>
      <c r="I61" s="694"/>
      <c r="J61" s="694"/>
      <c r="K61" s="694"/>
      <c r="L61" s="694"/>
      <c r="M61" s="694"/>
      <c r="N61" s="694"/>
      <c r="O61" s="694"/>
      <c r="P61" s="694"/>
      <c r="Q61" s="694"/>
      <c r="R61" s="694"/>
      <c r="S61" s="694"/>
      <c r="T61" s="694"/>
      <c r="U61" s="694"/>
      <c r="V61" s="694"/>
      <c r="W61" s="694"/>
      <c r="X61" s="694"/>
      <c r="Y61" s="694"/>
      <c r="Z61" s="694"/>
      <c r="AA61" s="694"/>
      <c r="AB61" s="694"/>
      <c r="AC61" s="694"/>
      <c r="AD61" s="507"/>
      <c r="AE61" s="518" t="s">
        <v>65</v>
      </c>
      <c r="AF61" s="704" t="s">
        <v>445</v>
      </c>
      <c r="AG61" s="704"/>
      <c r="AH61" s="704"/>
      <c r="AI61" s="704"/>
      <c r="AJ61" s="704"/>
      <c r="AK61" s="704"/>
      <c r="AL61" s="704"/>
      <c r="AM61" s="704"/>
      <c r="AN61" s="704"/>
      <c r="AO61" s="704"/>
      <c r="AP61" s="704"/>
      <c r="AQ61" s="704"/>
      <c r="AR61" s="704"/>
      <c r="AS61" s="704"/>
      <c r="AT61" s="704"/>
      <c r="AU61" s="704"/>
      <c r="AV61" s="704"/>
      <c r="AW61" s="704"/>
      <c r="AX61" s="704"/>
      <c r="AY61" s="704"/>
      <c r="AZ61" s="704"/>
      <c r="BA61" s="704"/>
      <c r="BB61" s="704"/>
      <c r="BC61" s="704"/>
      <c r="BD61" s="704"/>
      <c r="BE61" s="704"/>
      <c r="BF61" s="704"/>
      <c r="BG61" s="704"/>
    </row>
    <row r="62" spans="1:59" x14ac:dyDescent="0.2">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507"/>
      <c r="AE62" s="701" t="s">
        <v>64</v>
      </c>
      <c r="AF62" s="701"/>
      <c r="AG62" s="694" t="s">
        <v>941</v>
      </c>
      <c r="AH62" s="694"/>
      <c r="AI62" s="694"/>
      <c r="AJ62" s="694"/>
      <c r="AK62" s="694"/>
      <c r="AL62" s="694"/>
      <c r="AM62" s="694"/>
      <c r="AN62" s="694"/>
      <c r="AO62" s="694"/>
      <c r="AP62" s="694"/>
      <c r="AQ62" s="694"/>
      <c r="AR62" s="694"/>
      <c r="AS62" s="694"/>
      <c r="AT62" s="694"/>
      <c r="AU62" s="694"/>
      <c r="AV62" s="694"/>
      <c r="AW62" s="694"/>
      <c r="AX62" s="694"/>
      <c r="AY62" s="694"/>
      <c r="AZ62" s="694"/>
      <c r="BA62" s="694"/>
      <c r="BB62" s="694"/>
      <c r="BC62" s="694"/>
      <c r="BD62" s="694"/>
      <c r="BE62" s="694"/>
      <c r="BF62" s="694"/>
      <c r="BG62" s="694"/>
    </row>
    <row r="63" spans="1:59" x14ac:dyDescent="0.2">
      <c r="A63" s="695" t="s">
        <v>416</v>
      </c>
      <c r="B63" s="695"/>
      <c r="C63" s="695"/>
      <c r="D63" s="695"/>
      <c r="E63" s="695"/>
      <c r="F63" s="695"/>
      <c r="G63" s="695"/>
      <c r="H63" s="695"/>
      <c r="I63" s="695"/>
      <c r="J63" s="695"/>
      <c r="K63" s="695"/>
      <c r="L63" s="695"/>
      <c r="M63" s="695"/>
      <c r="N63" s="695"/>
      <c r="O63" s="695"/>
      <c r="P63" s="695"/>
      <c r="Q63" s="695"/>
      <c r="R63" s="695"/>
      <c r="S63" s="695"/>
      <c r="T63" s="695"/>
      <c r="U63" s="695"/>
      <c r="V63" s="695"/>
      <c r="W63" s="695"/>
      <c r="X63" s="695"/>
      <c r="Y63" s="695"/>
      <c r="Z63" s="695"/>
      <c r="AA63" s="695"/>
      <c r="AB63" s="695"/>
      <c r="AC63" s="695"/>
      <c r="AD63" s="507"/>
      <c r="AE63" s="517"/>
      <c r="AF63" s="517"/>
      <c r="AG63" s="694"/>
      <c r="AH63" s="694"/>
      <c r="AI63" s="694"/>
      <c r="AJ63" s="694"/>
      <c r="AK63" s="694"/>
      <c r="AL63" s="694"/>
      <c r="AM63" s="694"/>
      <c r="AN63" s="694"/>
      <c r="AO63" s="694"/>
      <c r="AP63" s="694"/>
      <c r="AQ63" s="694"/>
      <c r="AR63" s="694"/>
      <c r="AS63" s="694"/>
      <c r="AT63" s="694"/>
      <c r="AU63" s="694"/>
      <c r="AV63" s="694"/>
      <c r="AW63" s="694"/>
      <c r="AX63" s="694"/>
      <c r="AY63" s="694"/>
      <c r="AZ63" s="694"/>
      <c r="BA63" s="694"/>
      <c r="BB63" s="694"/>
      <c r="BC63" s="694"/>
      <c r="BD63" s="694"/>
      <c r="BE63" s="694"/>
      <c r="BF63" s="694"/>
      <c r="BG63" s="694"/>
    </row>
    <row r="64" spans="1:59" x14ac:dyDescent="0.2">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507"/>
      <c r="AE64" s="701" t="s">
        <v>62</v>
      </c>
      <c r="AF64" s="701"/>
      <c r="AG64" s="694" t="s">
        <v>865</v>
      </c>
      <c r="AH64" s="694"/>
      <c r="AI64" s="694"/>
      <c r="AJ64" s="694"/>
      <c r="AK64" s="694"/>
      <c r="AL64" s="694"/>
      <c r="AM64" s="694"/>
      <c r="AN64" s="694"/>
      <c r="AO64" s="694"/>
      <c r="AP64" s="694"/>
      <c r="AQ64" s="694"/>
      <c r="AR64" s="694"/>
      <c r="AS64" s="694"/>
      <c r="AT64" s="694"/>
      <c r="AU64" s="694"/>
      <c r="AV64" s="694"/>
      <c r="AW64" s="694"/>
      <c r="AX64" s="694"/>
      <c r="AY64" s="694"/>
      <c r="AZ64" s="694"/>
      <c r="BA64" s="694"/>
      <c r="BB64" s="694"/>
      <c r="BC64" s="694"/>
      <c r="BD64" s="694"/>
      <c r="BE64" s="694"/>
      <c r="BF64" s="694"/>
      <c r="BG64" s="694"/>
    </row>
    <row r="65" spans="1:59" x14ac:dyDescent="0.2">
      <c r="A65" s="511" t="s">
        <v>57</v>
      </c>
      <c r="B65" s="704" t="s">
        <v>56</v>
      </c>
      <c r="C65" s="704"/>
      <c r="D65" s="704"/>
      <c r="E65" s="704"/>
      <c r="F65" s="704"/>
      <c r="G65" s="704"/>
      <c r="H65" s="704"/>
      <c r="I65" s="704"/>
      <c r="J65" s="704"/>
      <c r="K65" s="704"/>
      <c r="L65" s="704"/>
      <c r="M65" s="704"/>
      <c r="N65" s="704"/>
      <c r="O65" s="704"/>
      <c r="P65" s="704"/>
      <c r="Q65" s="704"/>
      <c r="R65" s="704"/>
      <c r="S65" s="704"/>
      <c r="T65" s="704"/>
      <c r="U65" s="704"/>
      <c r="V65" s="704"/>
      <c r="W65" s="704"/>
      <c r="X65" s="704"/>
      <c r="Y65" s="704"/>
      <c r="Z65" s="704"/>
      <c r="AA65" s="704"/>
      <c r="AB65" s="704"/>
      <c r="AC65" s="704"/>
      <c r="AD65" s="507"/>
      <c r="AF65" s="519"/>
      <c r="AG65" s="694"/>
      <c r="AH65" s="694"/>
      <c r="AI65" s="694"/>
      <c r="AJ65" s="694"/>
      <c r="AK65" s="694"/>
      <c r="AL65" s="694"/>
      <c r="AM65" s="694"/>
      <c r="AN65" s="694"/>
      <c r="AO65" s="694"/>
      <c r="AP65" s="694"/>
      <c r="AQ65" s="694"/>
      <c r="AR65" s="694"/>
      <c r="AS65" s="694"/>
      <c r="AT65" s="694"/>
      <c r="AU65" s="694"/>
      <c r="AV65" s="694"/>
      <c r="AW65" s="694"/>
      <c r="AX65" s="694"/>
      <c r="AY65" s="694"/>
      <c r="AZ65" s="694"/>
      <c r="BA65" s="694"/>
      <c r="BB65" s="694"/>
      <c r="BC65" s="694"/>
      <c r="BD65" s="694"/>
      <c r="BE65" s="694"/>
      <c r="BF65" s="694"/>
      <c r="BG65" s="694"/>
    </row>
    <row r="66" spans="1:59" x14ac:dyDescent="0.2">
      <c r="A66" s="710" t="s">
        <v>54</v>
      </c>
      <c r="B66" s="710"/>
      <c r="C66" s="702" t="s">
        <v>441</v>
      </c>
      <c r="D66" s="702"/>
      <c r="E66" s="702"/>
      <c r="F66" s="702"/>
      <c r="G66" s="702"/>
      <c r="H66" s="702"/>
      <c r="I66" s="702"/>
      <c r="J66" s="702"/>
      <c r="K66" s="702"/>
      <c r="L66" s="702"/>
      <c r="M66" s="702"/>
      <c r="N66" s="702"/>
      <c r="O66" s="702"/>
      <c r="P66" s="702"/>
      <c r="Q66" s="702"/>
      <c r="R66" s="702"/>
      <c r="S66" s="702"/>
      <c r="T66" s="702"/>
      <c r="U66" s="702"/>
      <c r="V66" s="702"/>
      <c r="W66" s="702"/>
      <c r="X66" s="702"/>
      <c r="Y66" s="702"/>
      <c r="Z66" s="702"/>
      <c r="AA66" s="702"/>
      <c r="AB66" s="702"/>
      <c r="AC66" s="702"/>
      <c r="AD66" s="507"/>
      <c r="AE66" s="518"/>
      <c r="AF66" s="516"/>
      <c r="AG66" s="694"/>
      <c r="AH66" s="694"/>
      <c r="AI66" s="694"/>
      <c r="AJ66" s="694"/>
      <c r="AK66" s="694"/>
      <c r="AL66" s="694"/>
      <c r="AM66" s="694"/>
      <c r="AN66" s="694"/>
      <c r="AO66" s="694"/>
      <c r="AP66" s="694"/>
      <c r="AQ66" s="694"/>
      <c r="AR66" s="694"/>
      <c r="AS66" s="694"/>
      <c r="AT66" s="694"/>
      <c r="AU66" s="694"/>
      <c r="AV66" s="694"/>
      <c r="AW66" s="694"/>
      <c r="AX66" s="694"/>
      <c r="AY66" s="694"/>
      <c r="AZ66" s="694"/>
      <c r="BA66" s="694"/>
      <c r="BB66" s="694"/>
      <c r="BC66" s="694"/>
      <c r="BD66" s="694"/>
      <c r="BE66" s="694"/>
      <c r="BF66" s="694"/>
      <c r="BG66" s="694"/>
    </row>
    <row r="67" spans="1:59" x14ac:dyDescent="0.2">
      <c r="A67" s="710" t="s">
        <v>53</v>
      </c>
      <c r="B67" s="710"/>
      <c r="C67" s="694" t="s">
        <v>858</v>
      </c>
      <c r="D67" s="694"/>
      <c r="E67" s="694"/>
      <c r="F67" s="694"/>
      <c r="G67" s="694"/>
      <c r="H67" s="694"/>
      <c r="I67" s="694"/>
      <c r="J67" s="694"/>
      <c r="K67" s="694"/>
      <c r="L67" s="694"/>
      <c r="M67" s="694"/>
      <c r="N67" s="694"/>
      <c r="O67" s="694"/>
      <c r="P67" s="694"/>
      <c r="Q67" s="694"/>
      <c r="R67" s="694"/>
      <c r="S67" s="694"/>
      <c r="T67" s="694"/>
      <c r="U67" s="694"/>
      <c r="V67" s="694"/>
      <c r="W67" s="694"/>
      <c r="X67" s="694"/>
      <c r="Y67" s="694"/>
      <c r="Z67" s="694"/>
      <c r="AA67" s="694"/>
      <c r="AB67" s="694"/>
      <c r="AC67" s="694"/>
      <c r="AD67" s="507"/>
      <c r="AE67" s="518"/>
      <c r="AF67" s="516"/>
      <c r="AG67" s="694"/>
      <c r="AH67" s="694"/>
      <c r="AI67" s="694"/>
      <c r="AJ67" s="694"/>
      <c r="AK67" s="694"/>
      <c r="AL67" s="694"/>
      <c r="AM67" s="694"/>
      <c r="AN67" s="694"/>
      <c r="AO67" s="694"/>
      <c r="AP67" s="694"/>
      <c r="AQ67" s="694"/>
      <c r="AR67" s="694"/>
      <c r="AS67" s="694"/>
      <c r="AT67" s="694"/>
      <c r="AU67" s="694"/>
      <c r="AV67" s="694"/>
      <c r="AW67" s="694"/>
      <c r="AX67" s="694"/>
      <c r="AY67" s="694"/>
      <c r="AZ67" s="694"/>
      <c r="BA67" s="694"/>
      <c r="BB67" s="694"/>
      <c r="BC67" s="694"/>
      <c r="BD67" s="694"/>
      <c r="BE67" s="694"/>
      <c r="BF67" s="694"/>
      <c r="BG67" s="694"/>
    </row>
    <row r="68" spans="1:59" x14ac:dyDescent="0.2">
      <c r="A68" s="511"/>
      <c r="B68" s="511"/>
      <c r="C68" s="694"/>
      <c r="D68" s="694"/>
      <c r="E68" s="694"/>
      <c r="F68" s="694"/>
      <c r="G68" s="694"/>
      <c r="H68" s="694"/>
      <c r="I68" s="694"/>
      <c r="J68" s="694"/>
      <c r="K68" s="694"/>
      <c r="L68" s="694"/>
      <c r="M68" s="694"/>
      <c r="N68" s="694"/>
      <c r="O68" s="694"/>
      <c r="P68" s="694"/>
      <c r="Q68" s="694"/>
      <c r="R68" s="694"/>
      <c r="S68" s="694"/>
      <c r="T68" s="694"/>
      <c r="U68" s="694"/>
      <c r="V68" s="694"/>
      <c r="W68" s="694"/>
      <c r="X68" s="694"/>
      <c r="Y68" s="694"/>
      <c r="Z68" s="694"/>
      <c r="AA68" s="694"/>
      <c r="AB68" s="694"/>
      <c r="AC68" s="694"/>
      <c r="AD68" s="507"/>
      <c r="AE68" s="518"/>
      <c r="AF68" s="516"/>
      <c r="AG68" s="694"/>
      <c r="AH68" s="694"/>
      <c r="AI68" s="694"/>
      <c r="AJ68" s="694"/>
      <c r="AK68" s="694"/>
      <c r="AL68" s="694"/>
      <c r="AM68" s="694"/>
      <c r="AN68" s="694"/>
      <c r="AO68" s="694"/>
      <c r="AP68" s="694"/>
      <c r="AQ68" s="694"/>
      <c r="AR68" s="694"/>
      <c r="AS68" s="694"/>
      <c r="AT68" s="694"/>
      <c r="AU68" s="694"/>
      <c r="AV68" s="694"/>
      <c r="AW68" s="694"/>
      <c r="AX68" s="694"/>
      <c r="AY68" s="694"/>
      <c r="AZ68" s="694"/>
      <c r="BA68" s="694"/>
      <c r="BB68" s="694"/>
      <c r="BC68" s="694"/>
      <c r="BD68" s="694"/>
      <c r="BE68" s="694"/>
      <c r="BF68" s="694"/>
      <c r="BG68" s="694"/>
    </row>
    <row r="69" spans="1:59" x14ac:dyDescent="0.2">
      <c r="C69" s="694"/>
      <c r="D69" s="694"/>
      <c r="E69" s="694"/>
      <c r="F69" s="694"/>
      <c r="G69" s="694"/>
      <c r="H69" s="694"/>
      <c r="I69" s="694"/>
      <c r="J69" s="694"/>
      <c r="K69" s="694"/>
      <c r="L69" s="694"/>
      <c r="M69" s="694"/>
      <c r="N69" s="694"/>
      <c r="O69" s="694"/>
      <c r="P69" s="694"/>
      <c r="Q69" s="694"/>
      <c r="R69" s="694"/>
      <c r="S69" s="694"/>
      <c r="T69" s="694"/>
      <c r="U69" s="694"/>
      <c r="V69" s="694"/>
      <c r="W69" s="694"/>
      <c r="X69" s="694"/>
      <c r="Y69" s="694"/>
      <c r="Z69" s="694"/>
      <c r="AA69" s="694"/>
      <c r="AB69" s="694"/>
      <c r="AC69" s="694"/>
      <c r="AD69" s="507"/>
      <c r="AE69" s="518"/>
      <c r="AF69" s="516"/>
      <c r="AG69" s="694"/>
      <c r="AH69" s="694"/>
      <c r="AI69" s="694"/>
      <c r="AJ69" s="694"/>
      <c r="AK69" s="694"/>
      <c r="AL69" s="694"/>
      <c r="AM69" s="694"/>
      <c r="AN69" s="694"/>
      <c r="AO69" s="694"/>
      <c r="AP69" s="694"/>
      <c r="AQ69" s="694"/>
      <c r="AR69" s="694"/>
      <c r="AS69" s="694"/>
      <c r="AT69" s="694"/>
      <c r="AU69" s="694"/>
      <c r="AV69" s="694"/>
      <c r="AW69" s="694"/>
      <c r="AX69" s="694"/>
      <c r="AY69" s="694"/>
      <c r="AZ69" s="694"/>
      <c r="BA69" s="694"/>
      <c r="BB69" s="694"/>
      <c r="BC69" s="694"/>
      <c r="BD69" s="694"/>
      <c r="BE69" s="694"/>
      <c r="BF69" s="694"/>
      <c r="BG69" s="694"/>
    </row>
    <row r="70" spans="1:59" x14ac:dyDescent="0.2">
      <c r="A70" s="710" t="s">
        <v>52</v>
      </c>
      <c r="B70" s="710"/>
      <c r="C70" s="694" t="s">
        <v>442</v>
      </c>
      <c r="D70" s="694"/>
      <c r="E70" s="694"/>
      <c r="F70" s="694"/>
      <c r="G70" s="694"/>
      <c r="H70" s="694"/>
      <c r="I70" s="694"/>
      <c r="J70" s="694"/>
      <c r="K70" s="694"/>
      <c r="L70" s="694"/>
      <c r="M70" s="694"/>
      <c r="N70" s="694"/>
      <c r="O70" s="694"/>
      <c r="P70" s="694"/>
      <c r="Q70" s="694"/>
      <c r="R70" s="694"/>
      <c r="S70" s="694"/>
      <c r="T70" s="694"/>
      <c r="U70" s="694"/>
      <c r="V70" s="694"/>
      <c r="W70" s="694"/>
      <c r="X70" s="694"/>
      <c r="Y70" s="694"/>
      <c r="Z70" s="694"/>
      <c r="AA70" s="694"/>
      <c r="AB70" s="694"/>
      <c r="AC70" s="694"/>
      <c r="AD70" s="507"/>
      <c r="AE70" s="701" t="s">
        <v>61</v>
      </c>
      <c r="AF70" s="701"/>
      <c r="AG70" s="694" t="str">
        <f>"«Borc alan» təminat verir ki, əvvəllər heç vaxt krediti qaytarmama və ya kreditdən təyinatı üzrə istifadə etməmə hallarına yol  verməmişdir. «Borc alan» həmçinin təminat verir ki, "&amp;"krediti almaq üçün etdiyi müraciətdə göstərdiyi bütün məlumatlar, onun əmlak vəziyyəti barədə verdiyi məlumatlar da daxil olmaqla,  həqiqətə uyğundur, həmçinin hal hazırda «Borc alan»a qarşı heç bir məhkəmə"</f>
        <v>«Borc alan» təminat verir ki, əvvəllər heç vaxt krediti qaytarmama və ya kreditdən təyinatı üzrə istifadə etməmə hallarına yol  verməmişdir. «Borc alan» həmçinin təminat verir ki, krediti almaq üçün etdiyi müraciətdə göstərdiyi bütün məlumatlar, onun əmlak vəziyyəti barədə verdiyi məlumatlar da daxil olmaqla,  həqiqətə uyğundur, həmçinin hal hazırda «Borc alan»a qarşı heç bir məhkəmə</v>
      </c>
      <c r="AH70" s="694"/>
      <c r="AI70" s="694"/>
      <c r="AJ70" s="694"/>
      <c r="AK70" s="694"/>
      <c r="AL70" s="694"/>
      <c r="AM70" s="694"/>
      <c r="AN70" s="694"/>
      <c r="AO70" s="694"/>
      <c r="AP70" s="694"/>
      <c r="AQ70" s="694"/>
      <c r="AR70" s="694"/>
      <c r="AS70" s="694"/>
      <c r="AT70" s="694"/>
      <c r="AU70" s="694"/>
      <c r="AV70" s="694"/>
      <c r="AW70" s="694"/>
      <c r="AX70" s="694"/>
      <c r="AY70" s="694"/>
      <c r="AZ70" s="694"/>
      <c r="BA70" s="694"/>
      <c r="BB70" s="694"/>
      <c r="BC70" s="694"/>
      <c r="BD70" s="694"/>
      <c r="BE70" s="694"/>
      <c r="BF70" s="694"/>
      <c r="BG70" s="694"/>
    </row>
    <row r="71" spans="1:59" x14ac:dyDescent="0.2">
      <c r="C71" s="694"/>
      <c r="D71" s="694"/>
      <c r="E71" s="694"/>
      <c r="F71" s="694"/>
      <c r="G71" s="694"/>
      <c r="H71" s="694"/>
      <c r="I71" s="694"/>
      <c r="J71" s="694"/>
      <c r="K71" s="694"/>
      <c r="L71" s="694"/>
      <c r="M71" s="694"/>
      <c r="N71" s="694"/>
      <c r="O71" s="694"/>
      <c r="P71" s="694"/>
      <c r="Q71" s="694"/>
      <c r="R71" s="694"/>
      <c r="S71" s="694"/>
      <c r="T71" s="694"/>
      <c r="U71" s="694"/>
      <c r="V71" s="694"/>
      <c r="W71" s="694"/>
      <c r="X71" s="694"/>
      <c r="Y71" s="694"/>
      <c r="Z71" s="694"/>
      <c r="AA71" s="694"/>
      <c r="AB71" s="694"/>
      <c r="AC71" s="694"/>
      <c r="AD71" s="507"/>
      <c r="AE71" s="517"/>
      <c r="AF71" s="517"/>
      <c r="AG71" s="694"/>
      <c r="AH71" s="694"/>
      <c r="AI71" s="694"/>
      <c r="AJ71" s="694"/>
      <c r="AK71" s="694"/>
      <c r="AL71" s="694"/>
      <c r="AM71" s="694"/>
      <c r="AN71" s="694"/>
      <c r="AO71" s="694"/>
      <c r="AP71" s="694"/>
      <c r="AQ71" s="694"/>
      <c r="AR71" s="694"/>
      <c r="AS71" s="694"/>
      <c r="AT71" s="694"/>
      <c r="AU71" s="694"/>
      <c r="AV71" s="694"/>
      <c r="AW71" s="694"/>
      <c r="AX71" s="694"/>
      <c r="AY71" s="694"/>
      <c r="AZ71" s="694"/>
      <c r="BA71" s="694"/>
      <c r="BB71" s="694"/>
      <c r="BC71" s="694"/>
      <c r="BD71" s="694"/>
      <c r="BE71" s="694"/>
      <c r="BF71" s="694"/>
      <c r="BG71" s="694"/>
    </row>
    <row r="72" spans="1:59" ht="11.25" customHeight="1" x14ac:dyDescent="0.2">
      <c r="A72" s="710" t="s">
        <v>51</v>
      </c>
      <c r="B72" s="710"/>
      <c r="C72" s="694" t="str">
        <f>"«Borc verən» «Borc alan»ın bu müqavilə üzrə öhdəliyini vaxtında və lazımi qaydada icra edilməməsi ilə nəticələnə bilən "&amp;"aşağıdakı hallarda bu müqaviləyə birtərəfli qaydada vaxtından əvvəl xitam verə və bu müqavilə üzrə müəyyən edilmiş bütün öhdəliklərin icra edilməsini «Borc alan»dan tələ"&amp;"b edə bilər:"</f>
        <v>«Borc verən» «Borc alan»ın bu müqavilə üzrə öhdəliyini vaxtında və lazımi qaydada icra edilməməsi ilə nəticələnə bilən aşağıdakı hallarda bu müqaviləyə birtərəfli qaydada vaxtından əvvəl xitam verə və bu müqavilə üzrə müəyyən edilmiş bütün öhdəliklərin icra edilməsini «Borc alan»dan tələb edə bilər:</v>
      </c>
      <c r="D72" s="694"/>
      <c r="E72" s="694"/>
      <c r="F72" s="694"/>
      <c r="G72" s="694"/>
      <c r="H72" s="694"/>
      <c r="I72" s="694"/>
      <c r="J72" s="694"/>
      <c r="K72" s="694"/>
      <c r="L72" s="694"/>
      <c r="M72" s="694"/>
      <c r="N72" s="694"/>
      <c r="O72" s="694"/>
      <c r="P72" s="694"/>
      <c r="Q72" s="694"/>
      <c r="R72" s="694"/>
      <c r="S72" s="694"/>
      <c r="T72" s="694"/>
      <c r="U72" s="694"/>
      <c r="V72" s="694"/>
      <c r="W72" s="694"/>
      <c r="X72" s="694"/>
      <c r="Y72" s="694"/>
      <c r="Z72" s="694"/>
      <c r="AA72" s="694"/>
      <c r="AB72" s="694"/>
      <c r="AC72" s="694"/>
      <c r="AD72" s="507"/>
      <c r="AE72" s="517"/>
      <c r="AF72" s="517"/>
      <c r="AG72" s="694"/>
      <c r="AH72" s="694"/>
      <c r="AI72" s="694"/>
      <c r="AJ72" s="694"/>
      <c r="AK72" s="694"/>
      <c r="AL72" s="694"/>
      <c r="AM72" s="694"/>
      <c r="AN72" s="694"/>
      <c r="AO72" s="694"/>
      <c r="AP72" s="694"/>
      <c r="AQ72" s="694"/>
      <c r="AR72" s="694"/>
      <c r="AS72" s="694"/>
      <c r="AT72" s="694"/>
      <c r="AU72" s="694"/>
      <c r="AV72" s="694"/>
      <c r="AW72" s="694"/>
      <c r="AX72" s="694"/>
      <c r="AY72" s="694"/>
      <c r="AZ72" s="694"/>
      <c r="BA72" s="694"/>
      <c r="BB72" s="694"/>
      <c r="BC72" s="694"/>
      <c r="BD72" s="694"/>
      <c r="BE72" s="694"/>
      <c r="BF72" s="694"/>
      <c r="BG72" s="694"/>
    </row>
    <row r="73" spans="1:59" x14ac:dyDescent="0.2">
      <c r="C73" s="694"/>
      <c r="D73" s="694"/>
      <c r="E73" s="694"/>
      <c r="F73" s="694"/>
      <c r="G73" s="694"/>
      <c r="H73" s="694"/>
      <c r="I73" s="694"/>
      <c r="J73" s="694"/>
      <c r="K73" s="694"/>
      <c r="L73" s="694"/>
      <c r="M73" s="694"/>
      <c r="N73" s="694"/>
      <c r="O73" s="694"/>
      <c r="P73" s="694"/>
      <c r="Q73" s="694"/>
      <c r="R73" s="694"/>
      <c r="S73" s="694"/>
      <c r="T73" s="694"/>
      <c r="U73" s="694"/>
      <c r="V73" s="694"/>
      <c r="W73" s="694"/>
      <c r="X73" s="694"/>
      <c r="Y73" s="694"/>
      <c r="Z73" s="694"/>
      <c r="AA73" s="694"/>
      <c r="AB73" s="694"/>
      <c r="AC73" s="694"/>
      <c r="AD73" s="507"/>
      <c r="AE73" s="517"/>
      <c r="AF73" s="517"/>
      <c r="AG73" s="694"/>
      <c r="AH73" s="694"/>
      <c r="AI73" s="694"/>
      <c r="AJ73" s="694"/>
      <c r="AK73" s="694"/>
      <c r="AL73" s="694"/>
      <c r="AM73" s="694"/>
      <c r="AN73" s="694"/>
      <c r="AO73" s="694"/>
      <c r="AP73" s="694"/>
      <c r="AQ73" s="694"/>
      <c r="AR73" s="694"/>
      <c r="AS73" s="694"/>
      <c r="AT73" s="694"/>
      <c r="AU73" s="694"/>
      <c r="AV73" s="694"/>
      <c r="AW73" s="694"/>
      <c r="AX73" s="694"/>
      <c r="AY73" s="694"/>
      <c r="AZ73" s="694"/>
      <c r="BA73" s="694"/>
      <c r="BB73" s="694"/>
      <c r="BC73" s="694"/>
      <c r="BD73" s="694"/>
      <c r="BE73" s="694"/>
      <c r="BF73" s="694"/>
      <c r="BG73" s="694"/>
    </row>
    <row r="74" spans="1:59" x14ac:dyDescent="0.2">
      <c r="C74" s="694"/>
      <c r="D74" s="694"/>
      <c r="E74" s="694"/>
      <c r="F74" s="694"/>
      <c r="G74" s="694"/>
      <c r="H74" s="694"/>
      <c r="I74" s="694"/>
      <c r="J74" s="694"/>
      <c r="K74" s="694"/>
      <c r="L74" s="694"/>
      <c r="M74" s="694"/>
      <c r="N74" s="694"/>
      <c r="O74" s="694"/>
      <c r="P74" s="694"/>
      <c r="Q74" s="694"/>
      <c r="R74" s="694"/>
      <c r="S74" s="694"/>
      <c r="T74" s="694"/>
      <c r="U74" s="694"/>
      <c r="V74" s="694"/>
      <c r="W74" s="694"/>
      <c r="X74" s="694"/>
      <c r="Y74" s="694"/>
      <c r="Z74" s="694"/>
      <c r="AA74" s="694"/>
      <c r="AB74" s="694"/>
      <c r="AC74" s="694"/>
      <c r="AD74" s="507"/>
      <c r="AE74" s="517"/>
      <c r="AF74" s="517"/>
      <c r="AG74" s="694"/>
      <c r="AH74" s="694"/>
      <c r="AI74" s="694"/>
      <c r="AJ74" s="694"/>
      <c r="AK74" s="694"/>
      <c r="AL74" s="694"/>
      <c r="AM74" s="694"/>
      <c r="AN74" s="694"/>
      <c r="AO74" s="694"/>
      <c r="AP74" s="694"/>
      <c r="AQ74" s="694"/>
      <c r="AR74" s="694"/>
      <c r="AS74" s="694"/>
      <c r="AT74" s="694"/>
      <c r="AU74" s="694"/>
      <c r="AV74" s="694"/>
      <c r="AW74" s="694"/>
      <c r="AX74" s="694"/>
      <c r="AY74" s="694"/>
      <c r="AZ74" s="694"/>
      <c r="BA74" s="694"/>
      <c r="BB74" s="694"/>
      <c r="BC74" s="694"/>
      <c r="BD74" s="694"/>
      <c r="BE74" s="694"/>
      <c r="BF74" s="694"/>
      <c r="BG74" s="694"/>
    </row>
    <row r="75" spans="1:59" x14ac:dyDescent="0.2">
      <c r="B75" s="95"/>
      <c r="C75" s="694"/>
      <c r="D75" s="694"/>
      <c r="E75" s="694"/>
      <c r="F75" s="694"/>
      <c r="G75" s="694"/>
      <c r="H75" s="694"/>
      <c r="I75" s="694"/>
      <c r="J75" s="694"/>
      <c r="K75" s="694"/>
      <c r="L75" s="694"/>
      <c r="M75" s="694"/>
      <c r="N75" s="694"/>
      <c r="O75" s="694"/>
      <c r="P75" s="694"/>
      <c r="Q75" s="694"/>
      <c r="R75" s="694"/>
      <c r="S75" s="694"/>
      <c r="T75" s="694"/>
      <c r="U75" s="694"/>
      <c r="V75" s="694"/>
      <c r="W75" s="694"/>
      <c r="X75" s="694"/>
      <c r="Y75" s="694"/>
      <c r="Z75" s="694"/>
      <c r="AA75" s="694"/>
      <c r="AB75" s="694"/>
      <c r="AC75" s="694"/>
      <c r="AD75" s="507"/>
      <c r="AE75" s="517"/>
      <c r="AF75" s="517"/>
      <c r="AG75" s="694"/>
      <c r="AH75" s="694"/>
      <c r="AI75" s="694"/>
      <c r="AJ75" s="694"/>
      <c r="AK75" s="694"/>
      <c r="AL75" s="694"/>
      <c r="AM75" s="694"/>
      <c r="AN75" s="694"/>
      <c r="AO75" s="694"/>
      <c r="AP75" s="694"/>
      <c r="AQ75" s="694"/>
      <c r="AR75" s="694"/>
      <c r="AS75" s="694"/>
      <c r="AT75" s="694"/>
      <c r="AU75" s="694"/>
      <c r="AV75" s="694"/>
      <c r="AW75" s="694"/>
      <c r="AX75" s="694"/>
      <c r="AY75" s="694"/>
      <c r="AZ75" s="694"/>
      <c r="BA75" s="694"/>
      <c r="BB75" s="694"/>
      <c r="BC75" s="694"/>
      <c r="BD75" s="694"/>
      <c r="BE75" s="694"/>
      <c r="BF75" s="694"/>
      <c r="BG75" s="694"/>
    </row>
    <row r="76" spans="1:59" x14ac:dyDescent="0.2">
      <c r="B76" s="95"/>
      <c r="C76" s="694"/>
      <c r="D76" s="694"/>
      <c r="E76" s="694"/>
      <c r="F76" s="694"/>
      <c r="G76" s="694"/>
      <c r="H76" s="694"/>
      <c r="I76" s="694"/>
      <c r="J76" s="694"/>
      <c r="K76" s="694"/>
      <c r="L76" s="694"/>
      <c r="M76" s="694"/>
      <c r="N76" s="694"/>
      <c r="O76" s="694"/>
      <c r="P76" s="694"/>
      <c r="Q76" s="694"/>
      <c r="R76" s="694"/>
      <c r="S76" s="694"/>
      <c r="T76" s="694"/>
      <c r="U76" s="694"/>
      <c r="V76" s="694"/>
      <c r="W76" s="694"/>
      <c r="X76" s="694"/>
      <c r="Y76" s="694"/>
      <c r="Z76" s="694"/>
      <c r="AA76" s="694"/>
      <c r="AB76" s="694"/>
      <c r="AC76" s="694"/>
      <c r="AD76" s="507"/>
      <c r="AF76" s="519"/>
      <c r="AG76" s="519"/>
    </row>
    <row r="77" spans="1:59" ht="12" customHeight="1" x14ac:dyDescent="0.2">
      <c r="A77" s="512"/>
      <c r="B77" s="95"/>
      <c r="AD77" s="507"/>
      <c r="AF77" s="519"/>
      <c r="AG77" s="519"/>
    </row>
    <row r="78" spans="1:59" x14ac:dyDescent="0.2">
      <c r="B78" s="95"/>
      <c r="AD78" s="507"/>
      <c r="AF78" s="519"/>
      <c r="AG78" s="519"/>
    </row>
    <row r="79" spans="1:59" x14ac:dyDescent="0.2">
      <c r="A79" s="725" t="s">
        <v>860</v>
      </c>
      <c r="B79" s="725"/>
      <c r="C79" s="725"/>
      <c r="D79" s="725"/>
      <c r="E79" s="725"/>
      <c r="F79" s="725"/>
      <c r="G79" s="725"/>
      <c r="H79" s="725"/>
      <c r="I79" s="725"/>
      <c r="J79" s="725"/>
      <c r="K79" s="725"/>
      <c r="L79" s="725"/>
      <c r="M79" s="725"/>
      <c r="N79" s="725"/>
      <c r="O79" s="725"/>
      <c r="P79" s="725"/>
      <c r="Q79" s="725"/>
      <c r="R79" s="725"/>
      <c r="S79" s="725"/>
      <c r="T79" s="725"/>
      <c r="U79" s="725"/>
      <c r="V79" s="725"/>
      <c r="W79" s="725"/>
      <c r="X79" s="725"/>
      <c r="Y79" s="725"/>
      <c r="Z79" s="725"/>
      <c r="AA79" s="725"/>
      <c r="AB79" s="725"/>
      <c r="AC79" s="725"/>
      <c r="AD79" s="506"/>
      <c r="AE79" s="725" t="s">
        <v>443</v>
      </c>
      <c r="AF79" s="725"/>
      <c r="AG79" s="725"/>
      <c r="AH79" s="725"/>
      <c r="AI79" s="725"/>
      <c r="AJ79" s="725"/>
      <c r="AK79" s="725"/>
      <c r="AL79" s="725"/>
      <c r="AM79" s="725"/>
      <c r="AN79" s="725"/>
      <c r="AO79" s="725"/>
      <c r="AP79" s="725"/>
      <c r="AQ79" s="725"/>
      <c r="AR79" s="725"/>
      <c r="AS79" s="725"/>
      <c r="AT79" s="725"/>
      <c r="AU79" s="725"/>
      <c r="AV79" s="725"/>
      <c r="AW79" s="725"/>
      <c r="AX79" s="725"/>
      <c r="AY79" s="725"/>
      <c r="AZ79" s="725"/>
      <c r="BA79" s="725"/>
      <c r="BB79" s="725"/>
      <c r="BC79" s="725"/>
      <c r="BD79" s="725"/>
      <c r="BE79" s="725"/>
      <c r="BF79" s="725"/>
      <c r="BG79" s="725"/>
    </row>
    <row r="80" spans="1:59" x14ac:dyDescent="0.2">
      <c r="A80" s="520"/>
      <c r="B80" s="520"/>
      <c r="C80" s="694" t="str">
        <f>"və ya digər iddia, habelə «Borca"&amp;"lan»ın əmlak vəziyyətini pisləşdirə  biləcək üçüncü şəxslərlə hər hansı mübahisəsi yoxdur;"</f>
        <v>və ya digər iddia, habelə «Borcalan»ın əmlak vəziyyətini pisləşdirə  biləcək üçüncü şəxslərlə hər hansı mübahisəsi yoxdur;</v>
      </c>
      <c r="D80" s="694"/>
      <c r="E80" s="694"/>
      <c r="F80" s="694"/>
      <c r="G80" s="694"/>
      <c r="H80" s="694"/>
      <c r="I80" s="694"/>
      <c r="J80" s="694"/>
      <c r="K80" s="694"/>
      <c r="L80" s="694"/>
      <c r="M80" s="694"/>
      <c r="N80" s="694"/>
      <c r="O80" s="694"/>
      <c r="P80" s="694"/>
      <c r="Q80" s="694"/>
      <c r="R80" s="694"/>
      <c r="S80" s="694"/>
      <c r="T80" s="694"/>
      <c r="U80" s="694"/>
      <c r="V80" s="694"/>
      <c r="W80" s="694"/>
      <c r="X80" s="694"/>
      <c r="Y80" s="694"/>
      <c r="Z80" s="694"/>
      <c r="AA80" s="694"/>
      <c r="AB80" s="694"/>
      <c r="AC80" s="694"/>
      <c r="AD80" s="506"/>
      <c r="AE80" s="695" t="s">
        <v>646</v>
      </c>
      <c r="AF80" s="695"/>
      <c r="AG80" s="695"/>
      <c r="AH80" s="695"/>
      <c r="AI80" s="695"/>
      <c r="AJ80" s="695"/>
      <c r="AK80" s="695"/>
      <c r="AL80" s="695"/>
      <c r="AM80" s="695"/>
      <c r="AN80" s="695"/>
      <c r="AO80" s="695"/>
      <c r="AP80" s="695"/>
      <c r="AQ80" s="695"/>
      <c r="AR80" s="695"/>
      <c r="AS80" s="695"/>
      <c r="AT80" s="695"/>
      <c r="AU80" s="695"/>
      <c r="AV80" s="695"/>
      <c r="AW80" s="695"/>
      <c r="AX80" s="695"/>
      <c r="AY80" s="695"/>
      <c r="AZ80" s="695"/>
      <c r="BA80" s="695"/>
      <c r="BB80" s="695"/>
      <c r="BC80" s="695"/>
      <c r="BD80" s="695"/>
      <c r="BE80" s="695"/>
      <c r="BF80" s="695"/>
      <c r="BG80" s="505"/>
    </row>
    <row r="81" spans="1:59" x14ac:dyDescent="0.2">
      <c r="A81" s="520"/>
      <c r="B81" s="520"/>
      <c r="C81" s="694"/>
      <c r="D81" s="694"/>
      <c r="E81" s="694"/>
      <c r="F81" s="694"/>
      <c r="G81" s="694"/>
      <c r="H81" s="694"/>
      <c r="I81" s="694"/>
      <c r="J81" s="694"/>
      <c r="K81" s="694"/>
      <c r="L81" s="694"/>
      <c r="M81" s="694"/>
      <c r="N81" s="694"/>
      <c r="O81" s="694"/>
      <c r="P81" s="694"/>
      <c r="Q81" s="694"/>
      <c r="R81" s="694"/>
      <c r="S81" s="694"/>
      <c r="T81" s="694"/>
      <c r="U81" s="694"/>
      <c r="V81" s="694"/>
      <c r="W81" s="694"/>
      <c r="X81" s="694"/>
      <c r="Y81" s="694"/>
      <c r="Z81" s="694"/>
      <c r="AA81" s="694"/>
      <c r="AB81" s="694"/>
      <c r="AC81" s="694"/>
      <c r="AD81" s="506"/>
      <c r="AE81" s="507"/>
      <c r="AF81" s="507"/>
      <c r="AG81" s="507"/>
      <c r="AH81" s="507"/>
      <c r="AI81" s="507"/>
      <c r="AJ81" s="507"/>
      <c r="AK81" s="507"/>
      <c r="AL81" s="507"/>
      <c r="AM81" s="507"/>
      <c r="AN81" s="507"/>
      <c r="AO81" s="507"/>
      <c r="AP81" s="507"/>
      <c r="AQ81" s="507"/>
      <c r="AR81" s="507"/>
      <c r="AS81" s="507"/>
      <c r="AT81" s="507"/>
      <c r="AU81" s="507"/>
      <c r="AV81" s="507"/>
      <c r="AW81" s="507"/>
      <c r="AX81" s="507"/>
      <c r="AY81" s="507"/>
      <c r="AZ81" s="507"/>
      <c r="BA81" s="507"/>
      <c r="BB81" s="507"/>
      <c r="BC81" s="507"/>
      <c r="BD81" s="507"/>
      <c r="BE81" s="507"/>
      <c r="BF81" s="507"/>
      <c r="BG81" s="505"/>
    </row>
    <row r="82" spans="1:59" ht="11.25" customHeight="1" x14ac:dyDescent="0.2">
      <c r="A82" s="712" t="s">
        <v>58</v>
      </c>
      <c r="B82" s="712"/>
      <c r="C82" s="694" t="str">
        <f>"«Borc alan» təminat verir ki, əldə etdiyi kredit və onun bəhəri qanunsuz məqsədlər üçün istifadə edilməyəcək, öz fəaliyyətində ekologiya, ətraf mühitin mühafizəsi və əməyin mühafizəsi qaydalarına riayət edəcək, çirkli pulların yuyulması, cinayətkarlıq"&amp;" və terrorçuluğun maliyyələşdirilməsi hallarına yol verməyəcəkdir;"</f>
        <v>«Borc alan» təminat verir ki, əldə etdiyi kredit və onun bəhəri qanunsuz məqsədlər üçün istifadə edilməyəcək, öz fəaliyyətində ekologiya, ətraf mühitin mühafizəsi və əməyin mühafizəsi qaydalarına riayət edəcək, çirkli pulların yuyulması, cinayətkarlıq və terrorçuluğun maliyyələşdirilməsi hallarına yol verməyəcəkdir;</v>
      </c>
      <c r="D82" s="694"/>
      <c r="E82" s="694"/>
      <c r="F82" s="694"/>
      <c r="G82" s="694"/>
      <c r="H82" s="694"/>
      <c r="I82" s="694"/>
      <c r="J82" s="694"/>
      <c r="K82" s="694"/>
      <c r="L82" s="694"/>
      <c r="M82" s="694"/>
      <c r="N82" s="694"/>
      <c r="O82" s="694"/>
      <c r="P82" s="694"/>
      <c r="Q82" s="694"/>
      <c r="R82" s="694"/>
      <c r="S82" s="694"/>
      <c r="T82" s="694"/>
      <c r="U82" s="694"/>
      <c r="V82" s="694"/>
      <c r="W82" s="694"/>
      <c r="X82" s="694"/>
      <c r="Y82" s="694"/>
      <c r="Z82" s="694"/>
      <c r="AA82" s="694"/>
      <c r="AB82" s="694"/>
      <c r="AC82" s="694"/>
      <c r="AD82" s="506"/>
      <c r="AE82" s="509" t="s">
        <v>647</v>
      </c>
      <c r="AF82" s="694" t="str">
        <f>"Bu müqavilə rəsmiləşdirilən zaman tərəflərin bir-birinə təqdim etdiyi məlumatlar «Kommersiya sirri haqqında» Azərbaycan Respublikasının Qanunu ilə müəyyən edilmiş kommersiya sirrini təşkil edən məlumatlar kateqoriyasına aid edilir  və mövcud "&amp;"qanunvericiliklə müəyyən edilmiş qaydada açıqlanması halları istisna olmaqla üçüncü şəxslərə  ötürülməsi qadağandır."</f>
        <v>Bu müqavilə rəsmiləşdirilən zaman tərəflərin bir-birinə təqdim etdiyi məlumatlar «Kommersiya sirri haqqında» Azərbaycan Respublikasının Qanunu ilə müəyyən edilmiş kommersiya sirrini təşkil edən məlumatlar kateqoriyasına aid edilir  və mövcud qanunvericiliklə müəyyən edilmiş qaydada açıqlanması halları istisna olmaqla üçüncü şəxslərə  ötürülməsi qadağandır.</v>
      </c>
      <c r="AG82" s="694"/>
      <c r="AH82" s="694"/>
      <c r="AI82" s="694"/>
      <c r="AJ82" s="694"/>
      <c r="AK82" s="694"/>
      <c r="AL82" s="694"/>
      <c r="AM82" s="694"/>
      <c r="AN82" s="694"/>
      <c r="AO82" s="694"/>
      <c r="AP82" s="694"/>
      <c r="AQ82" s="694"/>
      <c r="AR82" s="694"/>
      <c r="AS82" s="694"/>
      <c r="AT82" s="694"/>
      <c r="AU82" s="694"/>
      <c r="AV82" s="694"/>
      <c r="AW82" s="694"/>
      <c r="AX82" s="694"/>
      <c r="AY82" s="694"/>
      <c r="AZ82" s="694"/>
      <c r="BA82" s="694"/>
      <c r="BB82" s="694"/>
      <c r="BC82" s="694"/>
      <c r="BD82" s="694"/>
      <c r="BE82" s="694"/>
      <c r="BF82" s="694"/>
      <c r="BG82" s="694"/>
    </row>
    <row r="83" spans="1:59" x14ac:dyDescent="0.2">
      <c r="A83" s="509"/>
      <c r="B83" s="509"/>
      <c r="C83" s="694"/>
      <c r="D83" s="694"/>
      <c r="E83" s="694"/>
      <c r="F83" s="694"/>
      <c r="G83" s="694"/>
      <c r="H83" s="694"/>
      <c r="I83" s="694"/>
      <c r="J83" s="694"/>
      <c r="K83" s="694"/>
      <c r="L83" s="694"/>
      <c r="M83" s="694"/>
      <c r="N83" s="694"/>
      <c r="O83" s="694"/>
      <c r="P83" s="694"/>
      <c r="Q83" s="694"/>
      <c r="R83" s="694"/>
      <c r="S83" s="694"/>
      <c r="T83" s="694"/>
      <c r="U83" s="694"/>
      <c r="V83" s="694"/>
      <c r="W83" s="694"/>
      <c r="X83" s="694"/>
      <c r="Y83" s="694"/>
      <c r="Z83" s="694"/>
      <c r="AA83" s="694"/>
      <c r="AB83" s="694"/>
      <c r="AC83" s="694"/>
      <c r="AD83" s="506"/>
      <c r="AF83" s="694"/>
      <c r="AG83" s="694"/>
      <c r="AH83" s="694"/>
      <c r="AI83" s="694"/>
      <c r="AJ83" s="694"/>
      <c r="AK83" s="694"/>
      <c r="AL83" s="694"/>
      <c r="AM83" s="694"/>
      <c r="AN83" s="694"/>
      <c r="AO83" s="694"/>
      <c r="AP83" s="694"/>
      <c r="AQ83" s="694"/>
      <c r="AR83" s="694"/>
      <c r="AS83" s="694"/>
      <c r="AT83" s="694"/>
      <c r="AU83" s="694"/>
      <c r="AV83" s="694"/>
      <c r="AW83" s="694"/>
      <c r="AX83" s="694"/>
      <c r="AY83" s="694"/>
      <c r="AZ83" s="694"/>
      <c r="BA83" s="694"/>
      <c r="BB83" s="694"/>
      <c r="BC83" s="694"/>
      <c r="BD83" s="694"/>
      <c r="BE83" s="694"/>
      <c r="BF83" s="694"/>
      <c r="BG83" s="694"/>
    </row>
    <row r="84" spans="1:59" x14ac:dyDescent="0.2">
      <c r="C84" s="694"/>
      <c r="D84" s="694"/>
      <c r="E84" s="694"/>
      <c r="F84" s="694"/>
      <c r="G84" s="694"/>
      <c r="H84" s="694"/>
      <c r="I84" s="694"/>
      <c r="J84" s="694"/>
      <c r="K84" s="694"/>
      <c r="L84" s="694"/>
      <c r="M84" s="694"/>
      <c r="N84" s="694"/>
      <c r="O84" s="694"/>
      <c r="P84" s="694"/>
      <c r="Q84" s="694"/>
      <c r="R84" s="694"/>
      <c r="S84" s="694"/>
      <c r="T84" s="694"/>
      <c r="U84" s="694"/>
      <c r="V84" s="694"/>
      <c r="W84" s="694"/>
      <c r="X84" s="694"/>
      <c r="Y84" s="694"/>
      <c r="Z84" s="694"/>
      <c r="AA84" s="694"/>
      <c r="AB84" s="694"/>
      <c r="AC84" s="694"/>
      <c r="AF84" s="694"/>
      <c r="AG84" s="694"/>
      <c r="AH84" s="694"/>
      <c r="AI84" s="694"/>
      <c r="AJ84" s="694"/>
      <c r="AK84" s="694"/>
      <c r="AL84" s="694"/>
      <c r="AM84" s="694"/>
      <c r="AN84" s="694"/>
      <c r="AO84" s="694"/>
      <c r="AP84" s="694"/>
      <c r="AQ84" s="694"/>
      <c r="AR84" s="694"/>
      <c r="AS84" s="694"/>
      <c r="AT84" s="694"/>
      <c r="AU84" s="694"/>
      <c r="AV84" s="694"/>
      <c r="AW84" s="694"/>
      <c r="AX84" s="694"/>
      <c r="AY84" s="694"/>
      <c r="AZ84" s="694"/>
      <c r="BA84" s="694"/>
      <c r="BB84" s="694"/>
      <c r="BC84" s="694"/>
      <c r="BD84" s="694"/>
      <c r="BE84" s="694"/>
      <c r="BF84" s="694"/>
      <c r="BG84" s="694"/>
    </row>
    <row r="85" spans="1:59" x14ac:dyDescent="0.2">
      <c r="C85" s="694"/>
      <c r="D85" s="694"/>
      <c r="E85" s="694"/>
      <c r="F85" s="694"/>
      <c r="G85" s="694"/>
      <c r="H85" s="694"/>
      <c r="I85" s="694"/>
      <c r="J85" s="694"/>
      <c r="K85" s="694"/>
      <c r="L85" s="694"/>
      <c r="M85" s="694"/>
      <c r="N85" s="694"/>
      <c r="O85" s="694"/>
      <c r="P85" s="694"/>
      <c r="Q85" s="694"/>
      <c r="R85" s="694"/>
      <c r="S85" s="694"/>
      <c r="T85" s="694"/>
      <c r="U85" s="694"/>
      <c r="V85" s="694"/>
      <c r="W85" s="694"/>
      <c r="X85" s="694"/>
      <c r="Y85" s="694"/>
      <c r="Z85" s="694"/>
      <c r="AA85" s="694"/>
      <c r="AB85" s="694"/>
      <c r="AC85" s="694"/>
      <c r="AF85" s="694"/>
      <c r="AG85" s="694"/>
      <c r="AH85" s="694"/>
      <c r="AI85" s="694"/>
      <c r="AJ85" s="694"/>
      <c r="AK85" s="694"/>
      <c r="AL85" s="694"/>
      <c r="AM85" s="694"/>
      <c r="AN85" s="694"/>
      <c r="AO85" s="694"/>
      <c r="AP85" s="694"/>
      <c r="AQ85" s="694"/>
      <c r="AR85" s="694"/>
      <c r="AS85" s="694"/>
      <c r="AT85" s="694"/>
      <c r="AU85" s="694"/>
      <c r="AV85" s="694"/>
      <c r="AW85" s="694"/>
      <c r="AX85" s="694"/>
      <c r="AY85" s="694"/>
      <c r="AZ85" s="694"/>
      <c r="BA85" s="694"/>
      <c r="BB85" s="694"/>
      <c r="BC85" s="694"/>
      <c r="BD85" s="694"/>
      <c r="BE85" s="694"/>
      <c r="BF85" s="694"/>
      <c r="BG85" s="694"/>
    </row>
    <row r="86" spans="1:59" x14ac:dyDescent="0.2">
      <c r="C86" s="694"/>
      <c r="D86" s="694"/>
      <c r="E86" s="694"/>
      <c r="F86" s="694"/>
      <c r="G86" s="694"/>
      <c r="H86" s="694"/>
      <c r="I86" s="694"/>
      <c r="J86" s="694"/>
      <c r="K86" s="694"/>
      <c r="L86" s="694"/>
      <c r="M86" s="694"/>
      <c r="N86" s="694"/>
      <c r="O86" s="694"/>
      <c r="P86" s="694"/>
      <c r="Q86" s="694"/>
      <c r="R86" s="694"/>
      <c r="S86" s="694"/>
      <c r="T86" s="694"/>
      <c r="U86" s="694"/>
      <c r="V86" s="694"/>
      <c r="W86" s="694"/>
      <c r="X86" s="694"/>
      <c r="Y86" s="694"/>
      <c r="Z86" s="694"/>
      <c r="AA86" s="694"/>
      <c r="AB86" s="694"/>
      <c r="AC86" s="694"/>
      <c r="AF86" s="694"/>
      <c r="AG86" s="694"/>
      <c r="AH86" s="694"/>
      <c r="AI86" s="694"/>
      <c r="AJ86" s="694"/>
      <c r="AK86" s="694"/>
      <c r="AL86" s="694"/>
      <c r="AM86" s="694"/>
      <c r="AN86" s="694"/>
      <c r="AO86" s="694"/>
      <c r="AP86" s="694"/>
      <c r="AQ86" s="694"/>
      <c r="AR86" s="694"/>
      <c r="AS86" s="694"/>
      <c r="AT86" s="694"/>
      <c r="AU86" s="694"/>
      <c r="AV86" s="694"/>
      <c r="AW86" s="694"/>
      <c r="AX86" s="694"/>
      <c r="AY86" s="694"/>
      <c r="AZ86" s="694"/>
      <c r="BA86" s="694"/>
      <c r="BB86" s="694"/>
      <c r="BC86" s="694"/>
      <c r="BD86" s="694"/>
      <c r="BE86" s="694"/>
      <c r="BF86" s="694"/>
      <c r="BG86" s="694"/>
    </row>
    <row r="87" spans="1:59" x14ac:dyDescent="0.2">
      <c r="A87" s="712" t="s">
        <v>55</v>
      </c>
      <c r="B87" s="712"/>
      <c r="C87" s="694" t="str">
        <f>"Bu müqavilə üzrə öhdəliklərini pozduqda və ya vaxtında icra etmədikdə "</f>
        <v xml:space="preserve">Bu müqavilə üzrə öhdəliklərini pozduqda və ya vaxtında icra etmədikdə </v>
      </c>
      <c r="D87" s="694"/>
      <c r="E87" s="694"/>
      <c r="F87" s="694"/>
      <c r="G87" s="694"/>
      <c r="H87" s="694"/>
      <c r="I87" s="694"/>
      <c r="J87" s="694"/>
      <c r="K87" s="694"/>
      <c r="L87" s="694"/>
      <c r="M87" s="694"/>
      <c r="N87" s="694"/>
      <c r="O87" s="694"/>
      <c r="P87" s="694"/>
      <c r="Q87" s="694"/>
      <c r="R87" s="694"/>
      <c r="S87" s="694"/>
      <c r="T87" s="694"/>
      <c r="U87" s="694"/>
      <c r="V87" s="694"/>
      <c r="W87" s="694"/>
      <c r="X87" s="694"/>
      <c r="Y87" s="694"/>
      <c r="Z87" s="694"/>
      <c r="AA87" s="694"/>
      <c r="AB87" s="694"/>
      <c r="AC87" s="694"/>
      <c r="AF87" s="694"/>
      <c r="AG87" s="694"/>
      <c r="AH87" s="694"/>
      <c r="AI87" s="694"/>
      <c r="AJ87" s="694"/>
      <c r="AK87" s="694"/>
      <c r="AL87" s="694"/>
      <c r="AM87" s="694"/>
      <c r="AN87" s="694"/>
      <c r="AO87" s="694"/>
      <c r="AP87" s="694"/>
      <c r="AQ87" s="694"/>
      <c r="AR87" s="694"/>
      <c r="AS87" s="694"/>
      <c r="AT87" s="694"/>
      <c r="AU87" s="694"/>
      <c r="AV87" s="694"/>
      <c r="AW87" s="694"/>
      <c r="AX87" s="694"/>
      <c r="AY87" s="694"/>
      <c r="AZ87" s="694"/>
      <c r="BA87" s="694"/>
      <c r="BB87" s="694"/>
      <c r="BC87" s="694"/>
      <c r="BD87" s="694"/>
      <c r="BE87" s="694"/>
      <c r="BF87" s="694"/>
      <c r="BG87" s="694"/>
    </row>
    <row r="88" spans="1:59" ht="11.25" customHeight="1" x14ac:dyDescent="0.2">
      <c r="C88" s="694" t="str">
        <f>"«Borc  verən» bu öhdəliklərinin icrasını təmin etmək üçün üçüncü şəxslərin xidmətindən"&amp;" istifadə etdikdə onun haqqında olan bütün məlumatların və sənədlərin «Borc verən»  tərəfindən"&amp;" üçüncü şəxslərə təqdim olunmasına əvvəlcədən razılıq verir və "&amp;"bu razılığını birtərəfli qaydada geri gö"&amp;"türə bilməz. Bu razılıq «Borc verən» tərəfindən tələb hüququ üçüncü şəxslərə güzəşt olunduqda da qüvvədədir."</f>
        <v>«Borc  verən» bu öhdəliklərinin icrasını təmin etmək üçün üçüncü şəxslərin xidmətindən istifadə etdikdə onun haqqında olan bütün məlumatların və sənədlərin «Borc verən»  tərəfindən üçüncü şəxslərə təqdim olunmasına əvvəlcədən razılıq verir və bu razılığını birtərəfli qaydada geri götürə bilməz. Bu razılıq «Borc verən» tərəfindən tələb hüququ üçüncü şəxslərə güzəşt olunduqda da qüvvədədir.</v>
      </c>
      <c r="D88" s="694"/>
      <c r="E88" s="694"/>
      <c r="F88" s="694"/>
      <c r="G88" s="694"/>
      <c r="H88" s="694"/>
      <c r="I88" s="694"/>
      <c r="J88" s="694"/>
      <c r="K88" s="694"/>
      <c r="L88" s="694"/>
      <c r="M88" s="694"/>
      <c r="N88" s="694"/>
      <c r="O88" s="694"/>
      <c r="P88" s="694"/>
      <c r="Q88" s="694"/>
      <c r="R88" s="694"/>
      <c r="S88" s="694"/>
      <c r="T88" s="694"/>
      <c r="U88" s="694"/>
      <c r="V88" s="694"/>
      <c r="W88" s="694"/>
      <c r="X88" s="694"/>
      <c r="Y88" s="694"/>
      <c r="Z88" s="694"/>
      <c r="AA88" s="694"/>
      <c r="AB88" s="694"/>
      <c r="AC88" s="694"/>
      <c r="AE88" s="509" t="s">
        <v>37</v>
      </c>
      <c r="AF88" s="694" t="str">
        <f>"«Borc alan» tərəfindən təqdim edilən məlumatlar «Borc verən» tərəfindən istənilən vaxt və qeyd-şərtsiz olaraq  «Borc verən»in rəsmi şəxslərinə və  təmsilçilərinə, həmçinin müqavilənin hazırlanması, icrası və qüvvədə olduğu müddət ərzində "&amp;"«Borc verən» tərəfindən cəlb edilən müstəqil məsləhətçilərə, ekspertlərə, müşavirlərə, kənar auditorlara  və siğorta təşkilatının əməkdaşlarına, o cümlədən Mərkəzləşdirilmiş Kredit Reyestrinə "&amp;"verilə bilər və bu məxfiliyin pozulması kimi qiymətləndirilə bilməz."</f>
        <v>«Borc alan» tərəfindən təqdim edilən məlumatlar «Borc verən» tərəfindən istənilən vaxt və qeyd-şərtsiz olaraq  «Borc verən»in rəsmi şəxslərinə və  təmsilçilərinə, həmçinin müqavilənin hazırlanması, icrası və qüvvədə olduğu müddət ərzində «Borc verən» tərəfindən cəlb edilən müstəqil məsləhətçilərə, ekspertlərə, müşavirlərə, kənar auditorlara  və siğorta təşkilatının əməkdaşlarına, o cümlədən Mərkəzləşdirilmiş Kredit Reyestrinə verilə bilər və bu məxfiliyin pozulması kimi qiymətləndirilə bilməz.</v>
      </c>
      <c r="AG88" s="694"/>
      <c r="AH88" s="694"/>
      <c r="AI88" s="694"/>
      <c r="AJ88" s="694"/>
      <c r="AK88" s="694"/>
      <c r="AL88" s="694"/>
      <c r="AM88" s="694"/>
      <c r="AN88" s="694"/>
      <c r="AO88" s="694"/>
      <c r="AP88" s="694"/>
      <c r="AQ88" s="694"/>
      <c r="AR88" s="694"/>
      <c r="AS88" s="694"/>
      <c r="AT88" s="694"/>
      <c r="AU88" s="694"/>
      <c r="AV88" s="694"/>
      <c r="AW88" s="694"/>
      <c r="AX88" s="694"/>
      <c r="AY88" s="694"/>
      <c r="AZ88" s="694"/>
      <c r="BA88" s="694"/>
      <c r="BB88" s="694"/>
      <c r="BC88" s="694"/>
      <c r="BD88" s="694"/>
      <c r="BE88" s="694"/>
      <c r="BF88" s="694"/>
      <c r="BG88" s="694"/>
    </row>
    <row r="89" spans="1:59" x14ac:dyDescent="0.2">
      <c r="C89" s="694"/>
      <c r="D89" s="694"/>
      <c r="E89" s="694"/>
      <c r="F89" s="694"/>
      <c r="G89" s="694"/>
      <c r="H89" s="694"/>
      <c r="I89" s="694"/>
      <c r="J89" s="694"/>
      <c r="K89" s="694"/>
      <c r="L89" s="694"/>
      <c r="M89" s="694"/>
      <c r="N89" s="694"/>
      <c r="O89" s="694"/>
      <c r="P89" s="694"/>
      <c r="Q89" s="694"/>
      <c r="R89" s="694"/>
      <c r="S89" s="694"/>
      <c r="T89" s="694"/>
      <c r="U89" s="694"/>
      <c r="V89" s="694"/>
      <c r="W89" s="694"/>
      <c r="X89" s="694"/>
      <c r="Y89" s="694"/>
      <c r="Z89" s="694"/>
      <c r="AA89" s="694"/>
      <c r="AB89" s="694"/>
      <c r="AC89" s="694"/>
      <c r="AF89" s="694"/>
      <c r="AG89" s="694"/>
      <c r="AH89" s="694"/>
      <c r="AI89" s="694"/>
      <c r="AJ89" s="694"/>
      <c r="AK89" s="694"/>
      <c r="AL89" s="694"/>
      <c r="AM89" s="694"/>
      <c r="AN89" s="694"/>
      <c r="AO89" s="694"/>
      <c r="AP89" s="694"/>
      <c r="AQ89" s="694"/>
      <c r="AR89" s="694"/>
      <c r="AS89" s="694"/>
      <c r="AT89" s="694"/>
      <c r="AU89" s="694"/>
      <c r="AV89" s="694"/>
      <c r="AW89" s="694"/>
      <c r="AX89" s="694"/>
      <c r="AY89" s="694"/>
      <c r="AZ89" s="694"/>
      <c r="BA89" s="694"/>
      <c r="BB89" s="694"/>
      <c r="BC89" s="694"/>
      <c r="BD89" s="694"/>
      <c r="BE89" s="694"/>
      <c r="BF89" s="694"/>
      <c r="BG89" s="694"/>
    </row>
    <row r="90" spans="1:59" x14ac:dyDescent="0.2">
      <c r="C90" s="694"/>
      <c r="D90" s="694"/>
      <c r="E90" s="694"/>
      <c r="F90" s="694"/>
      <c r="G90" s="694"/>
      <c r="H90" s="694"/>
      <c r="I90" s="694"/>
      <c r="J90" s="694"/>
      <c r="K90" s="694"/>
      <c r="L90" s="694"/>
      <c r="M90" s="694"/>
      <c r="N90" s="694"/>
      <c r="O90" s="694"/>
      <c r="P90" s="694"/>
      <c r="Q90" s="694"/>
      <c r="R90" s="694"/>
      <c r="S90" s="694"/>
      <c r="T90" s="694"/>
      <c r="U90" s="694"/>
      <c r="V90" s="694"/>
      <c r="W90" s="694"/>
      <c r="X90" s="694"/>
      <c r="Y90" s="694"/>
      <c r="Z90" s="694"/>
      <c r="AA90" s="694"/>
      <c r="AB90" s="694"/>
      <c r="AC90" s="694"/>
      <c r="AF90" s="694"/>
      <c r="AG90" s="694"/>
      <c r="AH90" s="694"/>
      <c r="AI90" s="694"/>
      <c r="AJ90" s="694"/>
      <c r="AK90" s="694"/>
      <c r="AL90" s="694"/>
      <c r="AM90" s="694"/>
      <c r="AN90" s="694"/>
      <c r="AO90" s="694"/>
      <c r="AP90" s="694"/>
      <c r="AQ90" s="694"/>
      <c r="AR90" s="694"/>
      <c r="AS90" s="694"/>
      <c r="AT90" s="694"/>
      <c r="AU90" s="694"/>
      <c r="AV90" s="694"/>
      <c r="AW90" s="694"/>
      <c r="AX90" s="694"/>
      <c r="AY90" s="694"/>
      <c r="AZ90" s="694"/>
      <c r="BA90" s="694"/>
      <c r="BB90" s="694"/>
      <c r="BC90" s="694"/>
      <c r="BD90" s="694"/>
      <c r="BE90" s="694"/>
      <c r="BF90" s="694"/>
      <c r="BG90" s="694"/>
    </row>
    <row r="91" spans="1:59" x14ac:dyDescent="0.2">
      <c r="C91" s="694"/>
      <c r="D91" s="694"/>
      <c r="E91" s="694"/>
      <c r="F91" s="694"/>
      <c r="G91" s="694"/>
      <c r="H91" s="694"/>
      <c r="I91" s="694"/>
      <c r="J91" s="694"/>
      <c r="K91" s="694"/>
      <c r="L91" s="694"/>
      <c r="M91" s="694"/>
      <c r="N91" s="694"/>
      <c r="O91" s="694"/>
      <c r="P91" s="694"/>
      <c r="Q91" s="694"/>
      <c r="R91" s="694"/>
      <c r="S91" s="694"/>
      <c r="T91" s="694"/>
      <c r="U91" s="694"/>
      <c r="V91" s="694"/>
      <c r="W91" s="694"/>
      <c r="X91" s="694"/>
      <c r="Y91" s="694"/>
      <c r="Z91" s="694"/>
      <c r="AA91" s="694"/>
      <c r="AB91" s="694"/>
      <c r="AC91" s="694"/>
      <c r="AF91" s="694"/>
      <c r="AG91" s="694"/>
      <c r="AH91" s="694"/>
      <c r="AI91" s="694"/>
      <c r="AJ91" s="694"/>
      <c r="AK91" s="694"/>
      <c r="AL91" s="694"/>
      <c r="AM91" s="694"/>
      <c r="AN91" s="694"/>
      <c r="AO91" s="694"/>
      <c r="AP91" s="694"/>
      <c r="AQ91" s="694"/>
      <c r="AR91" s="694"/>
      <c r="AS91" s="694"/>
      <c r="AT91" s="694"/>
      <c r="AU91" s="694"/>
      <c r="AV91" s="694"/>
      <c r="AW91" s="694"/>
      <c r="AX91" s="694"/>
      <c r="AY91" s="694"/>
      <c r="AZ91" s="694"/>
      <c r="BA91" s="694"/>
      <c r="BB91" s="694"/>
      <c r="BC91" s="694"/>
      <c r="BD91" s="694"/>
      <c r="BE91" s="694"/>
      <c r="BF91" s="694"/>
      <c r="BG91" s="694"/>
    </row>
    <row r="92" spans="1:59" ht="11.25" customHeight="1" x14ac:dyDescent="0.2">
      <c r="C92" s="694"/>
      <c r="D92" s="694"/>
      <c r="E92" s="694"/>
      <c r="F92" s="694"/>
      <c r="G92" s="694"/>
      <c r="H92" s="694"/>
      <c r="I92" s="694"/>
      <c r="J92" s="694"/>
      <c r="K92" s="694"/>
      <c r="L92" s="694"/>
      <c r="M92" s="694"/>
      <c r="N92" s="694"/>
      <c r="O92" s="694"/>
      <c r="P92" s="694"/>
      <c r="Q92" s="694"/>
      <c r="R92" s="694"/>
      <c r="S92" s="694"/>
      <c r="T92" s="694"/>
      <c r="U92" s="694"/>
      <c r="V92" s="694"/>
      <c r="W92" s="694"/>
      <c r="X92" s="694"/>
      <c r="Y92" s="694"/>
      <c r="Z92" s="694"/>
      <c r="AA92" s="694"/>
      <c r="AB92" s="694"/>
      <c r="AC92" s="694"/>
      <c r="AF92" s="694"/>
      <c r="AG92" s="694"/>
      <c r="AH92" s="694"/>
      <c r="AI92" s="694"/>
      <c r="AJ92" s="694"/>
      <c r="AK92" s="694"/>
      <c r="AL92" s="694"/>
      <c r="AM92" s="694"/>
      <c r="AN92" s="694"/>
      <c r="AO92" s="694"/>
      <c r="AP92" s="694"/>
      <c r="AQ92" s="694"/>
      <c r="AR92" s="694"/>
      <c r="AS92" s="694"/>
      <c r="AT92" s="694"/>
      <c r="AU92" s="694"/>
      <c r="AV92" s="694"/>
      <c r="AW92" s="694"/>
      <c r="AX92" s="694"/>
      <c r="AY92" s="694"/>
      <c r="AZ92" s="694"/>
      <c r="BA92" s="694"/>
      <c r="BB92" s="694"/>
      <c r="BC92" s="694"/>
      <c r="BD92" s="694"/>
      <c r="BE92" s="694"/>
      <c r="BF92" s="694"/>
      <c r="BG92" s="694"/>
    </row>
    <row r="93" spans="1:59" x14ac:dyDescent="0.2">
      <c r="C93" s="694"/>
      <c r="D93" s="694"/>
      <c r="E93" s="694"/>
      <c r="F93" s="694"/>
      <c r="G93" s="694"/>
      <c r="H93" s="694"/>
      <c r="I93" s="694"/>
      <c r="J93" s="694"/>
      <c r="K93" s="694"/>
      <c r="L93" s="694"/>
      <c r="M93" s="694"/>
      <c r="N93" s="694"/>
      <c r="O93" s="694"/>
      <c r="P93" s="694"/>
      <c r="Q93" s="694"/>
      <c r="R93" s="694"/>
      <c r="S93" s="694"/>
      <c r="T93" s="694"/>
      <c r="U93" s="694"/>
      <c r="V93" s="694"/>
      <c r="W93" s="694"/>
      <c r="X93" s="694"/>
      <c r="Y93" s="694"/>
      <c r="Z93" s="694"/>
      <c r="AA93" s="694"/>
      <c r="AB93" s="694"/>
      <c r="AC93" s="694"/>
      <c r="AF93" s="694"/>
      <c r="AG93" s="694"/>
      <c r="AH93" s="694"/>
      <c r="AI93" s="694"/>
      <c r="AJ93" s="694"/>
      <c r="AK93" s="694"/>
      <c r="AL93" s="694"/>
      <c r="AM93" s="694"/>
      <c r="AN93" s="694"/>
      <c r="AO93" s="694"/>
      <c r="AP93" s="694"/>
      <c r="AQ93" s="694"/>
      <c r="AR93" s="694"/>
      <c r="AS93" s="694"/>
      <c r="AT93" s="694"/>
      <c r="AU93" s="694"/>
      <c r="AV93" s="694"/>
      <c r="AW93" s="694"/>
      <c r="AX93" s="694"/>
      <c r="AY93" s="694"/>
      <c r="AZ93" s="694"/>
      <c r="BA93" s="694"/>
      <c r="BB93" s="694"/>
      <c r="BC93" s="694"/>
      <c r="BD93" s="694"/>
      <c r="BE93" s="694"/>
      <c r="BF93" s="694"/>
      <c r="BG93" s="694"/>
    </row>
    <row r="94" spans="1:59" x14ac:dyDescent="0.2">
      <c r="A94" s="699" t="s">
        <v>472</v>
      </c>
      <c r="B94" s="699"/>
      <c r="C94" s="694" t="s">
        <v>448</v>
      </c>
      <c r="D94" s="694"/>
      <c r="E94" s="694"/>
      <c r="F94" s="694"/>
      <c r="G94" s="694"/>
      <c r="H94" s="694"/>
      <c r="I94" s="694"/>
      <c r="J94" s="694"/>
      <c r="K94" s="694"/>
      <c r="L94" s="694"/>
      <c r="M94" s="694"/>
      <c r="N94" s="694"/>
      <c r="O94" s="694"/>
      <c r="P94" s="694"/>
      <c r="Q94" s="694"/>
      <c r="R94" s="694"/>
      <c r="S94" s="694"/>
      <c r="T94" s="694"/>
      <c r="U94" s="694"/>
      <c r="V94" s="694"/>
      <c r="W94" s="694"/>
      <c r="X94" s="694"/>
      <c r="Y94" s="694"/>
      <c r="Z94" s="694"/>
      <c r="AA94" s="694"/>
      <c r="AB94" s="694"/>
      <c r="AC94" s="694"/>
      <c r="AF94" s="694"/>
      <c r="AG94" s="694"/>
      <c r="AH94" s="694"/>
      <c r="AI94" s="694"/>
      <c r="AJ94" s="694"/>
      <c r="AK94" s="694"/>
      <c r="AL94" s="694"/>
      <c r="AM94" s="694"/>
      <c r="AN94" s="694"/>
      <c r="AO94" s="694"/>
      <c r="AP94" s="694"/>
      <c r="AQ94" s="694"/>
      <c r="AR94" s="694"/>
      <c r="AS94" s="694"/>
      <c r="AT94" s="694"/>
      <c r="AU94" s="694"/>
      <c r="AV94" s="694"/>
      <c r="AW94" s="694"/>
      <c r="AX94" s="694"/>
      <c r="AY94" s="694"/>
      <c r="AZ94" s="694"/>
      <c r="BA94" s="694"/>
      <c r="BB94" s="694"/>
      <c r="BC94" s="694"/>
      <c r="BD94" s="694"/>
      <c r="BE94" s="694"/>
      <c r="BF94" s="694"/>
      <c r="BG94" s="694"/>
    </row>
    <row r="95" spans="1:59" x14ac:dyDescent="0.2">
      <c r="A95" s="510"/>
      <c r="B95" s="510"/>
      <c r="C95" s="694"/>
      <c r="D95" s="694"/>
      <c r="E95" s="694"/>
      <c r="F95" s="694"/>
      <c r="G95" s="694"/>
      <c r="H95" s="694"/>
      <c r="I95" s="694"/>
      <c r="J95" s="694"/>
      <c r="K95" s="694"/>
      <c r="L95" s="694"/>
      <c r="M95" s="694"/>
      <c r="N95" s="694"/>
      <c r="O95" s="694"/>
      <c r="P95" s="694"/>
      <c r="Q95" s="694"/>
      <c r="R95" s="694"/>
      <c r="S95" s="694"/>
      <c r="T95" s="694"/>
      <c r="U95" s="694"/>
      <c r="V95" s="694"/>
      <c r="W95" s="694"/>
      <c r="X95" s="694"/>
      <c r="Y95" s="694"/>
      <c r="Z95" s="694"/>
      <c r="AA95" s="694"/>
      <c r="AB95" s="694"/>
      <c r="AC95" s="694"/>
      <c r="AE95" s="509" t="s">
        <v>859</v>
      </c>
      <c r="AF95" s="694" t="s">
        <v>866</v>
      </c>
      <c r="AG95" s="694"/>
      <c r="AH95" s="694"/>
      <c r="AI95" s="694"/>
      <c r="AJ95" s="694"/>
      <c r="AK95" s="694"/>
      <c r="AL95" s="694"/>
      <c r="AM95" s="694"/>
      <c r="AN95" s="694"/>
      <c r="AO95" s="694"/>
      <c r="AP95" s="694"/>
      <c r="AQ95" s="694"/>
      <c r="AR95" s="694"/>
      <c r="AS95" s="694"/>
      <c r="AT95" s="694"/>
      <c r="AU95" s="694"/>
      <c r="AV95" s="694"/>
      <c r="AW95" s="694"/>
      <c r="AX95" s="694"/>
      <c r="AY95" s="694"/>
      <c r="AZ95" s="694"/>
      <c r="BA95" s="694"/>
      <c r="BB95" s="694"/>
      <c r="BC95" s="694"/>
      <c r="BD95" s="694"/>
      <c r="BE95" s="694"/>
      <c r="BF95" s="694"/>
      <c r="BG95" s="694"/>
    </row>
    <row r="96" spans="1:59" x14ac:dyDescent="0.2">
      <c r="A96" s="517"/>
      <c r="B96" s="517"/>
      <c r="C96" s="694"/>
      <c r="D96" s="694"/>
      <c r="E96" s="694"/>
      <c r="F96" s="694"/>
      <c r="G96" s="694"/>
      <c r="H96" s="694"/>
      <c r="I96" s="694"/>
      <c r="J96" s="694"/>
      <c r="K96" s="694"/>
      <c r="L96" s="694"/>
      <c r="M96" s="694"/>
      <c r="N96" s="694"/>
      <c r="O96" s="694"/>
      <c r="P96" s="694"/>
      <c r="Q96" s="694"/>
      <c r="R96" s="694"/>
      <c r="S96" s="694"/>
      <c r="T96" s="694"/>
      <c r="U96" s="694"/>
      <c r="V96" s="694"/>
      <c r="W96" s="694"/>
      <c r="X96" s="694"/>
      <c r="Y96" s="694"/>
      <c r="Z96" s="694"/>
      <c r="AA96" s="694"/>
      <c r="AB96" s="694"/>
      <c r="AC96" s="694"/>
      <c r="AF96" s="694"/>
      <c r="AG96" s="694"/>
      <c r="AH96" s="694"/>
      <c r="AI96" s="694"/>
      <c r="AJ96" s="694"/>
      <c r="AK96" s="694"/>
      <c r="AL96" s="694"/>
      <c r="AM96" s="694"/>
      <c r="AN96" s="694"/>
      <c r="AO96" s="694"/>
      <c r="AP96" s="694"/>
      <c r="AQ96" s="694"/>
      <c r="AR96" s="694"/>
      <c r="AS96" s="694"/>
      <c r="AT96" s="694"/>
      <c r="AU96" s="694"/>
      <c r="AV96" s="694"/>
      <c r="AW96" s="694"/>
      <c r="AX96" s="694"/>
      <c r="AY96" s="694"/>
      <c r="AZ96" s="694"/>
      <c r="BA96" s="694"/>
      <c r="BB96" s="694"/>
      <c r="BC96" s="694"/>
      <c r="BD96" s="694"/>
      <c r="BE96" s="694"/>
      <c r="BF96" s="694"/>
      <c r="BG96" s="694"/>
    </row>
    <row r="97" spans="1:59" x14ac:dyDescent="0.2">
      <c r="A97" s="509"/>
      <c r="B97" s="509"/>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F97" s="694"/>
      <c r="AG97" s="694"/>
      <c r="AH97" s="694"/>
      <c r="AI97" s="694"/>
      <c r="AJ97" s="694"/>
      <c r="AK97" s="694"/>
      <c r="AL97" s="694"/>
      <c r="AM97" s="694"/>
      <c r="AN97" s="694"/>
      <c r="AO97" s="694"/>
      <c r="AP97" s="694"/>
      <c r="AQ97" s="694"/>
      <c r="AR97" s="694"/>
      <c r="AS97" s="694"/>
      <c r="AT97" s="694"/>
      <c r="AU97" s="694"/>
      <c r="AV97" s="694"/>
      <c r="AW97" s="694"/>
      <c r="AX97" s="694"/>
      <c r="AY97" s="694"/>
      <c r="AZ97" s="694"/>
      <c r="BA97" s="694"/>
      <c r="BB97" s="694"/>
      <c r="BC97" s="694"/>
      <c r="BD97" s="694"/>
      <c r="BE97" s="694"/>
      <c r="BF97" s="694"/>
      <c r="BG97" s="694"/>
    </row>
    <row r="98" spans="1:59" x14ac:dyDescent="0.2">
      <c r="A98" s="711" t="s">
        <v>50</v>
      </c>
      <c r="B98" s="711"/>
      <c r="C98" s="711"/>
      <c r="D98" s="711"/>
      <c r="E98" s="711"/>
      <c r="F98" s="711"/>
      <c r="G98" s="711"/>
      <c r="H98" s="711"/>
      <c r="I98" s="711"/>
      <c r="J98" s="711"/>
      <c r="K98" s="711"/>
      <c r="L98" s="711"/>
      <c r="M98" s="711"/>
      <c r="N98" s="711"/>
      <c r="O98" s="711"/>
      <c r="P98" s="711"/>
      <c r="Q98" s="711"/>
      <c r="R98" s="711"/>
      <c r="S98" s="711"/>
      <c r="T98" s="711"/>
      <c r="U98" s="711"/>
      <c r="V98" s="711"/>
      <c r="W98" s="711"/>
      <c r="X98" s="711"/>
      <c r="Y98" s="711"/>
      <c r="Z98" s="711"/>
      <c r="AA98" s="711"/>
      <c r="AB98" s="711"/>
      <c r="AC98" s="711"/>
      <c r="AF98" s="694"/>
      <c r="AG98" s="694"/>
      <c r="AH98" s="694"/>
      <c r="AI98" s="694"/>
      <c r="AJ98" s="694"/>
      <c r="AK98" s="694"/>
      <c r="AL98" s="694"/>
      <c r="AM98" s="694"/>
      <c r="AN98" s="694"/>
      <c r="AO98" s="694"/>
      <c r="AP98" s="694"/>
      <c r="AQ98" s="694"/>
      <c r="AR98" s="694"/>
      <c r="AS98" s="694"/>
      <c r="AT98" s="694"/>
      <c r="AU98" s="694"/>
      <c r="AV98" s="694"/>
      <c r="AW98" s="694"/>
      <c r="AX98" s="694"/>
      <c r="AY98" s="694"/>
      <c r="AZ98" s="694"/>
      <c r="BA98" s="694"/>
      <c r="BB98" s="694"/>
      <c r="BC98" s="694"/>
      <c r="BD98" s="694"/>
      <c r="BE98" s="694"/>
      <c r="BF98" s="694"/>
      <c r="BG98" s="694"/>
    </row>
    <row r="99" spans="1:59" ht="11.25" customHeight="1" x14ac:dyDescent="0.2">
      <c r="A99" s="508"/>
      <c r="B99" s="508"/>
      <c r="C99" s="508"/>
      <c r="D99" s="508"/>
      <c r="E99" s="508"/>
      <c r="F99" s="508"/>
      <c r="G99" s="508"/>
      <c r="H99" s="508"/>
      <c r="I99" s="508"/>
      <c r="J99" s="508"/>
      <c r="K99" s="508"/>
      <c r="L99" s="508"/>
      <c r="M99" s="508"/>
      <c r="N99" s="508"/>
      <c r="O99" s="508"/>
      <c r="P99" s="508"/>
      <c r="Q99" s="508"/>
      <c r="R99" s="508"/>
      <c r="S99" s="508"/>
      <c r="T99" s="508"/>
      <c r="U99" s="508"/>
      <c r="V99" s="508"/>
      <c r="W99" s="508"/>
      <c r="X99" s="508"/>
      <c r="Y99" s="508"/>
      <c r="Z99" s="508"/>
      <c r="AA99" s="508"/>
      <c r="AB99" s="508"/>
      <c r="AC99" s="508"/>
      <c r="AF99" s="694"/>
      <c r="AG99" s="694"/>
      <c r="AH99" s="694"/>
      <c r="AI99" s="694"/>
      <c r="AJ99" s="694"/>
      <c r="AK99" s="694"/>
      <c r="AL99" s="694"/>
      <c r="AM99" s="694"/>
      <c r="AN99" s="694"/>
      <c r="AO99" s="694"/>
      <c r="AP99" s="694"/>
      <c r="AQ99" s="694"/>
      <c r="AR99" s="694"/>
      <c r="AS99" s="694"/>
      <c r="AT99" s="694"/>
      <c r="AU99" s="694"/>
      <c r="AV99" s="694"/>
      <c r="AW99" s="694"/>
      <c r="AX99" s="694"/>
      <c r="AY99" s="694"/>
      <c r="AZ99" s="694"/>
      <c r="BA99" s="694"/>
      <c r="BB99" s="694"/>
      <c r="BC99" s="694"/>
      <c r="BD99" s="694"/>
      <c r="BE99" s="694"/>
      <c r="BF99" s="694"/>
      <c r="BG99" s="694"/>
    </row>
    <row r="100" spans="1:59" x14ac:dyDescent="0.2">
      <c r="A100" s="509" t="s">
        <v>48</v>
      </c>
      <c r="B100" s="694" t="str">
        <f>"«Borc alan» kreditin ödənilməsi üzrə öhdəliyi vaxtlı-vaxtında yerinə yetirmədiyi və kreditdən istifadəyə görə faizləri və krediti ödəmədiyi təqdirdə gecikdirilmiş  əsas məbləğin 1 (bir) faizi mə"&amp;"bləğində dəbbə pulunu (cərimə) hər yubanma günü üçün «Borc verən»in  xeyrinə ödəməyə borcludur."</f>
        <v>«Borc alan» kreditin ödənilməsi üzrə öhdəliyi vaxtlı-vaxtında yerinə yetirmədiyi və kreditdən istifadəyə görə faizləri və krediti ödəmədiyi təqdirdə gecikdirilmiş  əsas məbləğin 1 (bir) faizi məbləğində dəbbə pulunu (cərimə) hər yubanma günü üçün «Borc verən»in  xeyrinə ödəməyə borcludur.</v>
      </c>
      <c r="C100" s="694"/>
      <c r="D100" s="694"/>
      <c r="E100" s="694"/>
      <c r="F100" s="694"/>
      <c r="G100" s="694"/>
      <c r="H100" s="694"/>
      <c r="I100" s="694"/>
      <c r="J100" s="694"/>
      <c r="K100" s="694"/>
      <c r="L100" s="694"/>
      <c r="M100" s="694"/>
      <c r="N100" s="694"/>
      <c r="O100" s="694"/>
      <c r="P100" s="694"/>
      <c r="Q100" s="694"/>
      <c r="R100" s="694"/>
      <c r="S100" s="694"/>
      <c r="T100" s="694"/>
      <c r="U100" s="694"/>
      <c r="V100" s="694"/>
      <c r="W100" s="694"/>
      <c r="X100" s="694"/>
      <c r="Y100" s="694"/>
      <c r="Z100" s="694"/>
      <c r="AA100" s="694"/>
      <c r="AB100" s="694"/>
      <c r="AC100" s="694"/>
    </row>
    <row r="101" spans="1:59" x14ac:dyDescent="0.2">
      <c r="B101" s="694"/>
      <c r="C101" s="694"/>
      <c r="D101" s="694"/>
      <c r="E101" s="694"/>
      <c r="F101" s="694"/>
      <c r="G101" s="694"/>
      <c r="H101" s="694"/>
      <c r="I101" s="694"/>
      <c r="J101" s="694"/>
      <c r="K101" s="694"/>
      <c r="L101" s="694"/>
      <c r="M101" s="694"/>
      <c r="N101" s="694"/>
      <c r="O101" s="694"/>
      <c r="P101" s="694"/>
      <c r="Q101" s="694"/>
      <c r="R101" s="694"/>
      <c r="S101" s="694"/>
      <c r="T101" s="694"/>
      <c r="U101" s="694"/>
      <c r="V101" s="694"/>
      <c r="W101" s="694"/>
      <c r="X101" s="694"/>
      <c r="Y101" s="694"/>
      <c r="Z101" s="694"/>
      <c r="AA101" s="694"/>
      <c r="AB101" s="694"/>
      <c r="AC101" s="694"/>
      <c r="AE101" s="707" t="s">
        <v>648</v>
      </c>
      <c r="AF101" s="707"/>
      <c r="AG101" s="707"/>
      <c r="AH101" s="707"/>
      <c r="AI101" s="707"/>
      <c r="AJ101" s="707"/>
      <c r="AK101" s="707"/>
      <c r="AL101" s="707"/>
      <c r="AM101" s="707"/>
      <c r="AN101" s="707"/>
      <c r="AO101" s="707"/>
      <c r="AP101" s="707"/>
      <c r="AQ101" s="707"/>
      <c r="AR101" s="707"/>
      <c r="AS101" s="707"/>
      <c r="AT101" s="707"/>
      <c r="AU101" s="707"/>
      <c r="AV101" s="707"/>
      <c r="AW101" s="707"/>
      <c r="AX101" s="707"/>
      <c r="AY101" s="707"/>
      <c r="AZ101" s="707"/>
      <c r="BA101" s="707"/>
      <c r="BB101" s="707"/>
      <c r="BC101" s="707"/>
      <c r="BD101" s="707"/>
      <c r="BE101" s="707"/>
      <c r="BF101" s="707"/>
      <c r="BG101" s="707"/>
    </row>
    <row r="102" spans="1:59" x14ac:dyDescent="0.2">
      <c r="B102" s="694"/>
      <c r="C102" s="694"/>
      <c r="D102" s="694"/>
      <c r="E102" s="694"/>
      <c r="F102" s="694"/>
      <c r="G102" s="694"/>
      <c r="H102" s="694"/>
      <c r="I102" s="694"/>
      <c r="J102" s="694"/>
      <c r="K102" s="694"/>
      <c r="L102" s="694"/>
      <c r="M102" s="694"/>
      <c r="N102" s="694"/>
      <c r="O102" s="694"/>
      <c r="P102" s="694"/>
      <c r="Q102" s="694"/>
      <c r="R102" s="694"/>
      <c r="S102" s="694"/>
      <c r="T102" s="694"/>
      <c r="U102" s="694"/>
      <c r="V102" s="694"/>
      <c r="W102" s="694"/>
      <c r="X102" s="694"/>
      <c r="Y102" s="694"/>
      <c r="Z102" s="694"/>
      <c r="AA102" s="694"/>
      <c r="AB102" s="694"/>
      <c r="AC102" s="694"/>
      <c r="AE102" s="514"/>
      <c r="AF102" s="515"/>
      <c r="AG102" s="515"/>
      <c r="AH102" s="515"/>
      <c r="AI102" s="515"/>
      <c r="AJ102" s="515"/>
      <c r="AK102" s="515"/>
      <c r="AL102" s="515"/>
      <c r="AM102" s="515"/>
      <c r="AN102" s="515"/>
      <c r="AO102" s="515"/>
      <c r="AP102" s="515"/>
      <c r="AQ102" s="515"/>
      <c r="AR102" s="515"/>
      <c r="AS102" s="515"/>
      <c r="AT102" s="515"/>
      <c r="AU102" s="515"/>
      <c r="AV102" s="515"/>
      <c r="AW102" s="515"/>
      <c r="AX102" s="515"/>
      <c r="AY102" s="515"/>
      <c r="AZ102" s="515"/>
      <c r="BA102" s="515"/>
      <c r="BB102" s="515"/>
      <c r="BC102" s="515"/>
      <c r="BD102" s="515"/>
      <c r="BE102" s="515"/>
      <c r="BF102" s="515"/>
      <c r="BG102" s="515"/>
    </row>
    <row r="103" spans="1:59" x14ac:dyDescent="0.2">
      <c r="B103" s="694"/>
      <c r="C103" s="694"/>
      <c r="D103" s="694"/>
      <c r="E103" s="694"/>
      <c r="F103" s="694"/>
      <c r="G103" s="694"/>
      <c r="H103" s="694"/>
      <c r="I103" s="694"/>
      <c r="J103" s="694"/>
      <c r="K103" s="694"/>
      <c r="L103" s="694"/>
      <c r="M103" s="694"/>
      <c r="N103" s="694"/>
      <c r="O103" s="694"/>
      <c r="P103" s="694"/>
      <c r="Q103" s="694"/>
      <c r="R103" s="694"/>
      <c r="S103" s="694"/>
      <c r="T103" s="694"/>
      <c r="U103" s="694"/>
      <c r="V103" s="694"/>
      <c r="W103" s="694"/>
      <c r="X103" s="694"/>
      <c r="Y103" s="694"/>
      <c r="Z103" s="694"/>
      <c r="AA103" s="694"/>
      <c r="AB103" s="694"/>
      <c r="AC103" s="694"/>
      <c r="AE103" s="179" t="s">
        <v>110</v>
      </c>
      <c r="AF103" s="709" t="s">
        <v>425</v>
      </c>
      <c r="AG103" s="709"/>
      <c r="AH103" s="709"/>
      <c r="AI103" s="709"/>
      <c r="AJ103" s="709"/>
      <c r="AK103" s="709"/>
      <c r="AL103" s="709"/>
      <c r="AM103" s="709"/>
      <c r="AN103" s="709"/>
      <c r="AO103" s="709"/>
      <c r="AP103" s="709"/>
      <c r="AQ103" s="709"/>
      <c r="AR103" s="709"/>
      <c r="AS103" s="709"/>
      <c r="AT103" s="709"/>
      <c r="AU103" s="709"/>
      <c r="AV103" s="709"/>
      <c r="AW103" s="709"/>
      <c r="AX103" s="709"/>
      <c r="AY103" s="709"/>
      <c r="AZ103" s="709"/>
      <c r="BA103" s="709"/>
      <c r="BB103" s="709"/>
      <c r="BC103" s="709"/>
      <c r="BD103" s="709"/>
      <c r="BE103" s="709"/>
      <c r="BF103" s="709"/>
      <c r="BG103" s="709"/>
    </row>
    <row r="104" spans="1:59" x14ac:dyDescent="0.2">
      <c r="A104" s="95"/>
      <c r="B104" s="694"/>
      <c r="C104" s="694"/>
      <c r="D104" s="694"/>
      <c r="E104" s="694"/>
      <c r="F104" s="694"/>
      <c r="G104" s="694"/>
      <c r="H104" s="694"/>
      <c r="I104" s="694"/>
      <c r="J104" s="694"/>
      <c r="K104" s="694"/>
      <c r="L104" s="694"/>
      <c r="M104" s="694"/>
      <c r="N104" s="694"/>
      <c r="O104" s="694"/>
      <c r="P104" s="694"/>
      <c r="Q104" s="694"/>
      <c r="R104" s="694"/>
      <c r="S104" s="694"/>
      <c r="T104" s="694"/>
      <c r="U104" s="694"/>
      <c r="V104" s="694"/>
      <c r="W104" s="694"/>
      <c r="X104" s="694"/>
      <c r="Y104" s="694"/>
      <c r="Z104" s="694"/>
      <c r="AA104" s="694"/>
      <c r="AB104" s="694"/>
      <c r="AC104" s="694"/>
      <c r="AE104" s="521"/>
      <c r="AF104" s="709"/>
      <c r="AG104" s="709"/>
      <c r="AH104" s="709"/>
      <c r="AI104" s="709"/>
      <c r="AJ104" s="709"/>
      <c r="AK104" s="709"/>
      <c r="AL104" s="709"/>
      <c r="AM104" s="709"/>
      <c r="AN104" s="709"/>
      <c r="AO104" s="709"/>
      <c r="AP104" s="709"/>
      <c r="AQ104" s="709"/>
      <c r="AR104" s="709"/>
      <c r="AS104" s="709"/>
      <c r="AT104" s="709"/>
      <c r="AU104" s="709"/>
      <c r="AV104" s="709"/>
      <c r="AW104" s="709"/>
      <c r="AX104" s="709"/>
      <c r="AY104" s="709"/>
      <c r="AZ104" s="709"/>
      <c r="BA104" s="709"/>
      <c r="BB104" s="709"/>
      <c r="BC104" s="709"/>
      <c r="BD104" s="709"/>
      <c r="BE104" s="709"/>
      <c r="BF104" s="709"/>
      <c r="BG104" s="709"/>
    </row>
    <row r="105" spans="1:59" ht="11.25" customHeight="1" x14ac:dyDescent="0.2">
      <c r="AE105" s="521"/>
      <c r="AF105" s="709"/>
      <c r="AG105" s="709"/>
      <c r="AH105" s="709"/>
      <c r="AI105" s="709"/>
      <c r="AJ105" s="709"/>
      <c r="AK105" s="709"/>
      <c r="AL105" s="709"/>
      <c r="AM105" s="709"/>
      <c r="AN105" s="709"/>
      <c r="AO105" s="709"/>
      <c r="AP105" s="709"/>
      <c r="AQ105" s="709"/>
      <c r="AR105" s="709"/>
      <c r="AS105" s="709"/>
      <c r="AT105" s="709"/>
      <c r="AU105" s="709"/>
      <c r="AV105" s="709"/>
      <c r="AW105" s="709"/>
      <c r="AX105" s="709"/>
      <c r="AY105" s="709"/>
      <c r="AZ105" s="709"/>
      <c r="BA105" s="709"/>
      <c r="BB105" s="709"/>
      <c r="BC105" s="709"/>
      <c r="BD105" s="709"/>
      <c r="BE105" s="709"/>
      <c r="BF105" s="709"/>
      <c r="BG105" s="709"/>
    </row>
    <row r="106" spans="1:59" x14ac:dyDescent="0.2">
      <c r="A106" s="711" t="s">
        <v>643</v>
      </c>
      <c r="B106" s="711"/>
      <c r="C106" s="711"/>
      <c r="D106" s="711"/>
      <c r="E106" s="711"/>
      <c r="F106" s="711"/>
      <c r="G106" s="711"/>
      <c r="H106" s="711"/>
      <c r="I106" s="711"/>
      <c r="J106" s="711"/>
      <c r="K106" s="711"/>
      <c r="L106" s="711"/>
      <c r="M106" s="711"/>
      <c r="N106" s="711"/>
      <c r="O106" s="711"/>
      <c r="P106" s="711"/>
      <c r="Q106" s="711"/>
      <c r="R106" s="711"/>
      <c r="S106" s="711"/>
      <c r="T106" s="711"/>
      <c r="U106" s="711"/>
      <c r="V106" s="711"/>
      <c r="W106" s="711"/>
      <c r="X106" s="711"/>
      <c r="Y106" s="711"/>
      <c r="Z106" s="711"/>
      <c r="AA106" s="711"/>
      <c r="AB106" s="711"/>
      <c r="AC106" s="711"/>
      <c r="AE106" s="179" t="s">
        <v>42</v>
      </c>
      <c r="AF106" s="709" t="s">
        <v>426</v>
      </c>
      <c r="AG106" s="709"/>
      <c r="AH106" s="709"/>
      <c r="AI106" s="709"/>
      <c r="AJ106" s="709"/>
      <c r="AK106" s="709"/>
      <c r="AL106" s="709"/>
      <c r="AM106" s="709"/>
      <c r="AN106" s="709"/>
      <c r="AO106" s="709"/>
      <c r="AP106" s="709"/>
      <c r="AQ106" s="709"/>
      <c r="AR106" s="709"/>
      <c r="AS106" s="709"/>
      <c r="AT106" s="709"/>
      <c r="AU106" s="709"/>
      <c r="AV106" s="709"/>
      <c r="AW106" s="709"/>
      <c r="AX106" s="709"/>
      <c r="AY106" s="709"/>
      <c r="AZ106" s="709"/>
      <c r="BA106" s="709"/>
      <c r="BB106" s="709"/>
      <c r="BC106" s="709"/>
      <c r="BD106" s="709"/>
      <c r="BE106" s="709"/>
      <c r="BF106" s="709"/>
      <c r="BG106" s="709"/>
    </row>
    <row r="107" spans="1:59" ht="11.25" customHeight="1" x14ac:dyDescent="0.2">
      <c r="A107" s="508"/>
      <c r="B107" s="508"/>
      <c r="C107" s="508"/>
      <c r="D107" s="508"/>
      <c r="E107" s="508"/>
      <c r="F107" s="508"/>
      <c r="G107" s="508"/>
      <c r="H107" s="508"/>
      <c r="I107" s="508"/>
      <c r="J107" s="508"/>
      <c r="K107" s="508"/>
      <c r="L107" s="508"/>
      <c r="M107" s="508"/>
      <c r="N107" s="508"/>
      <c r="O107" s="508"/>
      <c r="P107" s="508"/>
      <c r="Q107" s="508"/>
      <c r="R107" s="508"/>
      <c r="S107" s="508"/>
      <c r="T107" s="508"/>
      <c r="U107" s="508"/>
      <c r="V107" s="508"/>
      <c r="W107" s="508"/>
      <c r="X107" s="508"/>
      <c r="Y107" s="508"/>
      <c r="Z107" s="508"/>
      <c r="AA107" s="508"/>
      <c r="AB107" s="508"/>
      <c r="AC107" s="508"/>
      <c r="AE107" s="521"/>
      <c r="AF107" s="709"/>
      <c r="AG107" s="709"/>
      <c r="AH107" s="709"/>
      <c r="AI107" s="709"/>
      <c r="AJ107" s="709"/>
      <c r="AK107" s="709"/>
      <c r="AL107" s="709"/>
      <c r="AM107" s="709"/>
      <c r="AN107" s="709"/>
      <c r="AO107" s="709"/>
      <c r="AP107" s="709"/>
      <c r="AQ107" s="709"/>
      <c r="AR107" s="709"/>
      <c r="AS107" s="709"/>
      <c r="AT107" s="709"/>
      <c r="AU107" s="709"/>
      <c r="AV107" s="709"/>
      <c r="AW107" s="709"/>
      <c r="AX107" s="709"/>
      <c r="AY107" s="709"/>
      <c r="AZ107" s="709"/>
      <c r="BA107" s="709"/>
      <c r="BB107" s="709"/>
      <c r="BC107" s="709"/>
      <c r="BD107" s="709"/>
      <c r="BE107" s="709"/>
      <c r="BF107" s="709"/>
      <c r="BG107" s="709"/>
    </row>
    <row r="108" spans="1:59" x14ac:dyDescent="0.2">
      <c r="A108" s="511" t="s">
        <v>45</v>
      </c>
      <c r="B108" s="694" t="s">
        <v>38</v>
      </c>
      <c r="C108" s="694"/>
      <c r="D108" s="694"/>
      <c r="E108" s="694"/>
      <c r="F108" s="694"/>
      <c r="G108" s="694"/>
      <c r="H108" s="694"/>
      <c r="I108" s="694"/>
      <c r="J108" s="694"/>
      <c r="K108" s="694"/>
      <c r="L108" s="694"/>
      <c r="M108" s="694"/>
      <c r="N108" s="694"/>
      <c r="O108" s="694"/>
      <c r="P108" s="694"/>
      <c r="Q108" s="694"/>
      <c r="R108" s="694"/>
      <c r="S108" s="694"/>
      <c r="T108" s="694"/>
      <c r="U108" s="694"/>
      <c r="V108" s="694"/>
      <c r="W108" s="694"/>
      <c r="X108" s="694"/>
      <c r="Y108" s="694"/>
      <c r="Z108" s="694"/>
      <c r="AA108" s="694"/>
      <c r="AB108" s="694"/>
      <c r="AC108" s="694"/>
      <c r="AE108" s="521"/>
      <c r="AF108" s="709"/>
      <c r="AG108" s="709"/>
      <c r="AH108" s="709"/>
      <c r="AI108" s="709"/>
      <c r="AJ108" s="709"/>
      <c r="AK108" s="709"/>
      <c r="AL108" s="709"/>
      <c r="AM108" s="709"/>
      <c r="AN108" s="709"/>
      <c r="AO108" s="709"/>
      <c r="AP108" s="709"/>
      <c r="AQ108" s="709"/>
      <c r="AR108" s="709"/>
      <c r="AS108" s="709"/>
      <c r="AT108" s="709"/>
      <c r="AU108" s="709"/>
      <c r="AV108" s="709"/>
      <c r="AW108" s="709"/>
      <c r="AX108" s="709"/>
      <c r="AY108" s="709"/>
      <c r="AZ108" s="709"/>
      <c r="BA108" s="709"/>
      <c r="BB108" s="709"/>
      <c r="BC108" s="709"/>
      <c r="BD108" s="709"/>
      <c r="BE108" s="709"/>
      <c r="BF108" s="709"/>
      <c r="BG108" s="709"/>
    </row>
    <row r="109" spans="1:59" x14ac:dyDescent="0.2">
      <c r="B109" s="694"/>
      <c r="C109" s="694"/>
      <c r="D109" s="694"/>
      <c r="E109" s="694"/>
      <c r="F109" s="694"/>
      <c r="G109" s="694"/>
      <c r="H109" s="694"/>
      <c r="I109" s="694"/>
      <c r="J109" s="694"/>
      <c r="K109" s="694"/>
      <c r="L109" s="694"/>
      <c r="M109" s="694"/>
      <c r="N109" s="694"/>
      <c r="O109" s="694"/>
      <c r="P109" s="694"/>
      <c r="Q109" s="694"/>
      <c r="R109" s="694"/>
      <c r="S109" s="694"/>
      <c r="T109" s="694"/>
      <c r="U109" s="694"/>
      <c r="V109" s="694"/>
      <c r="W109" s="694"/>
      <c r="X109" s="694"/>
      <c r="Y109" s="694"/>
      <c r="Z109" s="694"/>
      <c r="AA109" s="694"/>
      <c r="AB109" s="694"/>
      <c r="AC109" s="694"/>
      <c r="AE109" s="695" t="s">
        <v>649</v>
      </c>
      <c r="AF109" s="695"/>
      <c r="AG109" s="695"/>
      <c r="AH109" s="695"/>
      <c r="AI109" s="695"/>
      <c r="AJ109" s="695"/>
      <c r="AK109" s="695"/>
      <c r="AL109" s="695"/>
      <c r="AM109" s="695"/>
      <c r="AN109" s="695"/>
      <c r="AO109" s="695"/>
      <c r="AP109" s="695"/>
      <c r="AQ109" s="695"/>
      <c r="AR109" s="695"/>
      <c r="AS109" s="695"/>
      <c r="AT109" s="695"/>
      <c r="AU109" s="695"/>
      <c r="AV109" s="695"/>
      <c r="AW109" s="695"/>
      <c r="AX109" s="695"/>
      <c r="AY109" s="695"/>
      <c r="AZ109" s="695"/>
      <c r="BA109" s="695"/>
      <c r="BB109" s="695"/>
      <c r="BC109" s="695"/>
      <c r="BD109" s="695"/>
      <c r="BE109" s="695"/>
      <c r="BF109" s="695"/>
      <c r="BG109" s="695"/>
    </row>
    <row r="110" spans="1:59" ht="11.25" customHeight="1" x14ac:dyDescent="0.2">
      <c r="B110" s="694"/>
      <c r="C110" s="694"/>
      <c r="D110" s="694"/>
      <c r="E110" s="694"/>
      <c r="F110" s="694"/>
      <c r="G110" s="694"/>
      <c r="H110" s="694"/>
      <c r="I110" s="694"/>
      <c r="J110" s="694"/>
      <c r="K110" s="694"/>
      <c r="L110" s="694"/>
      <c r="M110" s="694"/>
      <c r="N110" s="694"/>
      <c r="O110" s="694"/>
      <c r="P110" s="694"/>
      <c r="Q110" s="694"/>
      <c r="R110" s="694"/>
      <c r="S110" s="694"/>
      <c r="T110" s="694"/>
      <c r="U110" s="694"/>
      <c r="V110" s="694"/>
      <c r="W110" s="694"/>
      <c r="X110" s="694"/>
      <c r="Y110" s="694"/>
      <c r="Z110" s="694"/>
      <c r="AA110" s="694"/>
      <c r="AB110" s="694"/>
      <c r="AC110" s="694"/>
      <c r="AE110" s="507"/>
      <c r="AF110" s="507"/>
      <c r="AG110" s="507"/>
      <c r="AH110" s="507"/>
      <c r="AI110" s="507"/>
      <c r="AJ110" s="507"/>
      <c r="AK110" s="507"/>
      <c r="AL110" s="507"/>
      <c r="AM110" s="507"/>
      <c r="AN110" s="507"/>
      <c r="AO110" s="507"/>
      <c r="AP110" s="507"/>
      <c r="AQ110" s="507"/>
      <c r="AR110" s="507"/>
      <c r="AS110" s="507"/>
      <c r="AT110" s="507"/>
      <c r="AU110" s="507"/>
      <c r="AV110" s="507"/>
      <c r="AW110" s="507"/>
      <c r="AX110" s="507"/>
      <c r="AY110" s="507"/>
      <c r="AZ110" s="507"/>
      <c r="BA110" s="507"/>
      <c r="BB110" s="507"/>
      <c r="BC110" s="507"/>
      <c r="BD110" s="507"/>
      <c r="BE110" s="507"/>
      <c r="BF110" s="507"/>
      <c r="BG110" s="507"/>
    </row>
    <row r="111" spans="1:59" x14ac:dyDescent="0.2">
      <c r="A111" s="511" t="s">
        <v>44</v>
      </c>
      <c r="B111" s="694" t="s">
        <v>642</v>
      </c>
      <c r="C111" s="694"/>
      <c r="D111" s="694"/>
      <c r="E111" s="694"/>
      <c r="F111" s="694"/>
      <c r="G111" s="694"/>
      <c r="H111" s="694"/>
      <c r="I111" s="694"/>
      <c r="J111" s="694"/>
      <c r="K111" s="694"/>
      <c r="L111" s="694"/>
      <c r="M111" s="694"/>
      <c r="N111" s="694"/>
      <c r="O111" s="694"/>
      <c r="P111" s="694"/>
      <c r="Q111" s="694"/>
      <c r="R111" s="694"/>
      <c r="S111" s="694"/>
      <c r="T111" s="694"/>
      <c r="U111" s="694"/>
      <c r="V111" s="694"/>
      <c r="W111" s="694"/>
      <c r="X111" s="694"/>
      <c r="Y111" s="694"/>
      <c r="Z111" s="694"/>
      <c r="AA111" s="694"/>
      <c r="AB111" s="694"/>
      <c r="AC111" s="694"/>
      <c r="AE111" s="509" t="s">
        <v>650</v>
      </c>
      <c r="AF111" s="694" t="str">
        <f>"Bu müqavilənin məqsədlərinin həyata keçirilməsi ilə bağlı tərəflər arasında yaranan bütün mübahisələr Azərbaycan Respublikasının qanunvericiliyi ilə tənzimlənir. Bu zaman tərəflər "&amp;"arasında yaranan mübahisələr qanunvericiliklə tənzim edilə bilmədikdə bu sahədə təşəkkül tapan və geniş tətbiq edilən işgüzar adətlər tətbiq edilir."</f>
        <v>Bu müqavilənin məqsədlərinin həyata keçirilməsi ilə bağlı tərəflər arasında yaranan bütün mübahisələr Azərbaycan Respublikasının qanunvericiliyi ilə tənzimlənir. Bu zaman tərəflər arasında yaranan mübahisələr qanunvericiliklə tənzim edilə bilmədikdə bu sahədə təşəkkül tapan və geniş tətbiq edilən işgüzar adətlər tətbiq edilir.</v>
      </c>
      <c r="AG111" s="694"/>
      <c r="AH111" s="694"/>
      <c r="AI111" s="694"/>
      <c r="AJ111" s="694"/>
      <c r="AK111" s="694"/>
      <c r="AL111" s="694"/>
      <c r="AM111" s="694"/>
      <c r="AN111" s="694"/>
      <c r="AO111" s="694"/>
      <c r="AP111" s="694"/>
      <c r="AQ111" s="694"/>
      <c r="AR111" s="694"/>
      <c r="AS111" s="694"/>
      <c r="AT111" s="694"/>
      <c r="AU111" s="694"/>
      <c r="AV111" s="694"/>
      <c r="AW111" s="694"/>
      <c r="AX111" s="694"/>
      <c r="AY111" s="694"/>
      <c r="AZ111" s="694"/>
      <c r="BA111" s="694"/>
      <c r="BB111" s="694"/>
      <c r="BC111" s="694"/>
      <c r="BD111" s="694"/>
      <c r="BE111" s="694"/>
      <c r="BF111" s="694"/>
      <c r="BG111" s="694"/>
    </row>
    <row r="112" spans="1:59" x14ac:dyDescent="0.2">
      <c r="A112" s="95"/>
      <c r="B112" s="694"/>
      <c r="C112" s="694"/>
      <c r="D112" s="694"/>
      <c r="E112" s="694"/>
      <c r="F112" s="694"/>
      <c r="G112" s="694"/>
      <c r="H112" s="694"/>
      <c r="I112" s="694"/>
      <c r="J112" s="694"/>
      <c r="K112" s="694"/>
      <c r="L112" s="694"/>
      <c r="M112" s="694"/>
      <c r="N112" s="694"/>
      <c r="O112" s="694"/>
      <c r="P112" s="694"/>
      <c r="Q112" s="694"/>
      <c r="R112" s="694"/>
      <c r="S112" s="694"/>
      <c r="T112" s="694"/>
      <c r="U112" s="694"/>
      <c r="V112" s="694"/>
      <c r="W112" s="694"/>
      <c r="X112" s="694"/>
      <c r="Y112" s="694"/>
      <c r="Z112" s="694"/>
      <c r="AA112" s="694"/>
      <c r="AB112" s="694"/>
      <c r="AC112" s="694"/>
      <c r="AE112" s="509"/>
      <c r="AF112" s="694"/>
      <c r="AG112" s="694"/>
      <c r="AH112" s="694"/>
      <c r="AI112" s="694"/>
      <c r="AJ112" s="694"/>
      <c r="AK112" s="694"/>
      <c r="AL112" s="694"/>
      <c r="AM112" s="694"/>
      <c r="AN112" s="694"/>
      <c r="AO112" s="694"/>
      <c r="AP112" s="694"/>
      <c r="AQ112" s="694"/>
      <c r="AR112" s="694"/>
      <c r="AS112" s="694"/>
      <c r="AT112" s="694"/>
      <c r="AU112" s="694"/>
      <c r="AV112" s="694"/>
      <c r="AW112" s="694"/>
      <c r="AX112" s="694"/>
      <c r="AY112" s="694"/>
      <c r="AZ112" s="694"/>
      <c r="BA112" s="694"/>
      <c r="BB112" s="694"/>
      <c r="BC112" s="694"/>
      <c r="BD112" s="694"/>
      <c r="BE112" s="694"/>
      <c r="BF112" s="694"/>
      <c r="BG112" s="694"/>
    </row>
    <row r="113" spans="1:59" x14ac:dyDescent="0.2">
      <c r="A113" s="511" t="s">
        <v>644</v>
      </c>
      <c r="B113" s="694" t="str">
        <f>"«Borc alan» iş və ya ev ünvanını, şəxsiyyət vəsiqəsi məlumatlarını və ya şəxsiyyət vəsiqəsini, məşğul olduğu fəaliyyət sahəsini və ya iş yerini dəyişdiyi hallarda 10 (on) gün müddətinə  «Borc verən»ə yazılı şəkildə məlumat v"&amp;"erməlidir. Müqavilənin  bu tələbinə riayət edilməməsinə görə, habelə «Borc alan»ın biznesinin mahiyyəti mühüm dərəcədə dəyişdikdə  «Borc verən»  vurulmuş ziyanın öd"&amp;"ənilməsi  tələbi ilə çıxış etməklə bərabər, müqaviləyə xitam verməklə əsas  borcu, hesablanmış faizləri və bu müqavilə üzrə digər ödənişləri qabaqcadan vaxtından əvvəl geri tə"&amp;"ləb etmək hüququna malikdir."</f>
        <v>«Borc alan» iş və ya ev ünvanını, şəxsiyyət vəsiqəsi məlumatlarını və ya şəxsiyyət vəsiqəsini, məşğul olduğu fəaliyyət sahəsini və ya iş yerini dəyişdiyi hallarda 10 (on) gün müddətinə  «Borc verən»ə yazılı şəkildə məlumat verməlidir. Müqavilənin  bu tələbinə riayət edilməməsinə görə, habelə «Borc alan»ın biznesinin mahiyyəti mühüm dərəcədə dəyişdikdə  «Borc verən»  vurulmuş ziyanın ödənilməsi  tələbi ilə çıxış etməklə bərabər, müqaviləyə xitam verməklə əsas  borcu, hesablanmış faizləri və bu müqavilə üzrə digər ödənişləri qabaqcadan vaxtından əvvəl geri tələb etmək hüququna malikdir.</v>
      </c>
      <c r="C113" s="694"/>
      <c r="D113" s="694"/>
      <c r="E113" s="694"/>
      <c r="F113" s="694"/>
      <c r="G113" s="694"/>
      <c r="H113" s="694"/>
      <c r="I113" s="694"/>
      <c r="J113" s="694"/>
      <c r="K113" s="694"/>
      <c r="L113" s="694"/>
      <c r="M113" s="694"/>
      <c r="N113" s="694"/>
      <c r="O113" s="694"/>
      <c r="P113" s="694"/>
      <c r="Q113" s="694"/>
      <c r="R113" s="694"/>
      <c r="S113" s="694"/>
      <c r="T113" s="694"/>
      <c r="U113" s="694"/>
      <c r="V113" s="694"/>
      <c r="W113" s="694"/>
      <c r="X113" s="694"/>
      <c r="Y113" s="694"/>
      <c r="Z113" s="694"/>
      <c r="AA113" s="694"/>
      <c r="AB113" s="694"/>
      <c r="AC113" s="694"/>
      <c r="AF113" s="694"/>
      <c r="AG113" s="694"/>
      <c r="AH113" s="694"/>
      <c r="AI113" s="694"/>
      <c r="AJ113" s="694"/>
      <c r="AK113" s="694"/>
      <c r="AL113" s="694"/>
      <c r="AM113" s="694"/>
      <c r="AN113" s="694"/>
      <c r="AO113" s="694"/>
      <c r="AP113" s="694"/>
      <c r="AQ113" s="694"/>
      <c r="AR113" s="694"/>
      <c r="AS113" s="694"/>
      <c r="AT113" s="694"/>
      <c r="AU113" s="694"/>
      <c r="AV113" s="694"/>
      <c r="AW113" s="694"/>
      <c r="AX113" s="694"/>
      <c r="AY113" s="694"/>
      <c r="AZ113" s="694"/>
      <c r="BA113" s="694"/>
      <c r="BB113" s="694"/>
      <c r="BC113" s="694"/>
      <c r="BD113" s="694"/>
      <c r="BE113" s="694"/>
      <c r="BF113" s="694"/>
      <c r="BG113" s="694"/>
    </row>
    <row r="114" spans="1:59" x14ac:dyDescent="0.2">
      <c r="B114" s="694"/>
      <c r="C114" s="694"/>
      <c r="D114" s="694"/>
      <c r="E114" s="694"/>
      <c r="F114" s="694"/>
      <c r="G114" s="694"/>
      <c r="H114" s="694"/>
      <c r="I114" s="694"/>
      <c r="J114" s="694"/>
      <c r="K114" s="694"/>
      <c r="L114" s="694"/>
      <c r="M114" s="694"/>
      <c r="N114" s="694"/>
      <c r="O114" s="694"/>
      <c r="P114" s="694"/>
      <c r="Q114" s="694"/>
      <c r="R114" s="694"/>
      <c r="S114" s="694"/>
      <c r="T114" s="694"/>
      <c r="U114" s="694"/>
      <c r="V114" s="694"/>
      <c r="W114" s="694"/>
      <c r="X114" s="694"/>
      <c r="Y114" s="694"/>
      <c r="Z114" s="694"/>
      <c r="AA114" s="694"/>
      <c r="AB114" s="694"/>
      <c r="AC114" s="694"/>
      <c r="AF114" s="694"/>
      <c r="AG114" s="694"/>
      <c r="AH114" s="694"/>
      <c r="AI114" s="694"/>
      <c r="AJ114" s="694"/>
      <c r="AK114" s="694"/>
      <c r="AL114" s="694"/>
      <c r="AM114" s="694"/>
      <c r="AN114" s="694"/>
      <c r="AO114" s="694"/>
      <c r="AP114" s="694"/>
      <c r="AQ114" s="694"/>
      <c r="AR114" s="694"/>
      <c r="AS114" s="694"/>
      <c r="AT114" s="694"/>
      <c r="AU114" s="694"/>
      <c r="AV114" s="694"/>
      <c r="AW114" s="694"/>
      <c r="AX114" s="694"/>
      <c r="AY114" s="694"/>
      <c r="AZ114" s="694"/>
      <c r="BA114" s="694"/>
      <c r="BB114" s="694"/>
      <c r="BC114" s="694"/>
      <c r="BD114" s="694"/>
      <c r="BE114" s="694"/>
      <c r="BF114" s="694"/>
      <c r="BG114" s="694"/>
    </row>
    <row r="115" spans="1:59" ht="11.25" customHeight="1" x14ac:dyDescent="0.2">
      <c r="B115" s="694"/>
      <c r="C115" s="694"/>
      <c r="D115" s="694"/>
      <c r="E115" s="694"/>
      <c r="F115" s="694"/>
      <c r="G115" s="694"/>
      <c r="H115" s="694"/>
      <c r="I115" s="694"/>
      <c r="J115" s="694"/>
      <c r="K115" s="694"/>
      <c r="L115" s="694"/>
      <c r="M115" s="694"/>
      <c r="N115" s="694"/>
      <c r="O115" s="694"/>
      <c r="P115" s="694"/>
      <c r="Q115" s="694"/>
      <c r="R115" s="694"/>
      <c r="S115" s="694"/>
      <c r="T115" s="694"/>
      <c r="U115" s="694"/>
      <c r="V115" s="694"/>
      <c r="W115" s="694"/>
      <c r="X115" s="694"/>
      <c r="Y115" s="694"/>
      <c r="Z115" s="694"/>
      <c r="AA115" s="694"/>
      <c r="AB115" s="694"/>
      <c r="AC115" s="694"/>
      <c r="AF115" s="694"/>
      <c r="AG115" s="694"/>
      <c r="AH115" s="694"/>
      <c r="AI115" s="694"/>
      <c r="AJ115" s="694"/>
      <c r="AK115" s="694"/>
      <c r="AL115" s="694"/>
      <c r="AM115" s="694"/>
      <c r="AN115" s="694"/>
      <c r="AO115" s="694"/>
      <c r="AP115" s="694"/>
      <c r="AQ115" s="694"/>
      <c r="AR115" s="694"/>
      <c r="AS115" s="694"/>
      <c r="AT115" s="694"/>
      <c r="AU115" s="694"/>
      <c r="AV115" s="694"/>
      <c r="AW115" s="694"/>
      <c r="AX115" s="694"/>
      <c r="AY115" s="694"/>
      <c r="AZ115" s="694"/>
      <c r="BA115" s="694"/>
      <c r="BB115" s="694"/>
      <c r="BC115" s="694"/>
      <c r="BD115" s="694"/>
      <c r="BE115" s="694"/>
      <c r="BF115" s="694"/>
      <c r="BG115" s="694"/>
    </row>
    <row r="116" spans="1:59" ht="11.25" customHeight="1" x14ac:dyDescent="0.2">
      <c r="B116" s="694"/>
      <c r="C116" s="694"/>
      <c r="D116" s="694"/>
      <c r="E116" s="694"/>
      <c r="F116" s="694"/>
      <c r="G116" s="694"/>
      <c r="H116" s="694"/>
      <c r="I116" s="694"/>
      <c r="J116" s="694"/>
      <c r="K116" s="694"/>
      <c r="L116" s="694"/>
      <c r="M116" s="694"/>
      <c r="N116" s="694"/>
      <c r="O116" s="694"/>
      <c r="P116" s="694"/>
      <c r="Q116" s="694"/>
      <c r="R116" s="694"/>
      <c r="S116" s="694"/>
      <c r="T116" s="694"/>
      <c r="U116" s="694"/>
      <c r="V116" s="694"/>
      <c r="W116" s="694"/>
      <c r="X116" s="694"/>
      <c r="Y116" s="694"/>
      <c r="Z116" s="694"/>
      <c r="AA116" s="694"/>
      <c r="AB116" s="694"/>
      <c r="AC116" s="694"/>
      <c r="AE116" s="509" t="s">
        <v>40</v>
      </c>
      <c r="AF116" s="694" t="str">
        <f>"Tərəflər arasında bu müqavilənin icrası ilə bağlı yarana biləcək hər hansı fikir ayrılığı tərəflərin qarşılıqlı razılığı əsasında, belə razılıq əldə edilmədikdə isə Azərbaycan "&amp;"Respublikasının qanunvericiliyinə müvafiq qaydada aidiyyatı məhkəmələr tərəfindən həll edilir."</f>
        <v>Tərəflər arasında bu müqavilənin icrası ilə bağlı yarana biləcək hər hansı fikir ayrılığı tərəflərin qarşılıqlı razılığı əsasında, belə razılıq əldə edilmədikdə isə Azərbaycan Respublikasının qanunvericiliyinə müvafiq qaydada aidiyyatı məhkəmələr tərəfindən həll edilir.</v>
      </c>
      <c r="AG116" s="694"/>
      <c r="AH116" s="694"/>
      <c r="AI116" s="694"/>
      <c r="AJ116" s="694"/>
      <c r="AK116" s="694"/>
      <c r="AL116" s="694"/>
      <c r="AM116" s="694"/>
      <c r="AN116" s="694"/>
      <c r="AO116" s="694"/>
      <c r="AP116" s="694"/>
      <c r="AQ116" s="694"/>
      <c r="AR116" s="694"/>
      <c r="AS116" s="694"/>
      <c r="AT116" s="694"/>
      <c r="AU116" s="694"/>
      <c r="AV116" s="694"/>
      <c r="AW116" s="694"/>
      <c r="AX116" s="694"/>
      <c r="AY116" s="694"/>
      <c r="AZ116" s="694"/>
      <c r="BA116" s="694"/>
      <c r="BB116" s="694"/>
      <c r="BC116" s="694"/>
      <c r="BD116" s="694"/>
      <c r="BE116" s="694"/>
      <c r="BF116" s="694"/>
      <c r="BG116" s="694"/>
    </row>
    <row r="117" spans="1:59" x14ac:dyDescent="0.2">
      <c r="B117" s="694"/>
      <c r="C117" s="694"/>
      <c r="D117" s="694"/>
      <c r="E117" s="694"/>
      <c r="F117" s="694"/>
      <c r="G117" s="694"/>
      <c r="H117" s="694"/>
      <c r="I117" s="694"/>
      <c r="J117" s="694"/>
      <c r="K117" s="694"/>
      <c r="L117" s="694"/>
      <c r="M117" s="694"/>
      <c r="N117" s="694"/>
      <c r="O117" s="694"/>
      <c r="P117" s="694"/>
      <c r="Q117" s="694"/>
      <c r="R117" s="694"/>
      <c r="S117" s="694"/>
      <c r="T117" s="694"/>
      <c r="U117" s="694"/>
      <c r="V117" s="694"/>
      <c r="W117" s="694"/>
      <c r="X117" s="694"/>
      <c r="Y117" s="694"/>
      <c r="Z117" s="694"/>
      <c r="AA117" s="694"/>
      <c r="AB117" s="694"/>
      <c r="AC117" s="694"/>
      <c r="AF117" s="694"/>
      <c r="AG117" s="694"/>
      <c r="AH117" s="694"/>
      <c r="AI117" s="694"/>
      <c r="AJ117" s="694"/>
      <c r="AK117" s="694"/>
      <c r="AL117" s="694"/>
      <c r="AM117" s="694"/>
      <c r="AN117" s="694"/>
      <c r="AO117" s="694"/>
      <c r="AP117" s="694"/>
      <c r="AQ117" s="694"/>
      <c r="AR117" s="694"/>
      <c r="AS117" s="694"/>
      <c r="AT117" s="694"/>
      <c r="AU117" s="694"/>
      <c r="AV117" s="694"/>
      <c r="AW117" s="694"/>
      <c r="AX117" s="694"/>
      <c r="AY117" s="694"/>
      <c r="AZ117" s="694"/>
      <c r="BA117" s="694"/>
      <c r="BB117" s="694"/>
      <c r="BC117" s="694"/>
      <c r="BD117" s="694"/>
      <c r="BE117" s="694"/>
      <c r="BF117" s="694"/>
      <c r="BG117" s="694"/>
    </row>
    <row r="118" spans="1:59" x14ac:dyDescent="0.2">
      <c r="B118" s="694"/>
      <c r="C118" s="694"/>
      <c r="D118" s="694"/>
      <c r="E118" s="694"/>
      <c r="F118" s="694"/>
      <c r="G118" s="694"/>
      <c r="H118" s="694"/>
      <c r="I118" s="694"/>
      <c r="J118" s="694"/>
      <c r="K118" s="694"/>
      <c r="L118" s="694"/>
      <c r="M118" s="694"/>
      <c r="N118" s="694"/>
      <c r="O118" s="694"/>
      <c r="P118" s="694"/>
      <c r="Q118" s="694"/>
      <c r="R118" s="694"/>
      <c r="S118" s="694"/>
      <c r="T118" s="694"/>
      <c r="U118" s="694"/>
      <c r="V118" s="694"/>
      <c r="W118" s="694"/>
      <c r="X118" s="694"/>
      <c r="Y118" s="694"/>
      <c r="Z118" s="694"/>
      <c r="AA118" s="694"/>
      <c r="AB118" s="694"/>
      <c r="AC118" s="694"/>
      <c r="AF118" s="694"/>
      <c r="AG118" s="694"/>
      <c r="AH118" s="694"/>
      <c r="AI118" s="694"/>
      <c r="AJ118" s="694"/>
      <c r="AK118" s="694"/>
      <c r="AL118" s="694"/>
      <c r="AM118" s="694"/>
      <c r="AN118" s="694"/>
      <c r="AO118" s="694"/>
      <c r="AP118" s="694"/>
      <c r="AQ118" s="694"/>
      <c r="AR118" s="694"/>
      <c r="AS118" s="694"/>
      <c r="AT118" s="694"/>
      <c r="AU118" s="694"/>
      <c r="AV118" s="694"/>
      <c r="AW118" s="694"/>
      <c r="AX118" s="694"/>
      <c r="AY118" s="694"/>
      <c r="AZ118" s="694"/>
      <c r="BA118" s="694"/>
      <c r="BB118" s="694"/>
      <c r="BC118" s="694"/>
      <c r="BD118" s="694"/>
      <c r="BE118" s="694"/>
      <c r="BF118" s="694"/>
      <c r="BG118" s="694"/>
    </row>
    <row r="119" spans="1:59" x14ac:dyDescent="0.2">
      <c r="B119" s="694"/>
      <c r="C119" s="694"/>
      <c r="D119" s="694"/>
      <c r="E119" s="694"/>
      <c r="F119" s="694"/>
      <c r="G119" s="694"/>
      <c r="H119" s="694"/>
      <c r="I119" s="694"/>
      <c r="J119" s="694"/>
      <c r="K119" s="694"/>
      <c r="L119" s="694"/>
      <c r="M119" s="694"/>
      <c r="N119" s="694"/>
      <c r="O119" s="694"/>
      <c r="P119" s="694"/>
      <c r="Q119" s="694"/>
      <c r="R119" s="694"/>
      <c r="S119" s="694"/>
      <c r="T119" s="694"/>
      <c r="U119" s="694"/>
      <c r="V119" s="694"/>
      <c r="W119" s="694"/>
      <c r="X119" s="694"/>
      <c r="Y119" s="694"/>
      <c r="Z119" s="694"/>
      <c r="AA119" s="694"/>
      <c r="AB119" s="694"/>
      <c r="AC119" s="694"/>
      <c r="AF119" s="694"/>
      <c r="AG119" s="694"/>
      <c r="AH119" s="694"/>
      <c r="AI119" s="694"/>
      <c r="AJ119" s="694"/>
      <c r="AK119" s="694"/>
      <c r="AL119" s="694"/>
      <c r="AM119" s="694"/>
      <c r="AN119" s="694"/>
      <c r="AO119" s="694"/>
      <c r="AP119" s="694"/>
      <c r="AQ119" s="694"/>
      <c r="AR119" s="694"/>
      <c r="AS119" s="694"/>
      <c r="AT119" s="694"/>
      <c r="AU119" s="694"/>
      <c r="AV119" s="694"/>
      <c r="AW119" s="694"/>
      <c r="AX119" s="694"/>
      <c r="AY119" s="694"/>
      <c r="AZ119" s="694"/>
      <c r="BA119" s="694"/>
      <c r="BB119" s="694"/>
      <c r="BC119" s="694"/>
      <c r="BD119" s="694"/>
      <c r="BE119" s="694"/>
      <c r="BF119" s="694"/>
      <c r="BG119" s="694"/>
    </row>
    <row r="120" spans="1:59" x14ac:dyDescent="0.2">
      <c r="B120" s="694"/>
      <c r="C120" s="694"/>
      <c r="D120" s="694"/>
      <c r="E120" s="694"/>
      <c r="F120" s="694"/>
      <c r="G120" s="694"/>
      <c r="H120" s="694"/>
      <c r="I120" s="694"/>
      <c r="J120" s="694"/>
      <c r="K120" s="694"/>
      <c r="L120" s="694"/>
      <c r="M120" s="694"/>
      <c r="N120" s="694"/>
      <c r="O120" s="694"/>
      <c r="P120" s="694"/>
      <c r="Q120" s="694"/>
      <c r="R120" s="694"/>
      <c r="S120" s="694"/>
      <c r="T120" s="694"/>
      <c r="U120" s="694"/>
      <c r="V120" s="694"/>
      <c r="W120" s="694"/>
      <c r="X120" s="694"/>
      <c r="Y120" s="694"/>
      <c r="Z120" s="694"/>
      <c r="AA120" s="694"/>
      <c r="AB120" s="694"/>
      <c r="AC120" s="694"/>
      <c r="AF120" s="694"/>
      <c r="AG120" s="694"/>
      <c r="AH120" s="694"/>
      <c r="AI120" s="694"/>
      <c r="AJ120" s="694"/>
      <c r="AK120" s="694"/>
      <c r="AL120" s="694"/>
      <c r="AM120" s="694"/>
      <c r="AN120" s="694"/>
      <c r="AO120" s="694"/>
      <c r="AP120" s="694"/>
      <c r="AQ120" s="694"/>
      <c r="AR120" s="694"/>
      <c r="AS120" s="694"/>
      <c r="AT120" s="694"/>
      <c r="AU120" s="694"/>
      <c r="AV120" s="694"/>
      <c r="AW120" s="694"/>
      <c r="AX120" s="694"/>
      <c r="AY120" s="694"/>
      <c r="AZ120" s="694"/>
      <c r="BA120" s="694"/>
      <c r="BB120" s="694"/>
      <c r="BC120" s="694"/>
      <c r="BD120" s="694"/>
      <c r="BE120" s="694"/>
      <c r="BF120" s="694"/>
      <c r="BG120" s="694"/>
    </row>
    <row r="121" spans="1:59" x14ac:dyDescent="0.2">
      <c r="B121" s="694"/>
      <c r="C121" s="694"/>
      <c r="D121" s="694"/>
      <c r="E121" s="694"/>
      <c r="F121" s="694"/>
      <c r="G121" s="694"/>
      <c r="H121" s="694"/>
      <c r="I121" s="694"/>
      <c r="J121" s="694"/>
      <c r="K121" s="694"/>
      <c r="L121" s="694"/>
      <c r="M121" s="694"/>
      <c r="N121" s="694"/>
      <c r="O121" s="694"/>
      <c r="P121" s="694"/>
      <c r="Q121" s="694"/>
      <c r="R121" s="694"/>
      <c r="S121" s="694"/>
      <c r="T121" s="694"/>
      <c r="U121" s="694"/>
      <c r="V121" s="694"/>
      <c r="W121" s="694"/>
      <c r="X121" s="694"/>
      <c r="Y121" s="694"/>
      <c r="Z121" s="694"/>
      <c r="AA121" s="694"/>
      <c r="AB121" s="694"/>
      <c r="AC121" s="694"/>
      <c r="AE121" s="695" t="s">
        <v>854</v>
      </c>
      <c r="AF121" s="695"/>
      <c r="AG121" s="695"/>
      <c r="AH121" s="695"/>
      <c r="AI121" s="695"/>
      <c r="AJ121" s="695"/>
      <c r="AK121" s="695"/>
      <c r="AL121" s="695"/>
      <c r="AM121" s="695"/>
      <c r="AN121" s="695"/>
      <c r="AO121" s="695"/>
      <c r="AP121" s="695"/>
      <c r="AQ121" s="695"/>
      <c r="AR121" s="695"/>
      <c r="AS121" s="695"/>
      <c r="AT121" s="695"/>
      <c r="AU121" s="695"/>
      <c r="AV121" s="695"/>
      <c r="AW121" s="695"/>
      <c r="AX121" s="695"/>
      <c r="AY121" s="695"/>
      <c r="AZ121" s="695"/>
      <c r="BA121" s="695"/>
      <c r="BB121" s="695"/>
      <c r="BC121" s="695"/>
      <c r="BD121" s="695"/>
      <c r="BE121" s="695"/>
      <c r="BF121" s="695"/>
      <c r="BG121" s="505"/>
    </row>
    <row r="122" spans="1:59" ht="14.25" customHeight="1" x14ac:dyDescent="0.2">
      <c r="A122" s="507" t="s">
        <v>645</v>
      </c>
      <c r="B122" s="694" t="s">
        <v>446</v>
      </c>
      <c r="C122" s="694"/>
      <c r="D122" s="694"/>
      <c r="E122" s="694"/>
      <c r="F122" s="694"/>
      <c r="G122" s="694"/>
      <c r="H122" s="694"/>
      <c r="I122" s="694"/>
      <c r="J122" s="694"/>
      <c r="K122" s="694"/>
      <c r="L122" s="694"/>
      <c r="M122" s="694"/>
      <c r="N122" s="694"/>
      <c r="O122" s="694"/>
      <c r="P122" s="694"/>
      <c r="Q122" s="694"/>
      <c r="R122" s="694"/>
      <c r="S122" s="694"/>
      <c r="T122" s="694"/>
      <c r="U122" s="694"/>
      <c r="V122" s="694"/>
      <c r="W122" s="694"/>
      <c r="X122" s="694"/>
      <c r="Y122" s="694"/>
      <c r="Z122" s="694"/>
      <c r="AA122" s="694"/>
      <c r="AB122" s="694"/>
      <c r="AC122" s="694"/>
      <c r="AE122" s="507"/>
      <c r="AF122" s="507"/>
      <c r="AG122" s="507"/>
      <c r="AH122" s="507"/>
      <c r="AI122" s="507"/>
      <c r="AJ122" s="507"/>
      <c r="AK122" s="507"/>
      <c r="AL122" s="507"/>
      <c r="AM122" s="507"/>
      <c r="AN122" s="507"/>
      <c r="AO122" s="507"/>
      <c r="AP122" s="507"/>
      <c r="AQ122" s="507"/>
      <c r="AR122" s="507"/>
      <c r="AS122" s="507"/>
      <c r="AT122" s="507"/>
      <c r="AU122" s="507"/>
      <c r="AV122" s="507"/>
      <c r="AW122" s="507"/>
      <c r="AX122" s="507"/>
      <c r="AY122" s="507"/>
      <c r="AZ122" s="507"/>
      <c r="BA122" s="507"/>
      <c r="BB122" s="507"/>
      <c r="BC122" s="507"/>
      <c r="BD122" s="507"/>
      <c r="BE122" s="507"/>
      <c r="BF122" s="507"/>
      <c r="BG122" s="505"/>
    </row>
    <row r="123" spans="1:59" x14ac:dyDescent="0.2">
      <c r="B123" s="694"/>
      <c r="C123" s="694"/>
      <c r="D123" s="694"/>
      <c r="E123" s="694"/>
      <c r="F123" s="694"/>
      <c r="G123" s="694"/>
      <c r="H123" s="694"/>
      <c r="I123" s="694"/>
      <c r="J123" s="694"/>
      <c r="K123" s="694"/>
      <c r="L123" s="694"/>
      <c r="M123" s="694"/>
      <c r="N123" s="694"/>
      <c r="O123" s="694"/>
      <c r="P123" s="694"/>
      <c r="Q123" s="694"/>
      <c r="R123" s="694"/>
      <c r="S123" s="694"/>
      <c r="T123" s="694"/>
      <c r="U123" s="694"/>
      <c r="V123" s="694"/>
      <c r="W123" s="694"/>
      <c r="X123" s="694"/>
      <c r="Y123" s="694"/>
      <c r="Z123" s="694"/>
      <c r="AA123" s="694"/>
      <c r="AB123" s="694"/>
      <c r="AC123" s="694"/>
      <c r="AE123" s="509" t="s">
        <v>855</v>
      </c>
      <c r="AF123" s="694" t="s">
        <v>447</v>
      </c>
      <c r="AG123" s="694"/>
      <c r="AH123" s="694"/>
      <c r="AI123" s="694"/>
      <c r="AJ123" s="694"/>
      <c r="AK123" s="694"/>
      <c r="AL123" s="694"/>
      <c r="AM123" s="694"/>
      <c r="AN123" s="694"/>
      <c r="AO123" s="694"/>
      <c r="AP123" s="694"/>
      <c r="AQ123" s="694"/>
      <c r="AR123" s="694"/>
      <c r="AS123" s="694"/>
      <c r="AT123" s="694"/>
      <c r="AU123" s="694"/>
      <c r="AV123" s="694"/>
      <c r="AW123" s="694"/>
      <c r="AX123" s="694"/>
      <c r="AY123" s="694"/>
      <c r="AZ123" s="694"/>
      <c r="BA123" s="694"/>
      <c r="BB123" s="694"/>
      <c r="BC123" s="694"/>
      <c r="BD123" s="694"/>
      <c r="BE123" s="694"/>
      <c r="BF123" s="694"/>
      <c r="BG123" s="694"/>
    </row>
    <row r="124" spans="1:59" x14ac:dyDescent="0.2">
      <c r="A124" s="507" t="s">
        <v>41</v>
      </c>
      <c r="B124" s="694" t="str">
        <f>"Tərəflər razılaşırlar ki, «Borc alan» tərəfindən yubatma və ya krediti qaytarmaqdan imtina ilə əlaqədar  «Borc verən» tərəfindən çəkilən  bütün xərclər «Borc alan» tərəfindən"&amp;" ödənilməlidir. Bu xərclərə məhkəməyə müraciət etmək üçün ödənilən dövlət rüsumu, nümayəndəlik xərcləri, o cümlədən  «Borc verən»in nümayəndəsi ilə bağlı olan ezamiyyə, nəqliyyat və digər xərclər, məhkəmə qərarlarının icrası ilə bağlı bütün "&amp;"xərclər, «Borc alan»la yazışmaya sərf edilən poçt xərcləri, tələbin müqavilə üzrə nəzərdə tutulan hər hansı bir təminata yönəldilməsi ilə ə"&amp;"laqədar meydana çıxan bütün xərclər də daxildir, lakin xərclər bununla məhdudlaşmır."</f>
        <v>Tərəflər razılaşırlar ki, «Borc alan» tərəfindən yubatma və ya krediti qaytarmaqdan imtina ilə əlaqədar  «Borc verən» tərəfindən çəkilən  bütün xərclər «Borc alan» tərəfindən ödənilməlidir. Bu xərclərə məhkəməyə müraciət etmək üçün ödənilən dövlət rüsumu, nümayəndəlik xərcləri, o cümlədən  «Borc verən»in nümayəndəsi ilə bağlı olan ezamiyyə, nəqliyyat və digər xərclər, məhkəmə qərarlarının icrası ilə bağlı bütün xərclər, «Borc alan»la yazışmaya sərf edilən poçt xərcləri, tələbin müqavilə üzrə nəzərdə tutulan hər hansı bir təminata yönəldilməsi ilə əlaqədar meydana çıxan bütün xərclər də daxildir, lakin xərclər bununla məhdudlaşmır.</v>
      </c>
      <c r="C124" s="694"/>
      <c r="D124" s="694"/>
      <c r="E124" s="694"/>
      <c r="F124" s="694"/>
      <c r="G124" s="694"/>
      <c r="H124" s="694"/>
      <c r="I124" s="694"/>
      <c r="J124" s="694"/>
      <c r="K124" s="694"/>
      <c r="L124" s="694"/>
      <c r="M124" s="694"/>
      <c r="N124" s="694"/>
      <c r="O124" s="694"/>
      <c r="P124" s="694"/>
      <c r="Q124" s="694"/>
      <c r="R124" s="694"/>
      <c r="S124" s="694"/>
      <c r="T124" s="694"/>
      <c r="U124" s="694"/>
      <c r="V124" s="694"/>
      <c r="W124" s="694"/>
      <c r="X124" s="694"/>
      <c r="Y124" s="694"/>
      <c r="Z124" s="694"/>
      <c r="AA124" s="694"/>
      <c r="AB124" s="694"/>
      <c r="AC124" s="694"/>
      <c r="AF124" s="694"/>
      <c r="AG124" s="694"/>
      <c r="AH124" s="694"/>
      <c r="AI124" s="694"/>
      <c r="AJ124" s="694"/>
      <c r="AK124" s="694"/>
      <c r="AL124" s="694"/>
      <c r="AM124" s="694"/>
      <c r="AN124" s="694"/>
      <c r="AO124" s="694"/>
      <c r="AP124" s="694"/>
      <c r="AQ124" s="694"/>
      <c r="AR124" s="694"/>
      <c r="AS124" s="694"/>
      <c r="AT124" s="694"/>
      <c r="AU124" s="694"/>
      <c r="AV124" s="694"/>
      <c r="AW124" s="694"/>
      <c r="AX124" s="694"/>
      <c r="AY124" s="694"/>
      <c r="AZ124" s="694"/>
      <c r="BA124" s="694"/>
      <c r="BB124" s="694"/>
      <c r="BC124" s="694"/>
      <c r="BD124" s="694"/>
      <c r="BE124" s="694"/>
      <c r="BF124" s="694"/>
      <c r="BG124" s="694"/>
    </row>
    <row r="125" spans="1:59" x14ac:dyDescent="0.2">
      <c r="B125" s="694"/>
      <c r="C125" s="694"/>
      <c r="D125" s="694"/>
      <c r="E125" s="694"/>
      <c r="F125" s="694"/>
      <c r="G125" s="694"/>
      <c r="H125" s="694"/>
      <c r="I125" s="694"/>
      <c r="J125" s="694"/>
      <c r="K125" s="694"/>
      <c r="L125" s="694"/>
      <c r="M125" s="694"/>
      <c r="N125" s="694"/>
      <c r="O125" s="694"/>
      <c r="P125" s="694"/>
      <c r="Q125" s="694"/>
      <c r="R125" s="694"/>
      <c r="S125" s="694"/>
      <c r="T125" s="694"/>
      <c r="U125" s="694"/>
      <c r="V125" s="694"/>
      <c r="W125" s="694"/>
      <c r="X125" s="694"/>
      <c r="Y125" s="694"/>
      <c r="Z125" s="694"/>
      <c r="AA125" s="694"/>
      <c r="AB125" s="694"/>
      <c r="AC125" s="694"/>
      <c r="AE125" s="95"/>
      <c r="AF125" s="694"/>
      <c r="AG125" s="694"/>
      <c r="AH125" s="694"/>
      <c r="AI125" s="694"/>
      <c r="AJ125" s="694"/>
      <c r="AK125" s="694"/>
      <c r="AL125" s="694"/>
      <c r="AM125" s="694"/>
      <c r="AN125" s="694"/>
      <c r="AO125" s="694"/>
      <c r="AP125" s="694"/>
      <c r="AQ125" s="694"/>
      <c r="AR125" s="694"/>
      <c r="AS125" s="694"/>
      <c r="AT125" s="694"/>
      <c r="AU125" s="694"/>
      <c r="AV125" s="694"/>
      <c r="AW125" s="694"/>
      <c r="AX125" s="694"/>
      <c r="AY125" s="694"/>
      <c r="AZ125" s="694"/>
      <c r="BA125" s="694"/>
      <c r="BB125" s="694"/>
      <c r="BC125" s="694"/>
      <c r="BD125" s="694"/>
      <c r="BE125" s="694"/>
      <c r="BF125" s="694"/>
      <c r="BG125" s="694"/>
    </row>
    <row r="126" spans="1:59" x14ac:dyDescent="0.2">
      <c r="B126" s="694"/>
      <c r="C126" s="694"/>
      <c r="D126" s="694"/>
      <c r="E126" s="694"/>
      <c r="F126" s="694"/>
      <c r="G126" s="694"/>
      <c r="H126" s="694"/>
      <c r="I126" s="694"/>
      <c r="J126" s="694"/>
      <c r="K126" s="694"/>
      <c r="L126" s="694"/>
      <c r="M126" s="694"/>
      <c r="N126" s="694"/>
      <c r="O126" s="694"/>
      <c r="P126" s="694"/>
      <c r="Q126" s="694"/>
      <c r="R126" s="694"/>
      <c r="S126" s="694"/>
      <c r="T126" s="694"/>
      <c r="U126" s="694"/>
      <c r="V126" s="694"/>
      <c r="W126" s="694"/>
      <c r="X126" s="694"/>
      <c r="Y126" s="694"/>
      <c r="Z126" s="694"/>
      <c r="AA126" s="694"/>
      <c r="AB126" s="694"/>
      <c r="AC126" s="694"/>
      <c r="AE126" s="509" t="s">
        <v>856</v>
      </c>
      <c r="AF126" s="694" t="s">
        <v>36</v>
      </c>
      <c r="AG126" s="694"/>
      <c r="AH126" s="694"/>
      <c r="AI126" s="694"/>
      <c r="AJ126" s="694"/>
      <c r="AK126" s="694"/>
      <c r="AL126" s="694"/>
      <c r="AM126" s="694"/>
      <c r="AN126" s="694"/>
      <c r="AO126" s="694"/>
      <c r="AP126" s="694"/>
      <c r="AQ126" s="694"/>
      <c r="AR126" s="694"/>
      <c r="AS126" s="694"/>
      <c r="AT126" s="694"/>
      <c r="AU126" s="694"/>
      <c r="AV126" s="694"/>
      <c r="AW126" s="694"/>
      <c r="AX126" s="694"/>
      <c r="AY126" s="694"/>
      <c r="AZ126" s="694"/>
      <c r="BA126" s="694"/>
      <c r="BB126" s="694"/>
      <c r="BC126" s="694"/>
      <c r="BD126" s="694"/>
      <c r="BE126" s="694"/>
      <c r="BF126" s="694"/>
      <c r="BG126" s="694"/>
    </row>
    <row r="127" spans="1:59" ht="11.25" customHeight="1" x14ac:dyDescent="0.2">
      <c r="B127" s="694"/>
      <c r="C127" s="694"/>
      <c r="D127" s="694"/>
      <c r="E127" s="694"/>
      <c r="F127" s="694"/>
      <c r="G127" s="694"/>
      <c r="H127" s="694"/>
      <c r="I127" s="694"/>
      <c r="J127" s="694"/>
      <c r="K127" s="694"/>
      <c r="L127" s="694"/>
      <c r="M127" s="694"/>
      <c r="N127" s="694"/>
      <c r="O127" s="694"/>
      <c r="P127" s="694"/>
      <c r="Q127" s="694"/>
      <c r="R127" s="694"/>
      <c r="S127" s="694"/>
      <c r="T127" s="694"/>
      <c r="U127" s="694"/>
      <c r="V127" s="694"/>
      <c r="W127" s="694"/>
      <c r="X127" s="694"/>
      <c r="Y127" s="694"/>
      <c r="Z127" s="694"/>
      <c r="AA127" s="694"/>
      <c r="AB127" s="694"/>
      <c r="AC127" s="694"/>
      <c r="AE127" s="509"/>
      <c r="AF127" s="694"/>
      <c r="AG127" s="694"/>
      <c r="AH127" s="694"/>
      <c r="AI127" s="694"/>
      <c r="AJ127" s="694"/>
      <c r="AK127" s="694"/>
      <c r="AL127" s="694"/>
      <c r="AM127" s="694"/>
      <c r="AN127" s="694"/>
      <c r="AO127" s="694"/>
      <c r="AP127" s="694"/>
      <c r="AQ127" s="694"/>
      <c r="AR127" s="694"/>
      <c r="AS127" s="694"/>
      <c r="AT127" s="694"/>
      <c r="AU127" s="694"/>
      <c r="AV127" s="694"/>
      <c r="AW127" s="694"/>
      <c r="AX127" s="694"/>
      <c r="AY127" s="694"/>
      <c r="AZ127" s="694"/>
      <c r="BA127" s="694"/>
      <c r="BB127" s="694"/>
      <c r="BC127" s="694"/>
      <c r="BD127" s="694"/>
      <c r="BE127" s="694"/>
      <c r="BF127" s="694"/>
      <c r="BG127" s="694"/>
    </row>
    <row r="128" spans="1:59" x14ac:dyDescent="0.2">
      <c r="B128" s="694"/>
      <c r="C128" s="694"/>
      <c r="D128" s="694"/>
      <c r="E128" s="694"/>
      <c r="F128" s="694"/>
      <c r="G128" s="694"/>
      <c r="H128" s="694"/>
      <c r="I128" s="694"/>
      <c r="J128" s="694"/>
      <c r="K128" s="694"/>
      <c r="L128" s="694"/>
      <c r="M128" s="694"/>
      <c r="N128" s="694"/>
      <c r="O128" s="694"/>
      <c r="P128" s="694"/>
      <c r="Q128" s="694"/>
      <c r="R128" s="694"/>
      <c r="S128" s="694"/>
      <c r="T128" s="694"/>
      <c r="U128" s="694"/>
      <c r="V128" s="694"/>
      <c r="W128" s="694"/>
      <c r="X128" s="694"/>
      <c r="Y128" s="694"/>
      <c r="Z128" s="694"/>
      <c r="AA128" s="694"/>
      <c r="AB128" s="694"/>
      <c r="AC128" s="694"/>
      <c r="AF128" s="694"/>
      <c r="AG128" s="694"/>
      <c r="AH128" s="694"/>
      <c r="AI128" s="694"/>
      <c r="AJ128" s="694"/>
      <c r="AK128" s="694"/>
      <c r="AL128" s="694"/>
      <c r="AM128" s="694"/>
      <c r="AN128" s="694"/>
      <c r="AO128" s="694"/>
      <c r="AP128" s="694"/>
      <c r="AQ128" s="694"/>
      <c r="AR128" s="694"/>
      <c r="AS128" s="694"/>
      <c r="AT128" s="694"/>
      <c r="AU128" s="694"/>
      <c r="AV128" s="694"/>
      <c r="AW128" s="694"/>
      <c r="AX128" s="694"/>
      <c r="AY128" s="694"/>
      <c r="AZ128" s="694"/>
      <c r="BA128" s="694"/>
      <c r="BB128" s="694"/>
      <c r="BC128" s="694"/>
      <c r="BD128" s="694"/>
      <c r="BE128" s="694"/>
      <c r="BF128" s="694"/>
      <c r="BG128" s="694"/>
    </row>
    <row r="129" spans="1:59" x14ac:dyDescent="0.2">
      <c r="B129" s="694"/>
      <c r="C129" s="694"/>
      <c r="D129" s="694"/>
      <c r="E129" s="694"/>
      <c r="F129" s="694"/>
      <c r="G129" s="694"/>
      <c r="H129" s="694"/>
      <c r="I129" s="694"/>
      <c r="J129" s="694"/>
      <c r="K129" s="694"/>
      <c r="L129" s="694"/>
      <c r="M129" s="694"/>
      <c r="N129" s="694"/>
      <c r="O129" s="694"/>
      <c r="P129" s="694"/>
      <c r="Q129" s="694"/>
      <c r="R129" s="694"/>
      <c r="S129" s="694"/>
      <c r="T129" s="694"/>
      <c r="U129" s="694"/>
      <c r="V129" s="694"/>
      <c r="W129" s="694"/>
      <c r="X129" s="694"/>
      <c r="Y129" s="694"/>
      <c r="Z129" s="694"/>
      <c r="AA129" s="694"/>
      <c r="AB129" s="694"/>
      <c r="AC129" s="694"/>
      <c r="AF129" s="694"/>
      <c r="AG129" s="694"/>
      <c r="AH129" s="694"/>
      <c r="AI129" s="694"/>
      <c r="AJ129" s="694"/>
      <c r="AK129" s="694"/>
      <c r="AL129" s="694"/>
      <c r="AM129" s="694"/>
      <c r="AN129" s="694"/>
      <c r="AO129" s="694"/>
      <c r="AP129" s="694"/>
      <c r="AQ129" s="694"/>
      <c r="AR129" s="694"/>
      <c r="AS129" s="694"/>
      <c r="AT129" s="694"/>
      <c r="AU129" s="694"/>
      <c r="AV129" s="694"/>
      <c r="AW129" s="694"/>
      <c r="AX129" s="694"/>
      <c r="AY129" s="694"/>
      <c r="AZ129" s="694"/>
      <c r="BA129" s="694"/>
      <c r="BB129" s="694"/>
      <c r="BC129" s="694"/>
      <c r="BD129" s="694"/>
      <c r="BE129" s="694"/>
      <c r="BF129" s="694"/>
      <c r="BG129" s="694"/>
    </row>
    <row r="130" spans="1:59" ht="11.25" customHeight="1" x14ac:dyDescent="0.2">
      <c r="B130" s="694"/>
      <c r="C130" s="694"/>
      <c r="D130" s="694"/>
      <c r="E130" s="694"/>
      <c r="F130" s="694"/>
      <c r="G130" s="694"/>
      <c r="H130" s="694"/>
      <c r="I130" s="694"/>
      <c r="J130" s="694"/>
      <c r="K130" s="694"/>
      <c r="L130" s="694"/>
      <c r="M130" s="694"/>
      <c r="N130" s="694"/>
      <c r="O130" s="694"/>
      <c r="P130" s="694"/>
      <c r="Q130" s="694"/>
      <c r="R130" s="694"/>
      <c r="S130" s="694"/>
      <c r="T130" s="694"/>
      <c r="U130" s="694"/>
      <c r="V130" s="694"/>
      <c r="W130" s="694"/>
      <c r="X130" s="694"/>
      <c r="Y130" s="694"/>
      <c r="Z130" s="694"/>
      <c r="AA130" s="694"/>
      <c r="AB130" s="694"/>
      <c r="AC130" s="694"/>
      <c r="AE130" s="92" t="s">
        <v>857</v>
      </c>
      <c r="AF130" s="694" t="s">
        <v>417</v>
      </c>
      <c r="AG130" s="694"/>
      <c r="AH130" s="694"/>
      <c r="AI130" s="694"/>
      <c r="AJ130" s="694"/>
      <c r="AK130" s="694"/>
      <c r="AL130" s="694"/>
      <c r="AM130" s="694"/>
      <c r="AN130" s="694"/>
      <c r="AO130" s="694"/>
      <c r="AP130" s="694"/>
      <c r="AQ130" s="694"/>
      <c r="AR130" s="694"/>
      <c r="AS130" s="694"/>
      <c r="AT130" s="694"/>
      <c r="AU130" s="694"/>
      <c r="AV130" s="694"/>
      <c r="AW130" s="694"/>
      <c r="AX130" s="694"/>
      <c r="AY130" s="694"/>
      <c r="AZ130" s="694"/>
      <c r="BA130" s="694"/>
      <c r="BB130" s="694"/>
      <c r="BC130" s="694"/>
      <c r="BD130" s="694"/>
      <c r="BE130" s="694"/>
      <c r="BF130" s="694"/>
      <c r="BG130" s="694"/>
    </row>
    <row r="131" spans="1:59" x14ac:dyDescent="0.2">
      <c r="B131" s="694"/>
      <c r="C131" s="694"/>
      <c r="D131" s="694"/>
      <c r="E131" s="694"/>
      <c r="F131" s="694"/>
      <c r="G131" s="694"/>
      <c r="H131" s="694"/>
      <c r="I131" s="694"/>
      <c r="J131" s="694"/>
      <c r="K131" s="694"/>
      <c r="L131" s="694"/>
      <c r="M131" s="694"/>
      <c r="N131" s="694"/>
      <c r="O131" s="694"/>
      <c r="P131" s="694"/>
      <c r="Q131" s="694"/>
      <c r="R131" s="694"/>
      <c r="S131" s="694"/>
      <c r="T131" s="694"/>
      <c r="U131" s="694"/>
      <c r="V131" s="694"/>
      <c r="W131" s="694"/>
      <c r="X131" s="694"/>
      <c r="Y131" s="694"/>
      <c r="Z131" s="694"/>
      <c r="AA131" s="694"/>
      <c r="AB131" s="694"/>
      <c r="AC131" s="694"/>
      <c r="AE131" s="92"/>
      <c r="AF131" s="694"/>
      <c r="AG131" s="694"/>
      <c r="AH131" s="694"/>
      <c r="AI131" s="694"/>
      <c r="AJ131" s="694"/>
      <c r="AK131" s="694"/>
      <c r="AL131" s="694"/>
      <c r="AM131" s="694"/>
      <c r="AN131" s="694"/>
      <c r="AO131" s="694"/>
      <c r="AP131" s="694"/>
      <c r="AQ131" s="694"/>
      <c r="AR131" s="694"/>
      <c r="AS131" s="694"/>
      <c r="AT131" s="694"/>
      <c r="AU131" s="694"/>
      <c r="AV131" s="694"/>
      <c r="AW131" s="694"/>
      <c r="AX131" s="694"/>
      <c r="AY131" s="694"/>
      <c r="AZ131" s="694"/>
      <c r="BA131" s="694"/>
      <c r="BB131" s="694"/>
      <c r="BC131" s="694"/>
      <c r="BD131" s="694"/>
      <c r="BE131" s="694"/>
      <c r="BF131" s="694"/>
      <c r="BG131" s="694"/>
    </row>
    <row r="132" spans="1:59" x14ac:dyDescent="0.2">
      <c r="B132" s="694"/>
      <c r="C132" s="694"/>
      <c r="D132" s="694"/>
      <c r="E132" s="694"/>
      <c r="F132" s="694"/>
      <c r="G132" s="694"/>
      <c r="H132" s="694"/>
      <c r="I132" s="694"/>
      <c r="J132" s="694"/>
      <c r="K132" s="694"/>
      <c r="L132" s="694"/>
      <c r="M132" s="694"/>
      <c r="N132" s="694"/>
      <c r="O132" s="694"/>
      <c r="P132" s="694"/>
      <c r="Q132" s="694"/>
      <c r="R132" s="694"/>
      <c r="S132" s="694"/>
      <c r="T132" s="694"/>
      <c r="U132" s="694"/>
      <c r="V132" s="694"/>
      <c r="W132" s="694"/>
      <c r="X132" s="694"/>
      <c r="Y132" s="694"/>
      <c r="Z132" s="694"/>
      <c r="AA132" s="694"/>
      <c r="AB132" s="694"/>
      <c r="AC132" s="694"/>
      <c r="AF132" s="694"/>
      <c r="AG132" s="694"/>
      <c r="AH132" s="694"/>
      <c r="AI132" s="694"/>
      <c r="AJ132" s="694"/>
      <c r="AK132" s="694"/>
      <c r="AL132" s="694"/>
      <c r="AM132" s="694"/>
      <c r="AN132" s="694"/>
      <c r="AO132" s="694"/>
      <c r="AP132" s="694"/>
      <c r="AQ132" s="694"/>
      <c r="AR132" s="694"/>
      <c r="AS132" s="694"/>
      <c r="AT132" s="694"/>
      <c r="AU132" s="694"/>
      <c r="AV132" s="694"/>
      <c r="AW132" s="694"/>
      <c r="AX132" s="694"/>
      <c r="AY132" s="694"/>
      <c r="AZ132" s="694"/>
      <c r="BA132" s="694"/>
      <c r="BB132" s="694"/>
      <c r="BC132" s="694"/>
      <c r="BD132" s="694"/>
      <c r="BE132" s="694"/>
      <c r="BF132" s="694"/>
      <c r="BG132" s="694"/>
    </row>
    <row r="133" spans="1:59" x14ac:dyDescent="0.2">
      <c r="AD133" s="87"/>
      <c r="AF133" s="694"/>
      <c r="AG133" s="694"/>
      <c r="AH133" s="694"/>
      <c r="AI133" s="694"/>
      <c r="AJ133" s="694"/>
      <c r="AK133" s="694"/>
      <c r="AL133" s="694"/>
      <c r="AM133" s="694"/>
      <c r="AN133" s="694"/>
      <c r="AO133" s="694"/>
      <c r="AP133" s="694"/>
      <c r="AQ133" s="694"/>
      <c r="AR133" s="694"/>
      <c r="AS133" s="694"/>
      <c r="AT133" s="694"/>
      <c r="AU133" s="694"/>
      <c r="AV133" s="694"/>
      <c r="AW133" s="694"/>
      <c r="AX133" s="694"/>
      <c r="AY133" s="694"/>
      <c r="AZ133" s="694"/>
      <c r="BA133" s="694"/>
      <c r="BB133" s="694"/>
      <c r="BC133" s="694"/>
      <c r="BD133" s="694"/>
      <c r="BE133" s="694"/>
      <c r="BF133" s="694"/>
      <c r="BG133" s="694"/>
    </row>
    <row r="134" spans="1:59" ht="11.25" customHeight="1" x14ac:dyDescent="0.2">
      <c r="AD134" s="87"/>
      <c r="AF134" s="519"/>
      <c r="AG134" s="519"/>
    </row>
    <row r="135" spans="1:59" ht="11.25" customHeight="1" x14ac:dyDescent="0.2">
      <c r="A135" s="720" t="s">
        <v>35</v>
      </c>
      <c r="B135" s="720"/>
      <c r="C135" s="720"/>
      <c r="D135" s="720"/>
      <c r="E135" s="720"/>
      <c r="F135" s="720"/>
      <c r="G135" s="720"/>
      <c r="H135" s="720"/>
      <c r="I135" s="720"/>
      <c r="J135" s="720"/>
      <c r="K135" s="720"/>
      <c r="L135" s="720"/>
      <c r="M135" s="720"/>
      <c r="N135" s="720"/>
      <c r="O135" s="720"/>
      <c r="P135" s="720"/>
      <c r="Q135" s="720"/>
      <c r="R135" s="720"/>
      <c r="S135" s="720"/>
      <c r="T135" s="720"/>
      <c r="U135" s="720"/>
      <c r="V135" s="720"/>
      <c r="W135" s="720"/>
      <c r="X135" s="720"/>
      <c r="Y135" s="720"/>
      <c r="Z135" s="720"/>
      <c r="AA135" s="720"/>
      <c r="AB135" s="720"/>
      <c r="AC135" s="720"/>
      <c r="AD135" s="720"/>
      <c r="AE135" s="720"/>
      <c r="AF135" s="720"/>
      <c r="AG135" s="720"/>
      <c r="AH135" s="720"/>
      <c r="AI135" s="720"/>
      <c r="AJ135" s="720"/>
      <c r="AK135" s="720"/>
      <c r="AL135" s="720"/>
      <c r="AM135" s="720"/>
      <c r="AN135" s="720"/>
      <c r="AO135" s="720"/>
      <c r="AP135" s="720"/>
      <c r="AQ135" s="720"/>
      <c r="AR135" s="720"/>
      <c r="AS135" s="720"/>
      <c r="AT135" s="720"/>
      <c r="AU135" s="720"/>
      <c r="AV135" s="720"/>
      <c r="AW135" s="720"/>
      <c r="AX135" s="720"/>
      <c r="AY135" s="720"/>
      <c r="AZ135" s="720"/>
      <c r="BA135" s="720"/>
      <c r="BB135" s="720"/>
      <c r="BC135" s="720"/>
      <c r="BD135" s="720"/>
      <c r="BE135" s="720"/>
      <c r="BF135" s="720"/>
      <c r="BG135" s="720"/>
    </row>
    <row r="136" spans="1:59" x14ac:dyDescent="0.2">
      <c r="A136" s="522"/>
      <c r="B136" s="522"/>
      <c r="C136" s="522"/>
      <c r="D136" s="522"/>
      <c r="E136" s="522"/>
      <c r="F136" s="522"/>
      <c r="G136" s="522"/>
      <c r="H136" s="522"/>
      <c r="I136" s="522"/>
      <c r="J136" s="522"/>
      <c r="K136" s="522"/>
      <c r="L136" s="522"/>
      <c r="M136" s="522"/>
      <c r="N136" s="522"/>
      <c r="O136" s="522"/>
      <c r="P136" s="522"/>
      <c r="Q136" s="522"/>
      <c r="R136" s="522"/>
      <c r="S136" s="522"/>
      <c r="T136" s="522"/>
      <c r="U136" s="522"/>
      <c r="V136" s="522"/>
      <c r="W136" s="522"/>
      <c r="X136" s="522"/>
      <c r="Y136" s="522"/>
      <c r="Z136" s="522"/>
      <c r="AA136" s="522"/>
      <c r="AB136" s="522"/>
      <c r="AC136" s="522"/>
      <c r="AD136" s="522"/>
      <c r="AE136" s="522"/>
      <c r="AF136" s="522"/>
      <c r="AG136" s="522"/>
      <c r="AH136" s="522"/>
      <c r="AI136" s="522"/>
      <c r="AJ136" s="522"/>
      <c r="AK136" s="522"/>
      <c r="AL136" s="522"/>
      <c r="AM136" s="522"/>
      <c r="AN136" s="522"/>
      <c r="AO136" s="522"/>
      <c r="AP136" s="522"/>
      <c r="AQ136" s="522"/>
      <c r="AR136" s="522"/>
      <c r="AS136" s="522"/>
      <c r="AT136" s="522"/>
      <c r="AU136" s="522"/>
      <c r="AV136" s="522"/>
      <c r="AW136" s="522"/>
      <c r="AX136" s="522"/>
      <c r="AY136" s="522"/>
      <c r="AZ136" s="522"/>
      <c r="BA136" s="522"/>
      <c r="BB136" s="522"/>
      <c r="BC136" s="522"/>
      <c r="BD136" s="522"/>
      <c r="BE136" s="522"/>
      <c r="BF136" s="522"/>
      <c r="BG136" s="522"/>
    </row>
    <row r="137" spans="1:59" x14ac:dyDescent="0.2">
      <c r="A137" s="721" t="s">
        <v>867</v>
      </c>
      <c r="B137" s="722"/>
      <c r="C137" s="722"/>
      <c r="D137" s="722"/>
      <c r="E137" s="722"/>
      <c r="F137" s="722"/>
      <c r="G137" s="722"/>
      <c r="H137" s="722"/>
      <c r="I137" s="722"/>
      <c r="J137" s="722"/>
      <c r="K137" s="722"/>
      <c r="L137" s="722"/>
      <c r="M137" s="722"/>
      <c r="N137" s="722"/>
      <c r="O137" s="722"/>
      <c r="P137" s="722"/>
      <c r="Q137" s="722"/>
      <c r="R137" s="722"/>
      <c r="S137" s="722"/>
      <c r="T137" s="722"/>
      <c r="U137" s="722"/>
      <c r="V137" s="722"/>
      <c r="W137" s="722"/>
      <c r="X137" s="722"/>
      <c r="Y137" s="722"/>
      <c r="Z137" s="722"/>
      <c r="AA137" s="722"/>
      <c r="AB137" s="722"/>
      <c r="AC137" s="722"/>
      <c r="AD137" s="723"/>
      <c r="AE137" s="721" t="s">
        <v>861</v>
      </c>
      <c r="AF137" s="722"/>
      <c r="AG137" s="722"/>
      <c r="AH137" s="722"/>
      <c r="AI137" s="722"/>
      <c r="AJ137" s="722"/>
      <c r="AK137" s="722"/>
      <c r="AL137" s="722"/>
      <c r="AM137" s="722"/>
      <c r="AN137" s="722"/>
      <c r="AO137" s="722"/>
      <c r="AP137" s="722"/>
      <c r="AQ137" s="722"/>
      <c r="AR137" s="722"/>
      <c r="AS137" s="722"/>
      <c r="AT137" s="722"/>
      <c r="AU137" s="722"/>
      <c r="AV137" s="722"/>
      <c r="AW137" s="722"/>
      <c r="AX137" s="722"/>
      <c r="AY137" s="722"/>
      <c r="AZ137" s="722"/>
      <c r="BA137" s="722"/>
      <c r="BB137" s="722"/>
      <c r="BC137" s="722"/>
      <c r="BD137" s="722"/>
      <c r="BE137" s="722"/>
      <c r="BF137" s="722"/>
      <c r="BG137" s="723"/>
    </row>
    <row r="138" spans="1:59" x14ac:dyDescent="0.2">
      <c r="A138" s="103"/>
      <c r="B138" s="506"/>
      <c r="C138" s="506"/>
      <c r="D138" s="506"/>
      <c r="E138" s="506"/>
      <c r="F138" s="506"/>
      <c r="G138" s="506"/>
      <c r="H138" s="506"/>
      <c r="I138" s="715"/>
      <c r="J138" s="715"/>
      <c r="K138" s="715"/>
      <c r="L138" s="715"/>
      <c r="M138" s="715"/>
      <c r="N138" s="715"/>
      <c r="O138" s="715"/>
      <c r="P138" s="715"/>
      <c r="Q138" s="715"/>
      <c r="R138" s="715"/>
      <c r="S138" s="715"/>
      <c r="T138" s="715"/>
      <c r="U138" s="715"/>
      <c r="V138" s="715"/>
      <c r="W138" s="715"/>
      <c r="X138" s="715"/>
      <c r="Y138" s="92"/>
      <c r="Z138" s="92"/>
      <c r="AA138" s="92"/>
      <c r="AB138" s="92"/>
      <c r="AC138" s="92"/>
      <c r="AD138" s="92"/>
      <c r="AE138" s="473"/>
      <c r="AF138" s="474"/>
      <c r="AG138" s="474"/>
      <c r="AH138" s="474"/>
      <c r="AI138" s="474"/>
      <c r="AJ138" s="474"/>
      <c r="AK138" s="474"/>
      <c r="AL138" s="474"/>
      <c r="AM138" s="474"/>
      <c r="AN138" s="474"/>
      <c r="AO138" s="474"/>
      <c r="AP138" s="474"/>
      <c r="AQ138" s="474"/>
      <c r="AR138" s="474"/>
      <c r="AS138" s="474"/>
      <c r="AT138" s="474"/>
      <c r="AU138" s="474"/>
      <c r="AV138" s="474"/>
      <c r="AW138" s="475"/>
      <c r="AX138" s="475"/>
      <c r="AY138" s="475"/>
      <c r="AZ138" s="475"/>
      <c r="BA138" s="475"/>
      <c r="BB138" s="475"/>
      <c r="BC138" s="475"/>
      <c r="BD138" s="476"/>
      <c r="BE138" s="476"/>
      <c r="BF138" s="476"/>
      <c r="BG138" s="477"/>
    </row>
    <row r="139" spans="1:59" x14ac:dyDescent="0.2">
      <c r="A139" s="105"/>
      <c r="B139" s="102"/>
      <c r="C139" s="102"/>
      <c r="D139" s="715" t="s">
        <v>868</v>
      </c>
      <c r="E139" s="715"/>
      <c r="F139" s="715"/>
      <c r="G139" s="715"/>
      <c r="H139" s="715"/>
      <c r="I139" s="715"/>
      <c r="J139" s="715"/>
      <c r="K139" s="715"/>
      <c r="L139" s="715"/>
      <c r="M139" s="715"/>
      <c r="N139" s="715"/>
      <c r="O139" s="715"/>
      <c r="P139" s="715"/>
      <c r="Q139" s="715"/>
      <c r="R139" s="715"/>
      <c r="S139" s="715"/>
      <c r="T139" s="715"/>
      <c r="U139" s="715"/>
      <c r="V139" s="715"/>
      <c r="W139" s="715"/>
      <c r="X139" s="715"/>
      <c r="Y139" s="715"/>
      <c r="Z139" s="715"/>
      <c r="AA139" s="715"/>
      <c r="AB139" s="715"/>
      <c r="AC139" s="106"/>
      <c r="AD139" s="106"/>
      <c r="AE139" s="107"/>
      <c r="AF139" s="512"/>
      <c r="AG139" s="102"/>
      <c r="AH139" s="102"/>
      <c r="AI139" s="512"/>
      <c r="AJ139" s="512"/>
      <c r="AK139" s="512"/>
      <c r="AL139" s="512"/>
      <c r="AM139" s="512"/>
      <c r="AN139" s="512"/>
      <c r="AO139" s="512"/>
      <c r="AP139" s="716" t="str">
        <f>SURNAME_KREDITOR&amp;" "&amp;NAME_KREDITOR&amp;" "&amp;FATHERNAME_KREDITOR&amp;" "&amp;G_KREDITOR</f>
        <v>Həsənov Kənan Asdan qızı</v>
      </c>
      <c r="AQ139" s="716"/>
      <c r="AR139" s="716"/>
      <c r="AS139" s="716"/>
      <c r="AT139" s="716"/>
      <c r="AU139" s="716"/>
      <c r="AV139" s="716"/>
      <c r="AW139" s="716"/>
      <c r="AX139" s="716"/>
      <c r="AY139" s="716"/>
      <c r="AZ139" s="716"/>
      <c r="BA139" s="716"/>
      <c r="BB139" s="716"/>
      <c r="BC139" s="716"/>
      <c r="BD139" s="716"/>
      <c r="BE139" s="716"/>
      <c r="BF139" s="512"/>
      <c r="BG139" s="104"/>
    </row>
    <row r="140" spans="1:59" ht="11.25" customHeight="1" x14ac:dyDescent="0.2">
      <c r="A140" s="105"/>
      <c r="B140" s="106"/>
      <c r="C140" s="106"/>
      <c r="D140" s="106"/>
      <c r="E140" s="715" t="str">
        <f>NAME_BRANCH&amp;" "&amp;POSITION_MENEGER_BRANCH&amp;"
 "&amp;SURNAME_MENEGER_BRANCH&amp;" "&amp;NAME_MENEGER_BRANCH&amp;" "&amp;FATHERNAME_MENEGER_BRANCH&amp;" "&amp;G_MENEGER_BRANCH</f>
        <v>Ağcabədi  Filialının kredit meneceri
 Əhmədov  Bəhruz  Tofiq  oğlu</v>
      </c>
      <c r="F140" s="715"/>
      <c r="G140" s="715"/>
      <c r="H140" s="715"/>
      <c r="I140" s="715"/>
      <c r="J140" s="715"/>
      <c r="K140" s="715"/>
      <c r="L140" s="715"/>
      <c r="M140" s="715"/>
      <c r="N140" s="715"/>
      <c r="O140" s="715"/>
      <c r="P140" s="715"/>
      <c r="Q140" s="715"/>
      <c r="R140" s="715"/>
      <c r="S140" s="715"/>
      <c r="T140" s="715"/>
      <c r="U140" s="715"/>
      <c r="V140" s="715"/>
      <c r="W140" s="715"/>
      <c r="X140" s="715"/>
      <c r="Y140" s="715"/>
      <c r="Z140" s="715"/>
      <c r="AA140" s="715"/>
      <c r="AB140" s="512"/>
      <c r="AC140" s="512"/>
      <c r="AD140" s="512"/>
      <c r="AE140" s="105"/>
      <c r="AF140" s="719" t="str">
        <f>IF(OR(AP140=0,AP140=""),"","Şəxsiyyət vəsiqəsi: ")</f>
        <v xml:space="preserve">Şəxsiyyət vəsiqəsi: </v>
      </c>
      <c r="AG140" s="719"/>
      <c r="AH140" s="719"/>
      <c r="AI140" s="719"/>
      <c r="AJ140" s="719"/>
      <c r="AK140" s="719"/>
      <c r="AL140" s="719"/>
      <c r="AM140" s="719"/>
      <c r="AN140" s="719"/>
      <c r="AO140" s="719"/>
      <c r="AP140" s="698" t="str">
        <f>IF(OR(SHV_SN_KREDITOR=0,SHV_D_KREDITOR=0,SHV_R_KREDITOR=0,SHV_SN_KREDITOR="",SHV_D_KREDITOR="",SHV_R_KREDITOR=""),"",SHV_SN_KREDITOR&amp;"  "&amp;SHV_D_KREDITOR_SOZLE&amp;" "&amp;SHV_R_KREDITOR&amp;" tərəfindən verilmişdir.")</f>
        <v>AZE № 14577224  «27» May 2014-cü il Mingəçevir ŞPŞ tərəfindən verilmişdir.</v>
      </c>
      <c r="AQ140" s="698"/>
      <c r="AR140" s="698"/>
      <c r="AS140" s="698"/>
      <c r="AT140" s="698"/>
      <c r="AU140" s="698"/>
      <c r="AV140" s="698"/>
      <c r="AW140" s="698"/>
      <c r="AX140" s="698"/>
      <c r="AY140" s="698"/>
      <c r="AZ140" s="698"/>
      <c r="BA140" s="698"/>
      <c r="BB140" s="698"/>
      <c r="BC140" s="698"/>
      <c r="BD140" s="698"/>
      <c r="BE140" s="698"/>
      <c r="BF140" s="698"/>
      <c r="BG140" s="104"/>
    </row>
    <row r="141" spans="1:59" ht="11.25" customHeight="1" x14ac:dyDescent="0.2">
      <c r="A141" s="105"/>
      <c r="B141" s="512"/>
      <c r="C141" s="512"/>
      <c r="D141" s="512"/>
      <c r="E141" s="715"/>
      <c r="F141" s="715"/>
      <c r="G141" s="715"/>
      <c r="H141" s="715"/>
      <c r="I141" s="715"/>
      <c r="J141" s="715"/>
      <c r="K141" s="715"/>
      <c r="L141" s="715"/>
      <c r="M141" s="715"/>
      <c r="N141" s="715"/>
      <c r="O141" s="715"/>
      <c r="P141" s="715"/>
      <c r="Q141" s="715"/>
      <c r="R141" s="715"/>
      <c r="S141" s="715"/>
      <c r="T141" s="715"/>
      <c r="U141" s="715"/>
      <c r="V141" s="715"/>
      <c r="W141" s="715"/>
      <c r="X141" s="715"/>
      <c r="Y141" s="715"/>
      <c r="Z141" s="715"/>
      <c r="AA141" s="715"/>
      <c r="AB141" s="108"/>
      <c r="AC141" s="108"/>
      <c r="AD141" s="108"/>
      <c r="AE141" s="109"/>
      <c r="AF141" s="108"/>
      <c r="AG141" s="512"/>
      <c r="AH141" s="512"/>
      <c r="AI141" s="108"/>
      <c r="AJ141" s="108"/>
      <c r="AK141" s="108"/>
      <c r="AL141" s="108"/>
      <c r="AM141" s="108"/>
      <c r="AN141" s="108"/>
      <c r="AO141" s="108"/>
      <c r="AP141" s="698"/>
      <c r="AQ141" s="698"/>
      <c r="AR141" s="698"/>
      <c r="AS141" s="698"/>
      <c r="AT141" s="698"/>
      <c r="AU141" s="698"/>
      <c r="AV141" s="698"/>
      <c r="AW141" s="698"/>
      <c r="AX141" s="698"/>
      <c r="AY141" s="698"/>
      <c r="AZ141" s="698"/>
      <c r="BA141" s="698"/>
      <c r="BB141" s="698"/>
      <c r="BC141" s="698"/>
      <c r="BD141" s="698"/>
      <c r="BE141" s="698"/>
      <c r="BF141" s="698"/>
      <c r="BG141" s="104"/>
    </row>
    <row r="142" spans="1:59" x14ac:dyDescent="0.2">
      <c r="A142" s="105"/>
      <c r="B142" s="512"/>
      <c r="C142" s="512"/>
      <c r="D142" s="512"/>
      <c r="E142" s="512"/>
      <c r="F142" s="512"/>
      <c r="G142" s="717" t="s">
        <v>33</v>
      </c>
      <c r="H142" s="717"/>
      <c r="I142" s="717"/>
      <c r="J142" s="717"/>
      <c r="K142" s="698" t="str">
        <f>NAME_REGION &amp;", "&amp;ADDRESS_REGION</f>
        <v>Ağcabədi şəhəri, İ.Qayıbov 2</v>
      </c>
      <c r="L142" s="698"/>
      <c r="M142" s="698"/>
      <c r="N142" s="698"/>
      <c r="O142" s="698"/>
      <c r="P142" s="698"/>
      <c r="Q142" s="698"/>
      <c r="R142" s="698"/>
      <c r="S142" s="698"/>
      <c r="T142" s="698"/>
      <c r="U142" s="698"/>
      <c r="V142" s="698"/>
      <c r="W142" s="698"/>
      <c r="X142" s="698"/>
      <c r="Y142" s="698"/>
      <c r="Z142" s="698"/>
      <c r="AA142" s="106"/>
      <c r="AB142" s="512"/>
      <c r="AC142" s="512"/>
      <c r="AD142" s="512"/>
      <c r="AE142" s="105"/>
      <c r="AF142" s="512"/>
      <c r="AG142" s="512"/>
      <c r="AH142" s="512"/>
      <c r="AI142" s="512"/>
      <c r="AJ142" s="512"/>
      <c r="AK142" s="512"/>
      <c r="AL142" s="512"/>
      <c r="AM142" s="512"/>
      <c r="AN142" s="512"/>
      <c r="AO142" s="512"/>
      <c r="AP142" s="698"/>
      <c r="AQ142" s="698"/>
      <c r="AR142" s="698"/>
      <c r="AS142" s="698"/>
      <c r="AT142" s="698"/>
      <c r="AU142" s="698"/>
      <c r="AV142" s="698"/>
      <c r="AW142" s="698"/>
      <c r="AX142" s="698"/>
      <c r="AY142" s="698"/>
      <c r="AZ142" s="698"/>
      <c r="BA142" s="698"/>
      <c r="BB142" s="698"/>
      <c r="BC142" s="698"/>
      <c r="BD142" s="698"/>
      <c r="BE142" s="698"/>
      <c r="BF142" s="698"/>
      <c r="BG142" s="104"/>
    </row>
    <row r="143" spans="1:59" x14ac:dyDescent="0.2">
      <c r="A143" s="110"/>
      <c r="B143" s="513"/>
      <c r="C143" s="513"/>
      <c r="D143" s="513"/>
      <c r="E143" s="512"/>
      <c r="F143" s="512"/>
      <c r="G143" s="717"/>
      <c r="H143" s="717"/>
      <c r="I143" s="717"/>
      <c r="J143" s="717"/>
      <c r="K143" s="698"/>
      <c r="L143" s="698"/>
      <c r="M143" s="698"/>
      <c r="N143" s="698"/>
      <c r="O143" s="698"/>
      <c r="P143" s="698"/>
      <c r="Q143" s="698"/>
      <c r="R143" s="698"/>
      <c r="S143" s="698"/>
      <c r="T143" s="698"/>
      <c r="U143" s="698"/>
      <c r="V143" s="698"/>
      <c r="W143" s="698"/>
      <c r="X143" s="698"/>
      <c r="Y143" s="698"/>
      <c r="Z143" s="698"/>
      <c r="AA143" s="106"/>
      <c r="AB143" s="512"/>
      <c r="AC143" s="512"/>
      <c r="AD143" s="512"/>
      <c r="AE143" s="105"/>
      <c r="AF143" s="106"/>
      <c r="AG143" s="106"/>
      <c r="AH143" s="512"/>
      <c r="AI143" s="512"/>
      <c r="AJ143" s="512"/>
      <c r="AK143" s="512"/>
      <c r="AL143" s="512"/>
      <c r="AM143" s="720" t="str">
        <f>IF(OR(AP143=0,AP143=""),"","Ünvan:" )</f>
        <v>Ünvan:</v>
      </c>
      <c r="AN143" s="720"/>
      <c r="AO143" s="720"/>
      <c r="AP143" s="718" t="str">
        <f>IF(OR(ADDRESS_KREDITOR=0,ADDRESS_KREDITOR=""),"",ADDRESS_KREDITOR)</f>
        <v xml:space="preserve">Mingəçevir şəh., H.Əliyev PR., ev. 76/1, m. 22 </v>
      </c>
      <c r="AQ143" s="718"/>
      <c r="AR143" s="718"/>
      <c r="AS143" s="718"/>
      <c r="AT143" s="718"/>
      <c r="AU143" s="718"/>
      <c r="AV143" s="718"/>
      <c r="AW143" s="718"/>
      <c r="AX143" s="718"/>
      <c r="AY143" s="718"/>
      <c r="AZ143" s="718"/>
      <c r="BA143" s="718"/>
      <c r="BB143" s="718"/>
      <c r="BC143" s="718"/>
      <c r="BD143" s="718"/>
      <c r="BE143" s="718"/>
      <c r="BF143" s="718"/>
      <c r="BG143" s="104"/>
    </row>
    <row r="144" spans="1:59" ht="11.25" customHeight="1" x14ac:dyDescent="0.2">
      <c r="A144" s="110"/>
      <c r="B144" s="513"/>
      <c r="C144" s="513"/>
      <c r="D144" s="512"/>
      <c r="E144" s="512"/>
      <c r="F144" s="512"/>
      <c r="G144" s="719" t="str">
        <f>IF(OR(K144=0,K144=""),"","Telefon:")</f>
        <v>Telefon:</v>
      </c>
      <c r="H144" s="719"/>
      <c r="I144" s="719"/>
      <c r="J144" s="719"/>
      <c r="K144" s="716" t="str">
        <f>IF(OR(NUM_BRANCH=0,NUM_BRANCH=""),"",NUM_BRANCH)</f>
        <v>(+994 24) 274 13 23</v>
      </c>
      <c r="L144" s="716"/>
      <c r="M144" s="716"/>
      <c r="N144" s="716"/>
      <c r="O144" s="716"/>
      <c r="P144" s="716"/>
      <c r="Q144" s="716"/>
      <c r="R144" s="716"/>
      <c r="S144" s="716"/>
      <c r="T144" s="716"/>
      <c r="U144" s="716"/>
      <c r="V144" s="716"/>
      <c r="W144" s="716"/>
      <c r="X144" s="716"/>
      <c r="Y144" s="512"/>
      <c r="Z144" s="512"/>
      <c r="AA144" s="106"/>
      <c r="AB144" s="512"/>
      <c r="AC144" s="92"/>
      <c r="AD144" s="92"/>
      <c r="AE144" s="111"/>
      <c r="AF144" s="106"/>
      <c r="AG144" s="106"/>
      <c r="AH144" s="512"/>
      <c r="AI144" s="512"/>
      <c r="AJ144" s="512"/>
      <c r="AK144" s="512"/>
      <c r="AL144" s="512"/>
      <c r="AM144" s="92"/>
      <c r="AN144" s="92"/>
      <c r="AO144" s="92"/>
      <c r="AP144" s="718"/>
      <c r="AQ144" s="718"/>
      <c r="AR144" s="718"/>
      <c r="AS144" s="718"/>
      <c r="AT144" s="718"/>
      <c r="AU144" s="718"/>
      <c r="AV144" s="718"/>
      <c r="AW144" s="718"/>
      <c r="AX144" s="718"/>
      <c r="AY144" s="718"/>
      <c r="AZ144" s="718"/>
      <c r="BA144" s="718"/>
      <c r="BB144" s="718"/>
      <c r="BC144" s="718"/>
      <c r="BD144" s="718"/>
      <c r="BE144" s="718"/>
      <c r="BF144" s="718"/>
      <c r="BG144" s="104"/>
    </row>
    <row r="145" spans="1:59" x14ac:dyDescent="0.2">
      <c r="A145" s="105"/>
      <c r="B145" s="102"/>
      <c r="C145" s="102"/>
      <c r="D145" s="512"/>
      <c r="E145" s="512"/>
      <c r="F145" s="512"/>
      <c r="G145" s="719" t="str">
        <f>IF(OR(K145=0,K145=""),"","Faks:")</f>
        <v>Faks:</v>
      </c>
      <c r="H145" s="719"/>
      <c r="I145" s="719"/>
      <c r="J145" s="719"/>
      <c r="K145" s="716" t="str">
        <f>IF(OR(FAX_BRANCH=0,FAX_BRANCH=""),"",FAX_BRANCH)</f>
        <v>(+994 24) 274 20 24</v>
      </c>
      <c r="L145" s="716"/>
      <c r="M145" s="716"/>
      <c r="N145" s="716"/>
      <c r="O145" s="716"/>
      <c r="P145" s="716"/>
      <c r="Q145" s="716"/>
      <c r="R145" s="716"/>
      <c r="S145" s="716"/>
      <c r="T145" s="716"/>
      <c r="U145" s="716"/>
      <c r="V145" s="716"/>
      <c r="W145" s="716"/>
      <c r="X145" s="716"/>
      <c r="Y145" s="512"/>
      <c r="Z145" s="512"/>
      <c r="AA145" s="106"/>
      <c r="AB145" s="512"/>
      <c r="AC145" s="512"/>
      <c r="AD145" s="512"/>
      <c r="AE145" s="105"/>
      <c r="AF145" s="106"/>
      <c r="AG145" s="106"/>
      <c r="AH145" s="512"/>
      <c r="AI145" s="512"/>
      <c r="AJ145" s="512"/>
      <c r="AK145" s="512"/>
      <c r="AL145" s="512"/>
      <c r="AM145" s="720" t="str">
        <f>IF(OR(AP145=0,AP145=""),"","Telefon:")</f>
        <v>Telefon:</v>
      </c>
      <c r="AN145" s="720"/>
      <c r="AO145" s="720"/>
      <c r="AP145" s="713" t="str">
        <f>IF(OR(NUM_1_KREDITOR=0,NUM_1_KREDITOR=""),"",NUM_1_KREDITOR&amp;"; ")&amp;IF(OR(NUM_2_KREDITOR=0,NUM_2_KREDITOR=""),"",NUM_2_KREDITOR&amp;"; ")</f>
        <v xml:space="preserve">055-915-96-56; </v>
      </c>
      <c r="AQ145" s="713"/>
      <c r="AR145" s="713"/>
      <c r="AS145" s="713"/>
      <c r="AT145" s="713"/>
      <c r="AU145" s="713"/>
      <c r="AV145" s="713"/>
      <c r="AW145" s="713"/>
      <c r="AX145" s="713"/>
      <c r="AY145" s="713"/>
      <c r="AZ145" s="713"/>
      <c r="BA145" s="713"/>
      <c r="BB145" s="713"/>
      <c r="BC145" s="713"/>
      <c r="BD145" s="713"/>
      <c r="BE145" s="713"/>
      <c r="BF145" s="512"/>
      <c r="BG145" s="104"/>
    </row>
    <row r="146" spans="1:59" x14ac:dyDescent="0.2">
      <c r="A146" s="105"/>
      <c r="B146" s="106"/>
      <c r="C146" s="106"/>
      <c r="D146" s="106"/>
      <c r="E146" s="512"/>
      <c r="F146" s="512"/>
      <c r="G146" s="714" t="s">
        <v>32</v>
      </c>
      <c r="H146" s="714"/>
      <c r="I146" s="714"/>
      <c r="J146" s="714"/>
      <c r="K146" s="512"/>
      <c r="L146" s="512"/>
      <c r="M146" s="102"/>
      <c r="N146" s="512"/>
      <c r="O146" s="512"/>
      <c r="P146" s="512"/>
      <c r="Q146" s="512"/>
      <c r="R146" s="512"/>
      <c r="S146" s="512"/>
      <c r="T146" s="512"/>
      <c r="U146" s="512"/>
      <c r="V146" s="512"/>
      <c r="W146" s="512"/>
      <c r="X146" s="512"/>
      <c r="Y146" s="106"/>
      <c r="Z146" s="512"/>
      <c r="AA146" s="512"/>
      <c r="AB146" s="512"/>
      <c r="AC146" s="512"/>
      <c r="AD146" s="512"/>
      <c r="AE146" s="105"/>
      <c r="AF146" s="106"/>
      <c r="AG146" s="106"/>
      <c r="AH146" s="512"/>
      <c r="AI146" s="512"/>
      <c r="AJ146" s="512"/>
      <c r="AK146" s="512"/>
      <c r="AL146" s="714" t="s">
        <v>32</v>
      </c>
      <c r="AM146" s="714"/>
      <c r="AN146" s="714"/>
      <c r="AO146" s="714"/>
      <c r="AP146" s="714"/>
      <c r="AQ146" s="512"/>
      <c r="AR146" s="512"/>
      <c r="AS146" s="512"/>
      <c r="AT146" s="512"/>
      <c r="AU146" s="512"/>
      <c r="AV146" s="512"/>
      <c r="AW146" s="512"/>
      <c r="AX146" s="512"/>
      <c r="AY146" s="512"/>
      <c r="AZ146" s="512"/>
      <c r="BA146" s="512"/>
      <c r="BB146" s="512"/>
      <c r="BC146" s="512"/>
      <c r="BD146" s="512"/>
      <c r="BE146" s="512"/>
      <c r="BF146" s="512"/>
      <c r="BG146" s="104"/>
    </row>
    <row r="147" spans="1:59" x14ac:dyDescent="0.2">
      <c r="A147" s="105"/>
      <c r="B147" s="443"/>
      <c r="C147" s="443"/>
      <c r="D147" s="443"/>
      <c r="E147" s="512"/>
      <c r="F147" s="443" t="s">
        <v>31</v>
      </c>
      <c r="G147" s="443"/>
      <c r="H147" s="443"/>
      <c r="I147" s="512"/>
      <c r="J147" s="443"/>
      <c r="K147" s="443"/>
      <c r="L147" s="443"/>
      <c r="M147" s="443"/>
      <c r="N147" s="443"/>
      <c r="O147" s="443"/>
      <c r="P147" s="443"/>
      <c r="Q147" s="443"/>
      <c r="R147" s="443"/>
      <c r="S147" s="443"/>
      <c r="T147" s="443"/>
      <c r="U147" s="443"/>
      <c r="V147" s="443"/>
      <c r="W147" s="443"/>
      <c r="X147" s="443"/>
      <c r="Y147" s="443"/>
      <c r="Z147" s="443"/>
      <c r="AA147" s="512"/>
      <c r="AB147" s="443"/>
      <c r="AC147" s="443"/>
      <c r="AD147" s="443"/>
      <c r="AE147" s="478"/>
      <c r="AF147" s="443"/>
      <c r="AG147" s="443"/>
      <c r="AH147" s="443"/>
      <c r="AI147" s="443"/>
      <c r="AJ147" s="443"/>
      <c r="AK147" s="443"/>
      <c r="AL147" s="443" t="s">
        <v>443</v>
      </c>
      <c r="AM147" s="443"/>
      <c r="AN147" s="443"/>
      <c r="AO147" s="443"/>
      <c r="AP147" s="443"/>
      <c r="AQ147" s="443"/>
      <c r="AR147" s="443"/>
      <c r="AS147" s="443"/>
      <c r="AT147" s="443"/>
      <c r="AU147" s="443"/>
      <c r="AV147" s="443"/>
      <c r="AW147" s="443"/>
      <c r="AX147" s="443"/>
      <c r="AY147" s="443"/>
      <c r="AZ147" s="443"/>
      <c r="BA147" s="443"/>
      <c r="BB147" s="443"/>
      <c r="BC147" s="512"/>
      <c r="BD147" s="512"/>
      <c r="BE147" s="512"/>
      <c r="BF147" s="512"/>
      <c r="BG147" s="104"/>
    </row>
    <row r="148" spans="1:59" x14ac:dyDescent="0.2">
      <c r="A148" s="309"/>
      <c r="B148" s="310"/>
      <c r="C148" s="310"/>
      <c r="D148" s="310"/>
      <c r="E148" s="311"/>
      <c r="F148" s="310"/>
      <c r="G148" s="310"/>
      <c r="H148" s="310"/>
      <c r="I148" s="311"/>
      <c r="J148" s="310"/>
      <c r="K148" s="310"/>
      <c r="L148" s="310"/>
      <c r="M148" s="310"/>
      <c r="N148" s="310"/>
      <c r="O148" s="310"/>
      <c r="P148" s="310"/>
      <c r="Q148" s="310"/>
      <c r="R148" s="310"/>
      <c r="S148" s="310"/>
      <c r="T148" s="310"/>
      <c r="U148" s="310"/>
      <c r="V148" s="310"/>
      <c r="W148" s="310"/>
      <c r="X148" s="310"/>
      <c r="Y148" s="310"/>
      <c r="Z148" s="310"/>
      <c r="AA148" s="311"/>
      <c r="AB148" s="310"/>
      <c r="AC148" s="310"/>
      <c r="AD148" s="310"/>
      <c r="AE148" s="479"/>
      <c r="AF148" s="310"/>
      <c r="AG148" s="310"/>
      <c r="AH148" s="310"/>
      <c r="AI148" s="310"/>
      <c r="AJ148" s="310"/>
      <c r="AK148" s="310"/>
      <c r="AL148" s="310"/>
      <c r="AM148" s="310"/>
      <c r="AN148" s="310"/>
      <c r="AO148" s="310"/>
      <c r="AP148" s="310"/>
      <c r="AQ148" s="310"/>
      <c r="AR148" s="310"/>
      <c r="AS148" s="310"/>
      <c r="AT148" s="310"/>
      <c r="AU148" s="310"/>
      <c r="AV148" s="310"/>
      <c r="AW148" s="310"/>
      <c r="AX148" s="310"/>
      <c r="AY148" s="310"/>
      <c r="AZ148" s="310"/>
      <c r="BA148" s="310"/>
      <c r="BB148" s="310"/>
      <c r="BC148" s="311"/>
      <c r="BD148" s="311"/>
      <c r="BE148" s="311"/>
      <c r="BF148" s="311"/>
      <c r="BG148" s="312"/>
    </row>
    <row r="149" spans="1:59" x14ac:dyDescent="0.2">
      <c r="P149" s="512"/>
      <c r="Q149" s="512"/>
      <c r="R149" s="102"/>
      <c r="AM149" s="106"/>
      <c r="AN149" s="92"/>
      <c r="AO149" s="92"/>
      <c r="AP149" s="92"/>
      <c r="AQ149" s="92"/>
      <c r="AR149" s="92"/>
      <c r="AS149" s="92"/>
      <c r="AT149" s="92"/>
      <c r="AU149" s="92"/>
      <c r="AV149" s="92"/>
      <c r="AW149" s="92"/>
      <c r="AX149" s="92"/>
      <c r="AY149" s="92"/>
      <c r="AZ149" s="92"/>
      <c r="BA149" s="92"/>
      <c r="BB149" s="92"/>
      <c r="BC149" s="512"/>
      <c r="BD149" s="106"/>
      <c r="BE149" s="106"/>
      <c r="BF149" s="106"/>
      <c r="BG149" s="106"/>
    </row>
    <row r="150" spans="1:59" x14ac:dyDescent="0.2">
      <c r="P150" s="512"/>
      <c r="Q150" s="512"/>
      <c r="R150" s="102"/>
      <c r="S150" s="512"/>
      <c r="T150" s="512"/>
      <c r="U150" s="512"/>
      <c r="V150" s="512"/>
      <c r="W150" s="512"/>
      <c r="X150" s="512"/>
      <c r="Y150" s="512"/>
      <c r="Z150" s="512"/>
      <c r="AA150" s="512"/>
      <c r="AB150" s="512"/>
      <c r="AC150" s="512"/>
      <c r="AD150" s="512"/>
      <c r="AE150" s="112"/>
      <c r="AF150" s="92"/>
      <c r="AG150" s="106"/>
      <c r="AH150" s="512"/>
      <c r="AI150" s="512"/>
      <c r="AJ150" s="512"/>
      <c r="AK150" s="512"/>
      <c r="AL150" s="512"/>
      <c r="AM150" s="512"/>
      <c r="BC150" s="512"/>
      <c r="BD150" s="512"/>
      <c r="BE150" s="512"/>
      <c r="BF150" s="512"/>
      <c r="BG150" s="512"/>
    </row>
    <row r="151" spans="1:59" x14ac:dyDescent="0.2">
      <c r="R151" s="106"/>
      <c r="S151" s="102"/>
      <c r="T151" s="102"/>
      <c r="U151" s="102"/>
      <c r="V151" s="102"/>
      <c r="W151" s="102"/>
      <c r="X151" s="102"/>
      <c r="Y151" s="102"/>
      <c r="Z151" s="102"/>
      <c r="AA151" s="102"/>
      <c r="AB151" s="102"/>
      <c r="AC151" s="512"/>
      <c r="AD151" s="512"/>
      <c r="AE151" s="512"/>
      <c r="AF151" s="106"/>
      <c r="AG151" s="106"/>
      <c r="AH151" s="512"/>
      <c r="AI151" s="512"/>
      <c r="AJ151" s="512"/>
      <c r="AK151" s="512"/>
      <c r="AL151" s="512"/>
      <c r="AM151" s="106"/>
      <c r="AN151" s="102"/>
      <c r="AO151" s="102"/>
      <c r="AP151" s="102"/>
      <c r="AQ151" s="102"/>
      <c r="AR151" s="102"/>
      <c r="AS151" s="102"/>
      <c r="AT151" s="102"/>
      <c r="AU151" s="102"/>
      <c r="AV151" s="102"/>
      <c r="AW151" s="102"/>
      <c r="AX151" s="102"/>
      <c r="AY151" s="106"/>
      <c r="AZ151" s="106"/>
      <c r="BA151" s="106"/>
      <c r="BB151" s="512"/>
      <c r="BC151" s="512"/>
      <c r="BD151" s="512"/>
      <c r="BE151" s="512"/>
      <c r="BF151" s="512"/>
      <c r="BG151" s="512"/>
    </row>
    <row r="152" spans="1:59" x14ac:dyDescent="0.2">
      <c r="P152" s="507"/>
      <c r="Q152" s="507"/>
      <c r="R152" s="106"/>
      <c r="S152" s="102"/>
      <c r="T152" s="102"/>
      <c r="U152" s="102"/>
      <c r="V152" s="102"/>
      <c r="W152" s="102"/>
      <c r="X152" s="102"/>
      <c r="Y152" s="106"/>
      <c r="Z152" s="102"/>
      <c r="AA152" s="102"/>
      <c r="AB152" s="102"/>
      <c r="AC152" s="102"/>
      <c r="AD152" s="102"/>
      <c r="AE152" s="106"/>
      <c r="AF152" s="106"/>
      <c r="AG152" s="106"/>
      <c r="AH152" s="106"/>
      <c r="AI152" s="106"/>
      <c r="AJ152" s="106"/>
      <c r="AK152" s="106"/>
      <c r="AL152" s="106"/>
      <c r="AM152" s="106"/>
      <c r="AN152" s="102"/>
      <c r="AO152" s="102"/>
      <c r="AP152" s="102"/>
      <c r="AQ152" s="102"/>
      <c r="AR152" s="102"/>
      <c r="AS152" s="102"/>
      <c r="AT152" s="106"/>
      <c r="AU152" s="102"/>
      <c r="AV152" s="102"/>
      <c r="AW152" s="102"/>
      <c r="AX152" s="102"/>
      <c r="AY152" s="106"/>
      <c r="AZ152" s="106"/>
      <c r="BA152" s="106"/>
      <c r="BB152" s="106"/>
      <c r="BC152" s="106"/>
      <c r="BD152" s="106"/>
      <c r="BE152" s="106"/>
      <c r="BF152" s="106"/>
      <c r="BG152" s="106"/>
    </row>
    <row r="153" spans="1:59" x14ac:dyDescent="0.2">
      <c r="R153" s="106"/>
      <c r="S153" s="106"/>
      <c r="T153" s="106"/>
      <c r="U153" s="106"/>
      <c r="V153" s="106"/>
      <c r="W153" s="512"/>
      <c r="X153" s="106"/>
      <c r="Y153" s="512"/>
      <c r="Z153" s="106"/>
      <c r="AA153" s="106"/>
      <c r="AB153" s="106"/>
      <c r="AC153" s="102"/>
      <c r="AD153" s="102"/>
      <c r="AE153" s="106"/>
      <c r="AF153" s="106"/>
      <c r="AG153" s="106"/>
      <c r="AH153" s="106"/>
      <c r="AI153" s="106"/>
      <c r="AJ153" s="106"/>
      <c r="AK153" s="106"/>
      <c r="AL153" s="106"/>
      <c r="AM153" s="106"/>
      <c r="AN153" s="106"/>
      <c r="AO153" s="106"/>
      <c r="AP153" s="106"/>
      <c r="AQ153" s="106"/>
      <c r="AR153" s="512"/>
      <c r="AS153" s="106"/>
      <c r="AT153" s="512"/>
      <c r="AU153" s="106"/>
      <c r="AV153" s="106"/>
      <c r="AW153" s="106"/>
      <c r="AX153" s="106"/>
      <c r="AY153" s="512"/>
      <c r="AZ153" s="512"/>
      <c r="BA153" s="512"/>
      <c r="BB153" s="106"/>
      <c r="BC153" s="106"/>
      <c r="BD153" s="106"/>
      <c r="BE153" s="106"/>
      <c r="BF153" s="106"/>
      <c r="BG153" s="106"/>
    </row>
    <row r="154" spans="1:59" x14ac:dyDescent="0.2">
      <c r="R154" s="106"/>
      <c r="S154" s="106"/>
      <c r="T154" s="106"/>
      <c r="U154" s="106"/>
      <c r="V154" s="106"/>
      <c r="W154" s="106"/>
      <c r="X154" s="106"/>
      <c r="Y154" s="106"/>
      <c r="Z154" s="106"/>
      <c r="AA154" s="106"/>
      <c r="AB154" s="106"/>
      <c r="AC154" s="106"/>
      <c r="AD154" s="106"/>
      <c r="AE154" s="512"/>
      <c r="AF154" s="106"/>
      <c r="AG154" s="106"/>
      <c r="AH154" s="106"/>
      <c r="AI154" s="106"/>
      <c r="AJ154" s="512"/>
      <c r="AK154" s="106"/>
      <c r="AL154" s="106"/>
      <c r="AM154" s="106"/>
      <c r="AN154" s="106"/>
      <c r="AO154" s="106"/>
      <c r="AP154" s="106"/>
      <c r="AQ154" s="106"/>
      <c r="AR154" s="106"/>
      <c r="AS154" s="106"/>
      <c r="AT154" s="106"/>
      <c r="AU154" s="106"/>
      <c r="AV154" s="106"/>
      <c r="AW154" s="106"/>
      <c r="AX154" s="106"/>
      <c r="AY154" s="512"/>
      <c r="AZ154" s="512"/>
      <c r="BA154" s="512"/>
      <c r="BB154" s="106"/>
      <c r="BC154" s="106"/>
      <c r="BD154" s="106"/>
      <c r="BE154" s="106"/>
      <c r="BF154" s="512"/>
      <c r="BG154" s="106"/>
    </row>
    <row r="155" spans="1:59" x14ac:dyDescent="0.2">
      <c r="P155" s="113"/>
      <c r="Q155" s="113"/>
      <c r="R155" s="106"/>
      <c r="S155" s="106"/>
      <c r="T155" s="106"/>
      <c r="U155" s="106"/>
      <c r="V155" s="106"/>
      <c r="W155" s="106"/>
      <c r="X155" s="106"/>
      <c r="Y155" s="106"/>
      <c r="Z155" s="106"/>
      <c r="AA155" s="106"/>
      <c r="AB155" s="106"/>
      <c r="AC155" s="106"/>
      <c r="AD155" s="106"/>
      <c r="AE155" s="512"/>
      <c r="AF155" s="106"/>
      <c r="AG155" s="106"/>
      <c r="AH155" s="512"/>
      <c r="AI155" s="512"/>
      <c r="AJ155" s="512"/>
      <c r="AK155" s="512"/>
      <c r="AL155" s="512"/>
      <c r="AM155" s="106"/>
      <c r="AN155" s="106"/>
      <c r="AO155" s="106"/>
      <c r="AP155" s="106"/>
      <c r="AQ155" s="106"/>
      <c r="AR155" s="106"/>
      <c r="AS155" s="106"/>
      <c r="AT155" s="106"/>
      <c r="AU155" s="106"/>
      <c r="AV155" s="106"/>
      <c r="AW155" s="106"/>
      <c r="AX155" s="106"/>
      <c r="AY155" s="512"/>
      <c r="AZ155" s="106"/>
      <c r="BA155" s="106"/>
      <c r="BB155" s="512"/>
      <c r="BC155" s="512"/>
      <c r="BD155" s="512"/>
      <c r="BE155" s="512"/>
      <c r="BF155" s="512"/>
      <c r="BG155" s="512"/>
    </row>
    <row r="156" spans="1:59" x14ac:dyDescent="0.2">
      <c r="P156" s="95"/>
      <c r="Q156" s="95"/>
      <c r="R156" s="512"/>
      <c r="S156" s="512"/>
      <c r="T156" s="512"/>
      <c r="U156" s="512"/>
      <c r="V156" s="512"/>
      <c r="W156" s="512"/>
      <c r="X156" s="512"/>
      <c r="Y156" s="512"/>
      <c r="Z156" s="512"/>
      <c r="AA156" s="512"/>
      <c r="AB156" s="512"/>
      <c r="AC156" s="106"/>
      <c r="AD156" s="106"/>
      <c r="AE156" s="512"/>
      <c r="AF156" s="106"/>
      <c r="AG156" s="106"/>
      <c r="AH156" s="106"/>
      <c r="AI156" s="106"/>
      <c r="AJ156" s="106"/>
      <c r="AK156" s="106"/>
      <c r="AL156" s="106"/>
      <c r="AM156" s="512"/>
      <c r="AN156" s="512"/>
      <c r="AO156" s="512"/>
      <c r="AP156" s="512"/>
      <c r="AQ156" s="512"/>
      <c r="AR156" s="512"/>
      <c r="AS156" s="512"/>
      <c r="AT156" s="512"/>
      <c r="AU156" s="512"/>
      <c r="AV156" s="512"/>
      <c r="AW156" s="512"/>
      <c r="AX156" s="512"/>
      <c r="AY156" s="512"/>
      <c r="AZ156" s="106"/>
      <c r="BA156" s="106"/>
      <c r="BB156" s="512"/>
      <c r="BC156" s="106"/>
      <c r="BD156" s="106"/>
      <c r="BE156" s="106"/>
      <c r="BF156" s="106"/>
      <c r="BG156" s="106"/>
    </row>
    <row r="157" spans="1:59" x14ac:dyDescent="0.2">
      <c r="P157" s="95"/>
      <c r="Q157" s="95"/>
      <c r="R157" s="112"/>
      <c r="S157" s="112"/>
      <c r="T157" s="112"/>
      <c r="U157" s="112"/>
      <c r="V157" s="112"/>
      <c r="W157" s="112"/>
      <c r="X157" s="112"/>
      <c r="Y157" s="112"/>
      <c r="Z157" s="112"/>
      <c r="AA157" s="112"/>
      <c r="AB157" s="112"/>
      <c r="AC157" s="512"/>
      <c r="AD157" s="512"/>
      <c r="AE157" s="512"/>
      <c r="AF157" s="106"/>
      <c r="AG157" s="106"/>
      <c r="AH157" s="106"/>
      <c r="AI157" s="106"/>
      <c r="AJ157" s="106"/>
      <c r="AK157" s="106"/>
      <c r="AL157" s="106"/>
      <c r="AM157" s="92"/>
      <c r="AN157" s="92"/>
      <c r="AO157" s="92"/>
      <c r="AP157" s="92"/>
      <c r="AQ157" s="92"/>
      <c r="AR157" s="92"/>
      <c r="AS157" s="92"/>
      <c r="AT157" s="92"/>
      <c r="AU157" s="92"/>
      <c r="AV157" s="92"/>
      <c r="AW157" s="92"/>
      <c r="AX157" s="92"/>
      <c r="AY157" s="92"/>
      <c r="AZ157" s="92"/>
      <c r="BA157" s="92"/>
      <c r="BB157" s="512"/>
      <c r="BC157" s="106"/>
      <c r="BD157" s="106"/>
      <c r="BE157" s="106"/>
      <c r="BF157" s="106"/>
      <c r="BG157" s="106"/>
    </row>
    <row r="158" spans="1:59" x14ac:dyDescent="0.2">
      <c r="P158" s="512"/>
      <c r="Q158" s="512"/>
      <c r="R158" s="512"/>
      <c r="S158" s="512"/>
      <c r="T158" s="512"/>
      <c r="U158" s="512"/>
      <c r="V158" s="512"/>
      <c r="W158" s="106"/>
      <c r="X158" s="102"/>
      <c r="Y158" s="102"/>
      <c r="Z158" s="102"/>
      <c r="AA158" s="102"/>
      <c r="AB158" s="102"/>
      <c r="AC158" s="102"/>
      <c r="AD158" s="102"/>
      <c r="AE158" s="102"/>
      <c r="AF158" s="102"/>
      <c r="AG158" s="102"/>
      <c r="AH158" s="106"/>
      <c r="AI158" s="106"/>
      <c r="AJ158" s="106"/>
      <c r="AK158" s="512"/>
      <c r="AL158" s="512"/>
      <c r="BB158" s="512"/>
      <c r="BC158" s="512"/>
      <c r="BD158" s="512"/>
      <c r="BE158" s="512"/>
      <c r="BF158" s="512"/>
      <c r="BG158" s="512"/>
    </row>
    <row r="159" spans="1:59" x14ac:dyDescent="0.2">
      <c r="P159" s="106"/>
      <c r="Q159" s="106"/>
      <c r="R159" s="106"/>
      <c r="S159" s="106"/>
      <c r="T159" s="106"/>
      <c r="U159" s="106"/>
      <c r="V159" s="106"/>
      <c r="W159" s="106"/>
      <c r="X159" s="102"/>
      <c r="Y159" s="102"/>
      <c r="Z159" s="102"/>
      <c r="AA159" s="102"/>
      <c r="AB159" s="102"/>
      <c r="AC159" s="102"/>
      <c r="AD159" s="102"/>
      <c r="AE159" s="106"/>
      <c r="AF159" s="102"/>
      <c r="AG159" s="102"/>
      <c r="AH159" s="106"/>
      <c r="AI159" s="106"/>
      <c r="AJ159" s="106"/>
    </row>
    <row r="160" spans="1:59" x14ac:dyDescent="0.2">
      <c r="P160" s="106"/>
      <c r="Q160" s="106"/>
      <c r="R160" s="106"/>
      <c r="S160" s="106"/>
      <c r="T160" s="106"/>
      <c r="U160" s="106"/>
      <c r="V160" s="106"/>
      <c r="W160" s="106"/>
      <c r="X160" s="106"/>
      <c r="Y160" s="106"/>
      <c r="Z160" s="106"/>
      <c r="AA160" s="106"/>
      <c r="AB160" s="512"/>
      <c r="AC160" s="106"/>
      <c r="AD160" s="106"/>
      <c r="AE160" s="512"/>
      <c r="AF160" s="106"/>
      <c r="AG160" s="106"/>
      <c r="AH160" s="512"/>
      <c r="AI160" s="512"/>
      <c r="AJ160" s="512"/>
    </row>
    <row r="161" spans="1:60" x14ac:dyDescent="0.2">
      <c r="P161" s="106"/>
      <c r="Q161" s="106"/>
      <c r="R161" s="106"/>
      <c r="S161" s="106"/>
      <c r="T161" s="512"/>
      <c r="U161" s="106"/>
      <c r="V161" s="106"/>
      <c r="W161" s="106"/>
      <c r="X161" s="106"/>
      <c r="Y161" s="106"/>
      <c r="Z161" s="106"/>
      <c r="AA161" s="106"/>
      <c r="AB161" s="106"/>
      <c r="AC161" s="106"/>
      <c r="AD161" s="106"/>
      <c r="AE161" s="106"/>
      <c r="AF161" s="106"/>
      <c r="AG161" s="106"/>
      <c r="AH161" s="512"/>
      <c r="AI161" s="512"/>
      <c r="AJ161" s="512"/>
    </row>
    <row r="162" spans="1:60" x14ac:dyDescent="0.2">
      <c r="P162" s="512"/>
      <c r="Q162" s="512"/>
      <c r="R162" s="512"/>
      <c r="S162" s="512"/>
      <c r="T162" s="512"/>
      <c r="U162" s="512"/>
      <c r="V162" s="512"/>
      <c r="W162" s="106"/>
      <c r="X162" s="106"/>
      <c r="Y162" s="106"/>
      <c r="Z162" s="106"/>
      <c r="AA162" s="106"/>
      <c r="AB162" s="106"/>
      <c r="AC162" s="106"/>
      <c r="AD162" s="106"/>
      <c r="AE162" s="106"/>
      <c r="AF162" s="106"/>
      <c r="AG162" s="106"/>
      <c r="AH162" s="512"/>
      <c r="AI162" s="106"/>
      <c r="AJ162" s="106"/>
      <c r="BH162" s="113"/>
    </row>
    <row r="163" spans="1:60" x14ac:dyDescent="0.2">
      <c r="P163" s="512"/>
      <c r="Q163" s="106"/>
      <c r="R163" s="106"/>
      <c r="S163" s="106"/>
      <c r="T163" s="106"/>
      <c r="U163" s="106"/>
      <c r="V163" s="106"/>
      <c r="W163" s="512"/>
      <c r="X163" s="512"/>
      <c r="Y163" s="512"/>
      <c r="Z163" s="512"/>
      <c r="AA163" s="512"/>
      <c r="AB163" s="512"/>
      <c r="AC163" s="512"/>
      <c r="AD163" s="512"/>
      <c r="AE163" s="512"/>
      <c r="AF163" s="106"/>
      <c r="AG163" s="106"/>
      <c r="AH163" s="512"/>
      <c r="AI163" s="106"/>
      <c r="AJ163" s="106"/>
      <c r="BH163" s="95"/>
    </row>
    <row r="164" spans="1:60" x14ac:dyDescent="0.2">
      <c r="P164" s="512"/>
      <c r="Q164" s="106"/>
      <c r="R164" s="106"/>
      <c r="S164" s="106"/>
      <c r="T164" s="106"/>
      <c r="U164" s="106"/>
      <c r="V164" s="106"/>
      <c r="W164" s="92"/>
      <c r="X164" s="92"/>
      <c r="Y164" s="92"/>
      <c r="Z164" s="92"/>
      <c r="AA164" s="92"/>
      <c r="AB164" s="92"/>
      <c r="AC164" s="92"/>
      <c r="AD164" s="92"/>
      <c r="AE164" s="92"/>
      <c r="AF164" s="92"/>
      <c r="AG164" s="92"/>
      <c r="AH164" s="92"/>
      <c r="AI164" s="92"/>
      <c r="AJ164" s="92"/>
      <c r="AK164" s="512"/>
      <c r="AL164" s="512"/>
      <c r="AM164" s="512"/>
      <c r="AN164" s="512"/>
      <c r="AO164" s="512"/>
      <c r="AP164" s="512"/>
      <c r="BH164" s="95"/>
    </row>
    <row r="165" spans="1:60" x14ac:dyDescent="0.2">
      <c r="A165" s="512"/>
      <c r="B165" s="102"/>
      <c r="C165" s="102"/>
      <c r="D165" s="102"/>
      <c r="E165" s="102"/>
      <c r="F165" s="102"/>
      <c r="G165" s="102"/>
      <c r="H165" s="102"/>
      <c r="I165" s="102"/>
      <c r="J165" s="102"/>
      <c r="K165" s="102"/>
      <c r="L165" s="512"/>
      <c r="M165" s="512"/>
      <c r="N165" s="512"/>
      <c r="O165" s="512"/>
      <c r="P165" s="95"/>
      <c r="Q165" s="95"/>
      <c r="R165" s="95"/>
      <c r="S165" s="95"/>
      <c r="T165" s="95"/>
      <c r="U165" s="95"/>
      <c r="V165" s="95"/>
    </row>
    <row r="166" spans="1:60" x14ac:dyDescent="0.2">
      <c r="A166" s="512"/>
      <c r="B166" s="102"/>
      <c r="C166" s="102"/>
      <c r="D166" s="102"/>
      <c r="E166" s="102"/>
      <c r="F166" s="102"/>
      <c r="G166" s="102"/>
      <c r="H166" s="106"/>
      <c r="I166" s="102"/>
      <c r="J166" s="102"/>
      <c r="K166" s="102"/>
      <c r="L166" s="102"/>
      <c r="M166" s="106"/>
      <c r="N166" s="106"/>
      <c r="O166" s="106"/>
    </row>
    <row r="167" spans="1:60" x14ac:dyDescent="0.2">
      <c r="A167" s="512"/>
      <c r="B167" s="106"/>
      <c r="C167" s="106"/>
      <c r="D167" s="106"/>
      <c r="E167" s="106"/>
      <c r="F167" s="512"/>
      <c r="G167" s="106"/>
      <c r="H167" s="512"/>
      <c r="I167" s="106"/>
      <c r="J167" s="106"/>
      <c r="K167" s="106"/>
      <c r="L167" s="102"/>
      <c r="M167" s="106"/>
      <c r="N167" s="106"/>
      <c r="O167" s="106"/>
    </row>
    <row r="168" spans="1:60" x14ac:dyDescent="0.2">
      <c r="A168" s="512"/>
      <c r="B168" s="106"/>
      <c r="C168" s="106"/>
      <c r="D168" s="106"/>
      <c r="E168" s="106"/>
      <c r="F168" s="106"/>
      <c r="G168" s="106"/>
      <c r="H168" s="106"/>
      <c r="I168" s="106"/>
      <c r="J168" s="106"/>
      <c r="K168" s="106"/>
      <c r="L168" s="106"/>
      <c r="M168" s="512"/>
      <c r="N168" s="512"/>
      <c r="O168" s="512"/>
    </row>
    <row r="169" spans="1:60" x14ac:dyDescent="0.2">
      <c r="A169" s="512"/>
      <c r="B169" s="106"/>
      <c r="C169" s="106"/>
      <c r="D169" s="106"/>
      <c r="E169" s="106"/>
      <c r="F169" s="106"/>
      <c r="G169" s="106"/>
      <c r="H169" s="106"/>
      <c r="I169" s="106"/>
      <c r="J169" s="106"/>
      <c r="K169" s="106"/>
      <c r="L169" s="106"/>
      <c r="M169" s="512"/>
      <c r="N169" s="512"/>
      <c r="O169" s="512"/>
    </row>
    <row r="170" spans="1:60" x14ac:dyDescent="0.2">
      <c r="A170" s="512"/>
      <c r="B170" s="512"/>
      <c r="C170" s="512"/>
      <c r="D170" s="512"/>
      <c r="E170" s="512"/>
      <c r="F170" s="512"/>
      <c r="G170" s="512"/>
      <c r="H170" s="512"/>
      <c r="I170" s="512"/>
      <c r="J170" s="512"/>
      <c r="K170" s="512"/>
      <c r="L170" s="106"/>
      <c r="M170" s="512"/>
      <c r="N170" s="106"/>
      <c r="O170" s="106"/>
    </row>
    <row r="171" spans="1:60" x14ac:dyDescent="0.2">
      <c r="A171" s="112"/>
      <c r="B171" s="112"/>
      <c r="C171" s="112"/>
      <c r="D171" s="112"/>
      <c r="E171" s="112"/>
      <c r="F171" s="112"/>
      <c r="G171" s="112"/>
      <c r="H171" s="112"/>
      <c r="I171" s="112"/>
      <c r="J171" s="112"/>
      <c r="K171" s="112"/>
      <c r="L171" s="512"/>
      <c r="M171" s="512"/>
      <c r="N171" s="106"/>
      <c r="O171" s="106"/>
    </row>
    <row r="175" spans="1:60" x14ac:dyDescent="0.2">
      <c r="AQ175" s="509"/>
      <c r="AR175" s="509"/>
      <c r="AS175" s="509"/>
      <c r="AT175" s="509"/>
      <c r="AU175" s="509"/>
      <c r="AV175" s="509"/>
      <c r="AW175" s="509"/>
      <c r="AX175" s="509"/>
      <c r="AY175" s="509"/>
      <c r="AZ175" s="509"/>
      <c r="BA175" s="509"/>
      <c r="BB175" s="509"/>
      <c r="BC175" s="509"/>
      <c r="BD175" s="509"/>
      <c r="BE175" s="509"/>
      <c r="BF175" s="509"/>
      <c r="BG175" s="509"/>
    </row>
    <row r="177" spans="3:59" x14ac:dyDescent="0.2">
      <c r="J177" s="509"/>
      <c r="K177" s="509"/>
    </row>
    <row r="180" spans="3:59" x14ac:dyDescent="0.2">
      <c r="H180" s="509"/>
      <c r="I180" s="509"/>
    </row>
    <row r="185" spans="3:59" x14ac:dyDescent="0.2">
      <c r="C185" s="509"/>
      <c r="D185" s="509"/>
      <c r="E185" s="509"/>
    </row>
    <row r="189" spans="3:59" x14ac:dyDescent="0.2">
      <c r="AQ189" s="509"/>
      <c r="AR189" s="509"/>
      <c r="AS189" s="509"/>
      <c r="AT189" s="509"/>
      <c r="AU189" s="509"/>
      <c r="AV189" s="509"/>
      <c r="AW189" s="509"/>
      <c r="AX189" s="509"/>
      <c r="AY189" s="509"/>
      <c r="AZ189" s="509"/>
      <c r="BA189" s="509"/>
      <c r="BB189" s="509"/>
      <c r="BC189" s="509"/>
      <c r="BD189" s="509"/>
      <c r="BE189" s="509"/>
      <c r="BF189" s="509"/>
      <c r="BG189" s="509"/>
    </row>
    <row r="191" spans="3:59" x14ac:dyDescent="0.2">
      <c r="H191" s="509"/>
      <c r="I191" s="509"/>
      <c r="J191" s="509"/>
      <c r="K191" s="509"/>
    </row>
    <row r="196" spans="3:59" x14ac:dyDescent="0.2">
      <c r="E196" s="509"/>
    </row>
    <row r="198" spans="3:59" x14ac:dyDescent="0.2">
      <c r="C198" s="509"/>
      <c r="D198" s="509"/>
    </row>
    <row r="200" spans="3:59" x14ac:dyDescent="0.2">
      <c r="AQ200" s="509"/>
      <c r="AR200" s="509"/>
      <c r="AS200" s="509"/>
      <c r="AT200" s="509"/>
      <c r="AU200" s="509"/>
      <c r="AV200" s="509"/>
      <c r="AW200" s="509"/>
      <c r="AX200" s="509"/>
      <c r="AY200" s="509"/>
      <c r="AZ200" s="509"/>
      <c r="BA200" s="509"/>
      <c r="BB200" s="509"/>
      <c r="BC200" s="509"/>
      <c r="BD200" s="509"/>
      <c r="BE200" s="509"/>
      <c r="BF200" s="509"/>
      <c r="BG200" s="509"/>
    </row>
    <row r="202" spans="3:59" x14ac:dyDescent="0.2">
      <c r="J202" s="509"/>
      <c r="K202" s="509"/>
    </row>
  </sheetData>
  <mergeCells count="119">
    <mergeCell ref="G145:J145"/>
    <mergeCell ref="K145:X145"/>
    <mergeCell ref="AM145:AO145"/>
    <mergeCell ref="AP145:BE145"/>
    <mergeCell ref="G146:J146"/>
    <mergeCell ref="AL146:AP146"/>
    <mergeCell ref="E140:AA141"/>
    <mergeCell ref="AF140:AO140"/>
    <mergeCell ref="AP140:BF142"/>
    <mergeCell ref="G142:J143"/>
    <mergeCell ref="K142:Z143"/>
    <mergeCell ref="AM143:AO143"/>
    <mergeCell ref="AP143:BF144"/>
    <mergeCell ref="G144:J144"/>
    <mergeCell ref="K144:X144"/>
    <mergeCell ref="A135:BG135"/>
    <mergeCell ref="A137:AD137"/>
    <mergeCell ref="AE137:BG137"/>
    <mergeCell ref="I138:X138"/>
    <mergeCell ref="D139:AB139"/>
    <mergeCell ref="AP139:BE139"/>
    <mergeCell ref="B111:AC112"/>
    <mergeCell ref="AF111:BG115"/>
    <mergeCell ref="B113:AC121"/>
    <mergeCell ref="AF116:BG120"/>
    <mergeCell ref="AE121:BF121"/>
    <mergeCell ref="B122:AC123"/>
    <mergeCell ref="AF123:BG125"/>
    <mergeCell ref="B124:AC132"/>
    <mergeCell ref="AF126:BG129"/>
    <mergeCell ref="AF130:BG133"/>
    <mergeCell ref="B100:AC104"/>
    <mergeCell ref="AE101:BG101"/>
    <mergeCell ref="AF103:BG105"/>
    <mergeCell ref="A106:AC106"/>
    <mergeCell ref="AF106:BG108"/>
    <mergeCell ref="B108:AC110"/>
    <mergeCell ref="AE109:BG109"/>
    <mergeCell ref="C88:AC93"/>
    <mergeCell ref="AF88:BG94"/>
    <mergeCell ref="A94:B94"/>
    <mergeCell ref="C94:AC96"/>
    <mergeCell ref="AF95:BG99"/>
    <mergeCell ref="A98:AC98"/>
    <mergeCell ref="C80:AC81"/>
    <mergeCell ref="AE80:BF80"/>
    <mergeCell ref="A82:B82"/>
    <mergeCell ref="C82:AC86"/>
    <mergeCell ref="AF82:BG87"/>
    <mergeCell ref="A87:B87"/>
    <mergeCell ref="C87:AC87"/>
    <mergeCell ref="A70:B70"/>
    <mergeCell ref="C70:AC71"/>
    <mergeCell ref="A72:B72"/>
    <mergeCell ref="A79:AC79"/>
    <mergeCell ref="AE79:BG79"/>
    <mergeCell ref="C72:AC76"/>
    <mergeCell ref="A63:AC63"/>
    <mergeCell ref="AE64:AF64"/>
    <mergeCell ref="AG64:BG69"/>
    <mergeCell ref="B65:AC65"/>
    <mergeCell ref="A66:B66"/>
    <mergeCell ref="C66:AC66"/>
    <mergeCell ref="A67:B67"/>
    <mergeCell ref="C67:AC69"/>
    <mergeCell ref="AE70:AF70"/>
    <mergeCell ref="AG70:BG75"/>
    <mergeCell ref="AG50:BG60"/>
    <mergeCell ref="B51:AC53"/>
    <mergeCell ref="A55:AC55"/>
    <mergeCell ref="B57:AC61"/>
    <mergeCell ref="AF61:BG61"/>
    <mergeCell ref="AE62:AF62"/>
    <mergeCell ref="AG62:BG63"/>
    <mergeCell ref="B40:AC43"/>
    <mergeCell ref="AE43:AF43"/>
    <mergeCell ref="AG43:BG44"/>
    <mergeCell ref="B44:AC46"/>
    <mergeCell ref="AE45:AF45"/>
    <mergeCell ref="AG45:BG45"/>
    <mergeCell ref="AE46:AF46"/>
    <mergeCell ref="AG46:BG49"/>
    <mergeCell ref="B47:AC50"/>
    <mergeCell ref="AE50:AF50"/>
    <mergeCell ref="A34:AC34"/>
    <mergeCell ref="AE35:AF35"/>
    <mergeCell ref="AG35:BG36"/>
    <mergeCell ref="A35:AC35"/>
    <mergeCell ref="AF37:BG37"/>
    <mergeCell ref="B37:AC39"/>
    <mergeCell ref="AE38:AF38"/>
    <mergeCell ref="AG38:BG39"/>
    <mergeCell ref="AE40:AF40"/>
    <mergeCell ref="AG40:BG42"/>
    <mergeCell ref="B26:AC30"/>
    <mergeCell ref="AH27:BG28"/>
    <mergeCell ref="AF29:BG29"/>
    <mergeCell ref="AE30:AF30"/>
    <mergeCell ref="AG30:BG31"/>
    <mergeCell ref="B31:AC32"/>
    <mergeCell ref="AE32:AF32"/>
    <mergeCell ref="AG32:BG32"/>
    <mergeCell ref="AE33:AF33"/>
    <mergeCell ref="AG33:BG34"/>
    <mergeCell ref="B13:AC20"/>
    <mergeCell ref="AH17:BG21"/>
    <mergeCell ref="B21:AC25"/>
    <mergeCell ref="AH22:BG23"/>
    <mergeCell ref="AH24:BG25"/>
    <mergeCell ref="AH26:BG26"/>
    <mergeCell ref="A1:AC1"/>
    <mergeCell ref="A3:R3"/>
    <mergeCell ref="S3:AC3"/>
    <mergeCell ref="AH1:BG2"/>
    <mergeCell ref="A5:AC11"/>
    <mergeCell ref="AH3:BG5"/>
    <mergeCell ref="AH6:BG8"/>
    <mergeCell ref="AH9:BG16"/>
    <mergeCell ref="A12:AC12"/>
  </mergeCells>
  <pageMargins left="0.67" right="0.37" top="0.34" bottom="0.17" header="0.35" footer="0.17"/>
  <pageSetup scale="87" orientation="portrait" r:id="rId1"/>
  <headerFooter alignWithMargins="0">
    <oddFooter xml:space="preserve">&amp;C&amp;"Times New Roman,Обычный"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KM4">
    <tabColor theme="3" tint="0.39997558519241921"/>
  </sheetPr>
  <dimension ref="A1:BH202"/>
  <sheetViews>
    <sheetView view="pageBreakPreview" topLeftCell="A13" zoomScaleNormal="120" zoomScaleSheetLayoutView="100" workbookViewId="0">
      <selection activeCell="B24" sqref="B24:AC28"/>
    </sheetView>
  </sheetViews>
  <sheetFormatPr defaultRowHeight="11.25" x14ac:dyDescent="0.2"/>
  <cols>
    <col min="1" max="1" width="3.5703125" style="468" customWidth="1"/>
    <col min="2" max="29" width="1.7109375" style="468" customWidth="1"/>
    <col min="30" max="30" width="2.28515625" style="468" customWidth="1"/>
    <col min="31" max="31" width="3.5703125" style="468" customWidth="1"/>
    <col min="32" max="33" width="1.7109375" style="95" customWidth="1"/>
    <col min="34" max="60" width="1.7109375" style="468" customWidth="1"/>
    <col min="61" max="16384" width="9.140625" style="468"/>
  </cols>
  <sheetData>
    <row r="1" spans="1:59" x14ac:dyDescent="0.2">
      <c r="A1" s="695" t="str">
        <f>"KREDİT  MÜQAVİLƏSİ  "&amp;LD_NUM</f>
        <v>KREDİT  MÜQAVİLƏSİ  LD/15212/00143</v>
      </c>
      <c r="B1" s="695"/>
      <c r="C1" s="695"/>
      <c r="D1" s="695"/>
      <c r="E1" s="695"/>
      <c r="F1" s="695"/>
      <c r="G1" s="695"/>
      <c r="H1" s="695"/>
      <c r="I1" s="695"/>
      <c r="J1" s="695"/>
      <c r="K1" s="695"/>
      <c r="L1" s="695"/>
      <c r="M1" s="695"/>
      <c r="N1" s="695"/>
      <c r="O1" s="695"/>
      <c r="P1" s="695"/>
      <c r="Q1" s="695"/>
      <c r="R1" s="695"/>
      <c r="S1" s="695"/>
      <c r="T1" s="695"/>
      <c r="U1" s="695"/>
      <c r="V1" s="695"/>
      <c r="W1" s="695"/>
      <c r="X1" s="695"/>
      <c r="Y1" s="695"/>
      <c r="Z1" s="695"/>
      <c r="AA1" s="695"/>
      <c r="AB1" s="695"/>
      <c r="AC1" s="695"/>
      <c r="AD1" s="456"/>
      <c r="AG1" s="694" t="str">
        <f>"müqavilə üzrə müəyyən edilmiş bütün öhdəliklərin icra edilməsini «Borc alan»dan tələ"&amp;"b edə bilər:"</f>
        <v>müqavilə üzrə müəyyən edilmiş bütün öhdəliklərin icra edilməsini «Borc alan»dan tələb edə bilər:</v>
      </c>
      <c r="AH1" s="694"/>
      <c r="AI1" s="694"/>
      <c r="AJ1" s="694"/>
      <c r="AK1" s="694"/>
      <c r="AL1" s="694"/>
      <c r="AM1" s="694"/>
      <c r="AN1" s="694"/>
      <c r="AO1" s="694"/>
      <c r="AP1" s="694"/>
      <c r="AQ1" s="694"/>
      <c r="AR1" s="694"/>
      <c r="AS1" s="694"/>
      <c r="AT1" s="694"/>
      <c r="AU1" s="694"/>
      <c r="AV1" s="694"/>
      <c r="AW1" s="694"/>
      <c r="AX1" s="694"/>
      <c r="AY1" s="694"/>
      <c r="AZ1" s="694"/>
      <c r="BA1" s="694"/>
      <c r="BB1" s="694"/>
      <c r="BC1" s="694"/>
      <c r="BD1" s="694"/>
      <c r="BE1" s="694"/>
      <c r="BF1" s="694"/>
      <c r="BG1" s="694"/>
    </row>
    <row r="2" spans="1:59" x14ac:dyDescent="0.2">
      <c r="A2" s="456"/>
      <c r="B2" s="456"/>
      <c r="C2" s="456"/>
      <c r="D2" s="456"/>
      <c r="E2" s="456"/>
      <c r="F2" s="456"/>
      <c r="G2" s="456"/>
      <c r="H2" s="456"/>
      <c r="I2" s="456"/>
      <c r="J2" s="456"/>
      <c r="K2" s="456"/>
      <c r="L2" s="456"/>
      <c r="M2" s="456"/>
      <c r="N2" s="456"/>
      <c r="O2" s="456"/>
      <c r="P2" s="456"/>
      <c r="Q2" s="456"/>
      <c r="R2" s="456"/>
      <c r="S2" s="456"/>
      <c r="T2" s="456"/>
      <c r="U2" s="456"/>
      <c r="V2" s="456"/>
      <c r="W2" s="456"/>
      <c r="X2" s="456"/>
      <c r="Y2" s="456"/>
      <c r="Z2" s="456"/>
      <c r="AA2" s="456"/>
      <c r="AB2" s="456"/>
      <c r="AC2" s="456"/>
      <c r="AD2" s="456"/>
      <c r="AG2" s="694"/>
      <c r="AH2" s="694"/>
      <c r="AI2" s="694"/>
      <c r="AJ2" s="694"/>
      <c r="AK2" s="694"/>
      <c r="AL2" s="694"/>
      <c r="AM2" s="694"/>
      <c r="AN2" s="694"/>
      <c r="AO2" s="694"/>
      <c r="AP2" s="694"/>
      <c r="AQ2" s="694"/>
      <c r="AR2" s="694"/>
      <c r="AS2" s="694"/>
      <c r="AT2" s="694"/>
      <c r="AU2" s="694"/>
      <c r="AV2" s="694"/>
      <c r="AW2" s="694"/>
      <c r="AX2" s="694"/>
      <c r="AY2" s="694"/>
      <c r="AZ2" s="694"/>
      <c r="BA2" s="694"/>
      <c r="BB2" s="694"/>
      <c r="BC2" s="694"/>
      <c r="BD2" s="694"/>
      <c r="BE2" s="694"/>
      <c r="BF2" s="694"/>
      <c r="BG2" s="694"/>
    </row>
    <row r="3" spans="1:59" x14ac:dyDescent="0.2">
      <c r="A3" s="696" t="str">
        <f>NAME_REGION</f>
        <v>Ağcabədi şəhəri</v>
      </c>
      <c r="B3" s="696"/>
      <c r="C3" s="696"/>
      <c r="D3" s="696"/>
      <c r="E3" s="696"/>
      <c r="F3" s="696"/>
      <c r="G3" s="696"/>
      <c r="H3" s="696"/>
      <c r="I3" s="696"/>
      <c r="J3" s="696"/>
      <c r="K3" s="696"/>
      <c r="L3" s="696"/>
      <c r="M3" s="696"/>
      <c r="N3" s="696"/>
      <c r="O3" s="696"/>
      <c r="P3" s="696"/>
      <c r="Q3" s="696"/>
      <c r="R3" s="696"/>
      <c r="S3" s="697" t="str">
        <f>START_DATE_KREDIT_SOZLE</f>
        <v>«31» İyul 2015-ci il</v>
      </c>
      <c r="T3" s="697"/>
      <c r="U3" s="697"/>
      <c r="V3" s="697"/>
      <c r="W3" s="697"/>
      <c r="X3" s="697"/>
      <c r="Y3" s="697"/>
      <c r="Z3" s="697"/>
      <c r="AA3" s="697"/>
      <c r="AB3" s="697"/>
      <c r="AC3" s="697"/>
      <c r="AD3" s="456"/>
      <c r="AG3" s="464" t="s">
        <v>49</v>
      </c>
      <c r="AH3" s="694" t="str">
        <f>"«Borc alan»ın krediti və onun faizlərinin ödənilməsi  dövriliyini ən az 2 (iki) dəfə 5 (b"&amp;"eş) təqvim günündən çox pozduqda;"</f>
        <v>«Borc alan»ın krediti və onun faizlərinin ödənilməsi  dövriliyini ən az 2 (iki) dəfə 5 (beş) təqvim günündən çox pozduqda;</v>
      </c>
      <c r="AI3" s="694"/>
      <c r="AJ3" s="694"/>
      <c r="AK3" s="694"/>
      <c r="AL3" s="694"/>
      <c r="AM3" s="694"/>
      <c r="AN3" s="694"/>
      <c r="AO3" s="694"/>
      <c r="AP3" s="694"/>
      <c r="AQ3" s="694"/>
      <c r="AR3" s="694"/>
      <c r="AS3" s="694"/>
      <c r="AT3" s="694"/>
      <c r="AU3" s="694"/>
      <c r="AV3" s="694"/>
      <c r="AW3" s="694"/>
      <c r="AX3" s="694"/>
      <c r="AY3" s="694"/>
      <c r="AZ3" s="694"/>
      <c r="BA3" s="694"/>
      <c r="BB3" s="694"/>
      <c r="BC3" s="694"/>
      <c r="BD3" s="694"/>
      <c r="BE3" s="694"/>
      <c r="BF3" s="694"/>
      <c r="BG3" s="694"/>
    </row>
    <row r="4" spans="1:59" x14ac:dyDescent="0.2">
      <c r="AD4" s="456"/>
      <c r="AG4" s="464"/>
      <c r="AH4" s="694"/>
      <c r="AI4" s="694"/>
      <c r="AJ4" s="694"/>
      <c r="AK4" s="694"/>
      <c r="AL4" s="694"/>
      <c r="AM4" s="694"/>
      <c r="AN4" s="694"/>
      <c r="AO4" s="694"/>
      <c r="AP4" s="694"/>
      <c r="AQ4" s="694"/>
      <c r="AR4" s="694"/>
      <c r="AS4" s="694"/>
      <c r="AT4" s="694"/>
      <c r="AU4" s="694"/>
      <c r="AV4" s="694"/>
      <c r="AW4" s="694"/>
      <c r="AX4" s="694"/>
      <c r="AY4" s="694"/>
      <c r="AZ4" s="694"/>
      <c r="BA4" s="694"/>
      <c r="BB4" s="694"/>
      <c r="BC4" s="694"/>
      <c r="BD4" s="694"/>
      <c r="BE4" s="694"/>
      <c r="BF4" s="694"/>
      <c r="BG4" s="694"/>
    </row>
    <row r="5" spans="1:59" x14ac:dyDescent="0.2">
      <c r="A5" s="694" t="str">
        <f>"Bir tərəfdən bundan sonra «Borc verən» adlanacaq, Azərbaycan Respublikasının Mərkəzi Bankı  tərəfindən  verilmiş  lisenziya və Nizamnamə əsasında fəaliyyət göstərən, Bank Olmayan Kredit Təşkilatı «Vijn Fond Azərkredit» MMC, "&amp;NAME_BRANCH&amp;"  "&amp;POSITION_MENEGER_BRANCH&amp;" "&amp;SURNAME_MENEGER_BRANCH&amp;" "&amp;NAME_MENEGER_BRANCH&amp;" "&amp;FATHERNAME_MENEGER_BRANCH&amp;" "&amp;G_MENEGER_BRANCH&amp;"nun şəxsində və digər tərəfdən  bundan sonra  «Borc alan»  adlanacaq "&amp;SURNAME_KREDITOR&amp;" "&amp;NAME_KREDITOR&amp;" "&amp;FATHERNAME_KREDITOR&amp;" "&amp;G_KREDITOR&amp;"  aşağıdakı məzmunda və şərtlərlə bu müqaviləni bağladılar."</f>
        <v>Bir tərəfdən bundan sonra «Borc verən» adlanacaq, Azərbaycan Respublikasının Mərkəzi Bankı  tərəfindən  verilmiş  lisenziya və Nizamnamə əsasında fəaliyyət göstərən, Bank Olmayan Kredit Təşkilatı «Vijn Fond Azərkredit» MMC, Ağcabədi  Filialının  kredit meneceri Əhmədov  Bəhruz  Tofiq  oğlunun şəxsində və digər tərəfdən  bundan sonra  «Borc alan»  adlanacaq Həsənov Kənan Asdan qızı  aşağıdakı məzmunda və şərtlərlə bu müqaviləni bağladılar.</v>
      </c>
      <c r="B5" s="694"/>
      <c r="C5" s="694"/>
      <c r="D5" s="694"/>
      <c r="E5" s="694"/>
      <c r="F5" s="694"/>
      <c r="G5" s="694"/>
      <c r="H5" s="694"/>
      <c r="I5" s="694"/>
      <c r="J5" s="694"/>
      <c r="K5" s="694"/>
      <c r="L5" s="694"/>
      <c r="M5" s="694"/>
      <c r="N5" s="694"/>
      <c r="O5" s="694"/>
      <c r="P5" s="694"/>
      <c r="Q5" s="694"/>
      <c r="R5" s="694"/>
      <c r="S5" s="694"/>
      <c r="T5" s="694"/>
      <c r="U5" s="694"/>
      <c r="V5" s="694"/>
      <c r="W5" s="694"/>
      <c r="X5" s="694"/>
      <c r="Y5" s="694"/>
      <c r="Z5" s="694"/>
      <c r="AA5" s="694"/>
      <c r="AB5" s="694"/>
      <c r="AC5" s="694"/>
      <c r="AD5" s="456"/>
      <c r="AG5" s="464" t="s">
        <v>47</v>
      </c>
      <c r="AH5" s="694" t="str">
        <f>"«Borc alan»ın krediti və onun faizlərinin ödənilməsi  dövriliyini bu müqavilənin tərkib hissəsi ola"&amp;"n ödəniş cədvəli üzrə müəyyən edilmiş müddətdən 7 (yeddi) təqvim günündən artıq  gecikdirdikdə;"</f>
        <v>«Borc alan»ın krediti və onun faizlərinin ödənilməsi  dövriliyini bu müqavilənin tərkib hissəsi olan ödəniş cədvəli üzrə müəyyən edilmiş müddətdən 7 (yeddi) təqvim günündən artıq  gecikdirdikdə;</v>
      </c>
      <c r="AI5" s="694"/>
      <c r="AJ5" s="694"/>
      <c r="AK5" s="694"/>
      <c r="AL5" s="694"/>
      <c r="AM5" s="694"/>
      <c r="AN5" s="694"/>
      <c r="AO5" s="694"/>
      <c r="AP5" s="694"/>
      <c r="AQ5" s="694"/>
      <c r="AR5" s="694"/>
      <c r="AS5" s="694"/>
      <c r="AT5" s="694"/>
      <c r="AU5" s="694"/>
      <c r="AV5" s="694"/>
      <c r="AW5" s="694"/>
      <c r="AX5" s="694"/>
      <c r="AY5" s="694"/>
      <c r="AZ5" s="694"/>
      <c r="BA5" s="694"/>
      <c r="BB5" s="694"/>
      <c r="BC5" s="694"/>
      <c r="BD5" s="694"/>
      <c r="BE5" s="694"/>
      <c r="BF5" s="694"/>
      <c r="BG5" s="694"/>
    </row>
    <row r="6" spans="1:59" x14ac:dyDescent="0.2">
      <c r="A6" s="694"/>
      <c r="B6" s="694"/>
      <c r="C6" s="694"/>
      <c r="D6" s="694"/>
      <c r="E6" s="694"/>
      <c r="F6" s="694"/>
      <c r="G6" s="694"/>
      <c r="H6" s="694"/>
      <c r="I6" s="694"/>
      <c r="J6" s="694"/>
      <c r="K6" s="694"/>
      <c r="L6" s="694"/>
      <c r="M6" s="694"/>
      <c r="N6" s="694"/>
      <c r="O6" s="694"/>
      <c r="P6" s="694"/>
      <c r="Q6" s="694"/>
      <c r="R6" s="694"/>
      <c r="S6" s="694"/>
      <c r="T6" s="694"/>
      <c r="U6" s="694"/>
      <c r="V6" s="694"/>
      <c r="W6" s="694"/>
      <c r="X6" s="694"/>
      <c r="Y6" s="694"/>
      <c r="Z6" s="694"/>
      <c r="AA6" s="694"/>
      <c r="AB6" s="694"/>
      <c r="AC6" s="694"/>
      <c r="AD6" s="456"/>
      <c r="AG6" s="464"/>
      <c r="AH6" s="694"/>
      <c r="AI6" s="694"/>
      <c r="AJ6" s="694"/>
      <c r="AK6" s="694"/>
      <c r="AL6" s="694"/>
      <c r="AM6" s="694"/>
      <c r="AN6" s="694"/>
      <c r="AO6" s="694"/>
      <c r="AP6" s="694"/>
      <c r="AQ6" s="694"/>
      <c r="AR6" s="694"/>
      <c r="AS6" s="694"/>
      <c r="AT6" s="694"/>
      <c r="AU6" s="694"/>
      <c r="AV6" s="694"/>
      <c r="AW6" s="694"/>
      <c r="AX6" s="694"/>
      <c r="AY6" s="694"/>
      <c r="AZ6" s="694"/>
      <c r="BA6" s="694"/>
      <c r="BB6" s="694"/>
      <c r="BC6" s="694"/>
      <c r="BD6" s="694"/>
      <c r="BE6" s="694"/>
      <c r="BF6" s="694"/>
      <c r="BG6" s="694"/>
    </row>
    <row r="7" spans="1:59" x14ac:dyDescent="0.2">
      <c r="A7" s="694"/>
      <c r="B7" s="694"/>
      <c r="C7" s="694"/>
      <c r="D7" s="694"/>
      <c r="E7" s="694"/>
      <c r="F7" s="694"/>
      <c r="G7" s="694"/>
      <c r="H7" s="694"/>
      <c r="I7" s="694"/>
      <c r="J7" s="694"/>
      <c r="K7" s="694"/>
      <c r="L7" s="694"/>
      <c r="M7" s="694"/>
      <c r="N7" s="694"/>
      <c r="O7" s="694"/>
      <c r="P7" s="694"/>
      <c r="Q7" s="694"/>
      <c r="R7" s="694"/>
      <c r="S7" s="694"/>
      <c r="T7" s="694"/>
      <c r="U7" s="694"/>
      <c r="V7" s="694"/>
      <c r="W7" s="694"/>
      <c r="X7" s="694"/>
      <c r="Y7" s="694"/>
      <c r="Z7" s="694"/>
      <c r="AA7" s="694"/>
      <c r="AB7" s="694"/>
      <c r="AC7" s="694"/>
      <c r="AD7" s="456"/>
      <c r="AG7" s="464"/>
      <c r="AH7" s="694"/>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row>
    <row r="8" spans="1:59" x14ac:dyDescent="0.2">
      <c r="A8" s="694"/>
      <c r="B8" s="694"/>
      <c r="C8" s="694"/>
      <c r="D8" s="694"/>
      <c r="E8" s="694"/>
      <c r="F8" s="694"/>
      <c r="G8" s="694"/>
      <c r="H8" s="694"/>
      <c r="I8" s="694"/>
      <c r="J8" s="694"/>
      <c r="K8" s="694"/>
      <c r="L8" s="694"/>
      <c r="M8" s="694"/>
      <c r="N8" s="694"/>
      <c r="O8" s="694"/>
      <c r="P8" s="694"/>
      <c r="Q8" s="694"/>
      <c r="R8" s="694"/>
      <c r="S8" s="694"/>
      <c r="T8" s="694"/>
      <c r="U8" s="694"/>
      <c r="V8" s="694"/>
      <c r="W8" s="694"/>
      <c r="X8" s="694"/>
      <c r="Y8" s="694"/>
      <c r="Z8" s="694"/>
      <c r="AA8" s="694"/>
      <c r="AB8" s="694"/>
      <c r="AC8" s="694"/>
      <c r="AD8" s="456"/>
      <c r="AG8" s="464" t="s">
        <v>46</v>
      </c>
      <c r="AH8" s="694" t="s">
        <v>440</v>
      </c>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row>
    <row r="9" spans="1:59" x14ac:dyDescent="0.2">
      <c r="A9" s="694"/>
      <c r="B9" s="694"/>
      <c r="C9" s="694"/>
      <c r="D9" s="694"/>
      <c r="E9" s="694"/>
      <c r="F9" s="694"/>
      <c r="G9" s="694"/>
      <c r="H9" s="694"/>
      <c r="I9" s="694"/>
      <c r="J9" s="694"/>
      <c r="K9" s="694"/>
      <c r="L9" s="694"/>
      <c r="M9" s="694"/>
      <c r="N9" s="694"/>
      <c r="O9" s="694"/>
      <c r="P9" s="694"/>
      <c r="Q9" s="694"/>
      <c r="R9" s="694"/>
      <c r="S9" s="694"/>
      <c r="T9" s="694"/>
      <c r="U9" s="694"/>
      <c r="V9" s="694"/>
      <c r="W9" s="694"/>
      <c r="X9" s="694"/>
      <c r="Y9" s="694"/>
      <c r="Z9" s="694"/>
      <c r="AA9" s="694"/>
      <c r="AB9" s="694"/>
      <c r="AC9" s="694"/>
      <c r="AD9" s="456"/>
      <c r="AG9" s="464"/>
      <c r="AH9" s="694"/>
      <c r="AI9" s="694"/>
      <c r="AJ9" s="694"/>
      <c r="AK9" s="694"/>
      <c r="AL9" s="694"/>
      <c r="AM9" s="694"/>
      <c r="AN9" s="694"/>
      <c r="AO9" s="694"/>
      <c r="AP9" s="694"/>
      <c r="AQ9" s="694"/>
      <c r="AR9" s="694"/>
      <c r="AS9" s="694"/>
      <c r="AT9" s="694"/>
      <c r="AU9" s="694"/>
      <c r="AV9" s="694"/>
      <c r="AW9" s="694"/>
      <c r="AX9" s="694"/>
      <c r="AY9" s="694"/>
      <c r="AZ9" s="694"/>
      <c r="BA9" s="694"/>
      <c r="BB9" s="694"/>
      <c r="BC9" s="694"/>
      <c r="BD9" s="694"/>
      <c r="BE9" s="694"/>
      <c r="BF9" s="694"/>
      <c r="BG9" s="694"/>
    </row>
    <row r="10" spans="1:59" x14ac:dyDescent="0.2">
      <c r="A10" s="694"/>
      <c r="B10" s="694"/>
      <c r="C10" s="694"/>
      <c r="D10" s="694"/>
      <c r="E10" s="694"/>
      <c r="F10" s="694"/>
      <c r="G10" s="694"/>
      <c r="H10" s="694"/>
      <c r="I10" s="694"/>
      <c r="J10" s="694"/>
      <c r="K10" s="694"/>
      <c r="L10" s="694"/>
      <c r="M10" s="694"/>
      <c r="N10" s="694"/>
      <c r="O10" s="694"/>
      <c r="P10" s="694"/>
      <c r="Q10" s="694"/>
      <c r="R10" s="694"/>
      <c r="S10" s="694"/>
      <c r="T10" s="694"/>
      <c r="U10" s="694"/>
      <c r="V10" s="694"/>
      <c r="W10" s="694"/>
      <c r="X10" s="694"/>
      <c r="Y10" s="694"/>
      <c r="Z10" s="694"/>
      <c r="AA10" s="694"/>
      <c r="AB10" s="694"/>
      <c r="AC10" s="694"/>
      <c r="AD10" s="456"/>
      <c r="AG10" s="464"/>
      <c r="AH10" s="694"/>
      <c r="AI10" s="694"/>
      <c r="AJ10" s="694"/>
      <c r="AK10" s="694"/>
      <c r="AL10" s="694"/>
      <c r="AM10" s="694"/>
      <c r="AN10" s="694"/>
      <c r="AO10" s="694"/>
      <c r="AP10" s="694"/>
      <c r="AQ10" s="694"/>
      <c r="AR10" s="694"/>
      <c r="AS10" s="694"/>
      <c r="AT10" s="694"/>
      <c r="AU10" s="694"/>
      <c r="AV10" s="694"/>
      <c r="AW10" s="694"/>
      <c r="AX10" s="694"/>
      <c r="AY10" s="694"/>
      <c r="AZ10" s="694"/>
      <c r="BA10" s="694"/>
      <c r="BB10" s="694"/>
      <c r="BC10" s="694"/>
      <c r="BD10" s="694"/>
      <c r="BE10" s="694"/>
      <c r="BF10" s="694"/>
      <c r="BG10" s="694"/>
    </row>
    <row r="11" spans="1:59" x14ac:dyDescent="0.2">
      <c r="A11" s="694"/>
      <c r="B11" s="694"/>
      <c r="C11" s="694"/>
      <c r="D11" s="694"/>
      <c r="E11" s="694"/>
      <c r="F11" s="694"/>
      <c r="G11" s="694"/>
      <c r="H11" s="694"/>
      <c r="I11" s="694"/>
      <c r="J11" s="694"/>
      <c r="K11" s="694"/>
      <c r="L11" s="694"/>
      <c r="M11" s="694"/>
      <c r="N11" s="694"/>
      <c r="O11" s="694"/>
      <c r="P11" s="694"/>
      <c r="Q11" s="694"/>
      <c r="R11" s="694"/>
      <c r="S11" s="694"/>
      <c r="T11" s="694"/>
      <c r="U11" s="694"/>
      <c r="V11" s="694"/>
      <c r="W11" s="694"/>
      <c r="X11" s="694"/>
      <c r="Y11" s="694"/>
      <c r="Z11" s="694"/>
      <c r="AA11" s="694"/>
      <c r="AB11" s="694"/>
      <c r="AC11" s="694"/>
      <c r="AD11" s="456"/>
      <c r="AG11" s="464" t="s">
        <v>467</v>
      </c>
      <c r="AH11" s="694" t="str">
        <f>"«Borc alan» tərəfindən «Borc verən»i aldatmağa yönəlmiş hər hansı bir hərəkətin edildiyi, o cümlədən «Borc alan» özünün fəaliyyəti, iqtisadi maliyyə imkanları və bu müqavilə üzrə öhdəliyin vaxtında və lazımi qaydada icrası üçün əhəmiyyətli olan digər "&amp;"faktlar (dövlət büdcəsinə, digər hüquqi və fiziki şəxslərə olan borclar,"&amp;"kreditorlar qarşısında icra edilməmiş mülki-hüquqi öhdəliklər  və s.) haqqında verdiyi məlumatla"&amp;"rın və təqdim etdiyi sənədlərin həqiqətə uyğun olmadığı aşkar edildikdə;"</f>
        <v>«Borc alan» tərəfindən «Borc verən»i aldatmağa yönəlmiş hər hansı bir hərəkətin edildiyi, o cümlədən «Borc alan» özünün fəaliyyəti, iqtisadi maliyyə imkanları və bu müqavilə üzrə öhdəliyin vaxtında və lazımi qaydada icrası üçün əhəmiyyətli olan digər faktlar (dövlət büdcəsinə, digər hüquqi və fiziki şəxslərə olan borclar,kreditorlar qarşısında icra edilməmiş mülki-hüquqi öhdəliklər  və s.) haqqında verdiyi məlumatların və təqdim etdiyi sənədlərin həqiqətə uyğun olmadığı aşkar edildikdə;</v>
      </c>
      <c r="AI11" s="694"/>
      <c r="AJ11" s="694"/>
      <c r="AK11" s="694"/>
      <c r="AL11" s="694"/>
      <c r="AM11" s="694"/>
      <c r="AN11" s="694"/>
      <c r="AO11" s="694"/>
      <c r="AP11" s="694"/>
      <c r="AQ11" s="694"/>
      <c r="AR11" s="694"/>
      <c r="AS11" s="694"/>
      <c r="AT11" s="694"/>
      <c r="AU11" s="694"/>
      <c r="AV11" s="694"/>
      <c r="AW11" s="694"/>
      <c r="AX11" s="694"/>
      <c r="AY11" s="694"/>
      <c r="AZ11" s="694"/>
      <c r="BA11" s="694"/>
      <c r="BB11" s="694"/>
      <c r="BC11" s="694"/>
      <c r="BD11" s="694"/>
      <c r="BE11" s="694"/>
      <c r="BF11" s="694"/>
      <c r="BG11" s="694"/>
    </row>
    <row r="12" spans="1:59" x14ac:dyDescent="0.2">
      <c r="A12" s="695" t="s">
        <v>164</v>
      </c>
      <c r="B12" s="695"/>
      <c r="C12" s="695"/>
      <c r="D12" s="695"/>
      <c r="E12" s="695"/>
      <c r="F12" s="695"/>
      <c r="G12" s="695"/>
      <c r="H12" s="695"/>
      <c r="I12" s="695"/>
      <c r="J12" s="695"/>
      <c r="K12" s="695"/>
      <c r="L12" s="695"/>
      <c r="M12" s="695"/>
      <c r="N12" s="695"/>
      <c r="O12" s="695"/>
      <c r="P12" s="695"/>
      <c r="Q12" s="695"/>
      <c r="R12" s="695"/>
      <c r="S12" s="695"/>
      <c r="T12" s="695"/>
      <c r="U12" s="695"/>
      <c r="V12" s="695"/>
      <c r="W12" s="695"/>
      <c r="X12" s="695"/>
      <c r="Y12" s="695"/>
      <c r="Z12" s="695"/>
      <c r="AA12" s="695"/>
      <c r="AB12" s="695"/>
      <c r="AC12" s="695"/>
      <c r="AD12" s="456"/>
      <c r="AG12" s="464"/>
      <c r="AH12" s="694"/>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row>
    <row r="13" spans="1:59" x14ac:dyDescent="0.2">
      <c r="A13" s="99" t="s">
        <v>93</v>
      </c>
      <c r="B13" s="694" t="str">
        <f>"Bu müqaviləyə görə «Borc verən» «Borc alan»a sonuncunun öz biznesini inkişaf etdirmək və həyat səviyyəsini yaxşılaşdırmaq üçün "&amp;OLD_DATE_KREDIT_SOZLE&amp;" tarixli LD/"&amp;LEFT(OLD_LD,5)&amp;"/"&amp;RIGHT(OLD_LD,5)&amp;" nömrəli kredit müqaviləsi əsasında götürdüyü kredit üzrə "&amp;START_DATE_KREDIT_SOZLE&amp;" tarixə olan qalıq öhdəliyinin ABŞ dollarından manata konvertasiyasını  edir, «Borc alan» isə konvertas"&amp;"iya edilmiş yeni öhdəliyi qəbul edir və həmin krediti bu müqavilə ilə müəyyən olunmuş müddətdə faizi ilə birlikdə «Borc verən»ə qaytarmağı öz öhdəsinə götürür."</f>
        <v>Bu müqaviləyə görə «Borc verən» «Borc alan»a sonuncunun öz biznesini inkişaf etdirmək və həyat səviyyəsini yaxşılaşdırmaq üçün «27» İyul 2014-cü il tarixli LD/12345/67890 nömrəli kredit müqaviləsi əsasında götürdüyü kredit üzrə «31» İyul 2015-ci il tarixə olan qalıq öhdəliyinin ABŞ dollarından manata konvertasiyasını  edir, «Borc alan» isə konvertasiya edilmiş yeni öhdəliyi qəbul edir və həmin krediti bu müqavilə ilə müəyyən olunmuş müddətdə faizi ilə birlikdə «Borc verən»ə qaytarmağı öz öhdəsinə götürür.</v>
      </c>
      <c r="C13" s="694"/>
      <c r="D13" s="694"/>
      <c r="E13" s="694"/>
      <c r="F13" s="694"/>
      <c r="G13" s="694"/>
      <c r="H13" s="694"/>
      <c r="I13" s="694"/>
      <c r="J13" s="694"/>
      <c r="K13" s="694"/>
      <c r="L13" s="694"/>
      <c r="M13" s="694"/>
      <c r="N13" s="694"/>
      <c r="O13" s="694"/>
      <c r="P13" s="694"/>
      <c r="Q13" s="694"/>
      <c r="R13" s="694"/>
      <c r="S13" s="694"/>
      <c r="T13" s="694"/>
      <c r="U13" s="694"/>
      <c r="V13" s="694"/>
      <c r="W13" s="694"/>
      <c r="X13" s="694"/>
      <c r="Y13" s="694"/>
      <c r="Z13" s="694"/>
      <c r="AA13" s="694"/>
      <c r="AB13" s="694"/>
      <c r="AC13" s="694"/>
      <c r="AD13" s="456"/>
      <c r="AG13" s="464"/>
      <c r="AH13" s="694"/>
      <c r="AI13" s="694"/>
      <c r="AJ13" s="694"/>
      <c r="AK13" s="694"/>
      <c r="AL13" s="694"/>
      <c r="AM13" s="694"/>
      <c r="AN13" s="694"/>
      <c r="AO13" s="694"/>
      <c r="AP13" s="694"/>
      <c r="AQ13" s="694"/>
      <c r="AR13" s="694"/>
      <c r="AS13" s="694"/>
      <c r="AT13" s="694"/>
      <c r="AU13" s="694"/>
      <c r="AV13" s="694"/>
      <c r="AW13" s="694"/>
      <c r="AX13" s="694"/>
      <c r="AY13" s="694"/>
      <c r="AZ13" s="694"/>
      <c r="BA13" s="694"/>
      <c r="BB13" s="694"/>
      <c r="BC13" s="694"/>
      <c r="BD13" s="694"/>
      <c r="BE13" s="694"/>
      <c r="BF13" s="694"/>
      <c r="BG13" s="694"/>
    </row>
    <row r="14" spans="1:59" x14ac:dyDescent="0.2">
      <c r="A14" s="99"/>
      <c r="B14" s="694"/>
      <c r="C14" s="694"/>
      <c r="D14" s="694"/>
      <c r="E14" s="694"/>
      <c r="F14" s="694"/>
      <c r="G14" s="694"/>
      <c r="H14" s="694"/>
      <c r="I14" s="694"/>
      <c r="J14" s="694"/>
      <c r="K14" s="694"/>
      <c r="L14" s="694"/>
      <c r="M14" s="694"/>
      <c r="N14" s="694"/>
      <c r="O14" s="694"/>
      <c r="P14" s="694"/>
      <c r="Q14" s="694"/>
      <c r="R14" s="694"/>
      <c r="S14" s="694"/>
      <c r="T14" s="694"/>
      <c r="U14" s="694"/>
      <c r="V14" s="694"/>
      <c r="W14" s="694"/>
      <c r="X14" s="694"/>
      <c r="Y14" s="694"/>
      <c r="Z14" s="694"/>
      <c r="AA14" s="694"/>
      <c r="AB14" s="694"/>
      <c r="AC14" s="694"/>
      <c r="AD14" s="456"/>
      <c r="AG14" s="464"/>
      <c r="AH14" s="694"/>
      <c r="AI14" s="694"/>
      <c r="AJ14" s="694"/>
      <c r="AK14" s="694"/>
      <c r="AL14" s="694"/>
      <c r="AM14" s="694"/>
      <c r="AN14" s="694"/>
      <c r="AO14" s="694"/>
      <c r="AP14" s="694"/>
      <c r="AQ14" s="694"/>
      <c r="AR14" s="694"/>
      <c r="AS14" s="694"/>
      <c r="AT14" s="694"/>
      <c r="AU14" s="694"/>
      <c r="AV14" s="694"/>
      <c r="AW14" s="694"/>
      <c r="AX14" s="694"/>
      <c r="AY14" s="694"/>
      <c r="AZ14" s="694"/>
      <c r="BA14" s="694"/>
      <c r="BB14" s="694"/>
      <c r="BC14" s="694"/>
      <c r="BD14" s="694"/>
      <c r="BE14" s="694"/>
      <c r="BF14" s="694"/>
      <c r="BG14" s="694"/>
    </row>
    <row r="15" spans="1:59" x14ac:dyDescent="0.2">
      <c r="B15" s="694"/>
      <c r="C15" s="694"/>
      <c r="D15" s="694"/>
      <c r="E15" s="694"/>
      <c r="F15" s="694"/>
      <c r="G15" s="694"/>
      <c r="H15" s="694"/>
      <c r="I15" s="694"/>
      <c r="J15" s="694"/>
      <c r="K15" s="694"/>
      <c r="L15" s="694"/>
      <c r="M15" s="694"/>
      <c r="N15" s="694"/>
      <c r="O15" s="694"/>
      <c r="P15" s="694"/>
      <c r="Q15" s="694"/>
      <c r="R15" s="694"/>
      <c r="S15" s="694"/>
      <c r="T15" s="694"/>
      <c r="U15" s="694"/>
      <c r="V15" s="694"/>
      <c r="W15" s="694"/>
      <c r="X15" s="694"/>
      <c r="Y15" s="694"/>
      <c r="Z15" s="694"/>
      <c r="AA15" s="694"/>
      <c r="AB15" s="694"/>
      <c r="AC15" s="694"/>
      <c r="AD15" s="456"/>
      <c r="AG15" s="464"/>
      <c r="AH15" s="694"/>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row>
    <row r="16" spans="1:59" x14ac:dyDescent="0.2">
      <c r="B16" s="694"/>
      <c r="C16" s="694"/>
      <c r="D16" s="694"/>
      <c r="E16" s="694"/>
      <c r="F16" s="694"/>
      <c r="G16" s="694"/>
      <c r="H16" s="694"/>
      <c r="I16" s="694"/>
      <c r="J16" s="694"/>
      <c r="K16" s="694"/>
      <c r="L16" s="694"/>
      <c r="M16" s="694"/>
      <c r="N16" s="694"/>
      <c r="O16" s="694"/>
      <c r="P16" s="694"/>
      <c r="Q16" s="694"/>
      <c r="R16" s="694"/>
      <c r="S16" s="694"/>
      <c r="T16" s="694"/>
      <c r="U16" s="694"/>
      <c r="V16" s="694"/>
      <c r="W16" s="694"/>
      <c r="X16" s="694"/>
      <c r="Y16" s="694"/>
      <c r="Z16" s="694"/>
      <c r="AA16" s="694"/>
      <c r="AB16" s="694"/>
      <c r="AC16" s="694"/>
      <c r="AD16" s="456"/>
      <c r="AG16" s="464"/>
      <c r="AH16" s="694"/>
      <c r="AI16" s="694"/>
      <c r="AJ16" s="694"/>
      <c r="AK16" s="694"/>
      <c r="AL16" s="694"/>
      <c r="AM16" s="694"/>
      <c r="AN16" s="694"/>
      <c r="AO16" s="694"/>
      <c r="AP16" s="694"/>
      <c r="AQ16" s="694"/>
      <c r="AR16" s="694"/>
      <c r="AS16" s="694"/>
      <c r="AT16" s="694"/>
      <c r="AU16" s="694"/>
      <c r="AV16" s="694"/>
      <c r="AW16" s="694"/>
      <c r="AX16" s="694"/>
      <c r="AY16" s="694"/>
      <c r="AZ16" s="694"/>
      <c r="BA16" s="694"/>
      <c r="BB16" s="694"/>
      <c r="BC16" s="694"/>
      <c r="BD16" s="694"/>
      <c r="BE16" s="694"/>
      <c r="BF16" s="694"/>
      <c r="BG16" s="694"/>
    </row>
    <row r="17" spans="1:59" ht="11.25" customHeight="1" x14ac:dyDescent="0.2">
      <c r="B17" s="694"/>
      <c r="C17" s="694"/>
      <c r="D17" s="694"/>
      <c r="E17" s="694"/>
      <c r="F17" s="694"/>
      <c r="G17" s="694"/>
      <c r="H17" s="694"/>
      <c r="I17" s="694"/>
      <c r="J17" s="694"/>
      <c r="K17" s="694"/>
      <c r="L17" s="694"/>
      <c r="M17" s="694"/>
      <c r="N17" s="694"/>
      <c r="O17" s="694"/>
      <c r="P17" s="694"/>
      <c r="Q17" s="694"/>
      <c r="R17" s="694"/>
      <c r="S17" s="694"/>
      <c r="T17" s="694"/>
      <c r="U17" s="694"/>
      <c r="V17" s="694"/>
      <c r="W17" s="694"/>
      <c r="X17" s="694"/>
      <c r="Y17" s="694"/>
      <c r="Z17" s="694"/>
      <c r="AA17" s="694"/>
      <c r="AB17" s="694"/>
      <c r="AC17" s="694"/>
      <c r="AD17" s="456"/>
      <c r="AG17" s="464"/>
      <c r="AH17" s="694"/>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row>
    <row r="18" spans="1:59" s="493" customFormat="1" x14ac:dyDescent="0.2">
      <c r="B18" s="694"/>
      <c r="C18" s="694"/>
      <c r="D18" s="694"/>
      <c r="E18" s="694"/>
      <c r="F18" s="694"/>
      <c r="G18" s="694"/>
      <c r="H18" s="694"/>
      <c r="I18" s="694"/>
      <c r="J18" s="694"/>
      <c r="K18" s="694"/>
      <c r="L18" s="694"/>
      <c r="M18" s="694"/>
      <c r="N18" s="694"/>
      <c r="O18" s="694"/>
      <c r="P18" s="694"/>
      <c r="Q18" s="694"/>
      <c r="R18" s="694"/>
      <c r="S18" s="694"/>
      <c r="T18" s="694"/>
      <c r="U18" s="694"/>
      <c r="V18" s="694"/>
      <c r="W18" s="694"/>
      <c r="X18" s="694"/>
      <c r="Y18" s="694"/>
      <c r="Z18" s="694"/>
      <c r="AA18" s="694"/>
      <c r="AB18" s="694"/>
      <c r="AC18" s="694"/>
      <c r="AD18" s="492"/>
      <c r="AF18" s="95"/>
      <c r="AG18" s="464"/>
      <c r="AH18" s="694"/>
      <c r="AI18" s="694"/>
      <c r="AJ18" s="694"/>
      <c r="AK18" s="694"/>
      <c r="AL18" s="694"/>
      <c r="AM18" s="694"/>
      <c r="AN18" s="694"/>
      <c r="AO18" s="694"/>
      <c r="AP18" s="694"/>
      <c r="AQ18" s="694"/>
      <c r="AR18" s="694"/>
      <c r="AS18" s="694"/>
      <c r="AT18" s="694"/>
      <c r="AU18" s="694"/>
      <c r="AV18" s="694"/>
      <c r="AW18" s="694"/>
      <c r="AX18" s="694"/>
      <c r="AY18" s="694"/>
      <c r="AZ18" s="694"/>
      <c r="BA18" s="694"/>
      <c r="BB18" s="694"/>
      <c r="BC18" s="694"/>
      <c r="BD18" s="694"/>
      <c r="BE18" s="694"/>
      <c r="BF18" s="694"/>
      <c r="BG18" s="694"/>
    </row>
    <row r="19" spans="1:59" s="493" customFormat="1" x14ac:dyDescent="0.2">
      <c r="B19" s="694"/>
      <c r="C19" s="694"/>
      <c r="D19" s="694"/>
      <c r="E19" s="694"/>
      <c r="F19" s="694"/>
      <c r="G19" s="694"/>
      <c r="H19" s="694"/>
      <c r="I19" s="694"/>
      <c r="J19" s="694"/>
      <c r="K19" s="694"/>
      <c r="L19" s="694"/>
      <c r="M19" s="694"/>
      <c r="N19" s="694"/>
      <c r="O19" s="694"/>
      <c r="P19" s="694"/>
      <c r="Q19" s="694"/>
      <c r="R19" s="694"/>
      <c r="S19" s="694"/>
      <c r="T19" s="694"/>
      <c r="U19" s="694"/>
      <c r="V19" s="694"/>
      <c r="W19" s="694"/>
      <c r="X19" s="694"/>
      <c r="Y19" s="694"/>
      <c r="Z19" s="694"/>
      <c r="AA19" s="694"/>
      <c r="AB19" s="694"/>
      <c r="AC19" s="694"/>
      <c r="AD19" s="456"/>
      <c r="AE19" s="468"/>
      <c r="AF19" s="468"/>
      <c r="AG19" s="464" t="s">
        <v>468</v>
      </c>
      <c r="AH19" s="694" t="str">
        <f>"Kreditin təyinati üzrə istifadə edilməsinin yoxlanılması, eləcə də, «Borc alan»ın maliyyə vəziyyətinin təhlil edilməsi, krediti qaytarmaq qabiliyyətinin müəyyənləşdirilməsi məqsədilə "&amp;"«Borc verən» tərəfindən yoxlamaların (monitorinq) aparılmasına hər hansı bir şəkildə maneçilik törətdikdə; "</f>
        <v xml:space="preserve">Kreditin təyinati üzrə istifadə edilməsinin yoxlanılması, eləcə də, «Borc alan»ın maliyyə vəziyyətinin təhlil edilməsi, krediti qaytarmaq qabiliyyətinin müəyyənləşdirilməsi məqsədilə «Borc verən» tərəfindən yoxlamaların (monitorinq) aparılmasına hər hansı bir şəkildə maneçilik törətdikdə; </v>
      </c>
      <c r="AI19" s="694"/>
      <c r="AJ19" s="694"/>
      <c r="AK19" s="694"/>
      <c r="AL19" s="694"/>
      <c r="AM19" s="694"/>
      <c r="AN19" s="694"/>
      <c r="AO19" s="694"/>
      <c r="AP19" s="694"/>
      <c r="AQ19" s="694"/>
      <c r="AR19" s="694"/>
      <c r="AS19" s="694"/>
      <c r="AT19" s="694"/>
      <c r="AU19" s="694"/>
      <c r="AV19" s="694"/>
      <c r="AW19" s="694"/>
      <c r="AX19" s="694"/>
      <c r="AY19" s="694"/>
      <c r="AZ19" s="694"/>
      <c r="BA19" s="694"/>
      <c r="BB19" s="694"/>
      <c r="BC19" s="694"/>
      <c r="BD19" s="694"/>
      <c r="BE19" s="694"/>
      <c r="BF19" s="694"/>
      <c r="BG19" s="694"/>
    </row>
    <row r="20" spans="1:59" ht="12.75" customHeight="1" x14ac:dyDescent="0.2">
      <c r="B20" s="694"/>
      <c r="C20" s="694"/>
      <c r="D20" s="694"/>
      <c r="E20" s="694"/>
      <c r="F20" s="694"/>
      <c r="G20" s="694"/>
      <c r="H20" s="694"/>
      <c r="I20" s="694"/>
      <c r="J20" s="694"/>
      <c r="K20" s="694"/>
      <c r="L20" s="694"/>
      <c r="M20" s="694"/>
      <c r="N20" s="694"/>
      <c r="O20" s="694"/>
      <c r="P20" s="694"/>
      <c r="Q20" s="694"/>
      <c r="R20" s="694"/>
      <c r="S20" s="694"/>
      <c r="T20" s="694"/>
      <c r="U20" s="694"/>
      <c r="V20" s="694"/>
      <c r="W20" s="694"/>
      <c r="X20" s="694"/>
      <c r="Y20" s="694"/>
      <c r="Z20" s="694"/>
      <c r="AA20" s="694"/>
      <c r="AB20" s="694"/>
      <c r="AC20" s="694"/>
      <c r="AD20" s="492"/>
      <c r="AE20" s="493"/>
      <c r="AF20" s="493"/>
      <c r="AG20" s="464"/>
      <c r="AH20" s="694"/>
      <c r="AI20" s="694"/>
      <c r="AJ20" s="694"/>
      <c r="AK20" s="694"/>
      <c r="AL20" s="694"/>
      <c r="AM20" s="694"/>
      <c r="AN20" s="694"/>
      <c r="AO20" s="694"/>
      <c r="AP20" s="694"/>
      <c r="AQ20" s="694"/>
      <c r="AR20" s="694"/>
      <c r="AS20" s="694"/>
      <c r="AT20" s="694"/>
      <c r="AU20" s="694"/>
      <c r="AV20" s="694"/>
      <c r="AW20" s="694"/>
      <c r="AX20" s="694"/>
      <c r="AY20" s="694"/>
      <c r="AZ20" s="694"/>
      <c r="BA20" s="694"/>
      <c r="BB20" s="694"/>
      <c r="BC20" s="694"/>
      <c r="BD20" s="694"/>
      <c r="BE20" s="694"/>
      <c r="BF20" s="694"/>
      <c r="BG20" s="694"/>
    </row>
    <row r="21" spans="1:59" ht="11.25" customHeight="1" x14ac:dyDescent="0.2">
      <c r="A21" s="100" t="s">
        <v>88</v>
      </c>
      <c r="B21" s="694" t="str">
        <f>"“Borc alan”ın  "&amp;OLD_DATE_KREDIT_SOZLE&amp;" tarixli LD/"&amp;LEFT(OLD_LD,5)&amp;"/"&amp;RIGHT(OLD_LD,5)&amp;" nömrəli kredit müqaviləsi üzrə götürdüyü kreditin "&amp;START_DATE_KREDIT_SOZLE&amp;" tarixə olan qalığı "&amp;OLD_MEBLEQ_SOZLE&amp;" təşkil edir. "</f>
        <v xml:space="preserve">“Borc alan”ın  «27» İyul 2014-cü il tarixli LD/12345/67890 nömrəli kredit müqaviləsi üzrə götürdüyü kreditin «31» İyul 2015-ci il tarixə olan qalığı 963.03 USD (doqquz yüz altmış üç  ABŞ dolları 3 sent) təşkil edir. </v>
      </c>
      <c r="C21" s="694"/>
      <c r="D21" s="694"/>
      <c r="E21" s="694"/>
      <c r="F21" s="694"/>
      <c r="G21" s="694"/>
      <c r="H21" s="694"/>
      <c r="I21" s="694"/>
      <c r="J21" s="694"/>
      <c r="K21" s="694"/>
      <c r="L21" s="694"/>
      <c r="M21" s="694"/>
      <c r="N21" s="694"/>
      <c r="O21" s="694"/>
      <c r="P21" s="694"/>
      <c r="Q21" s="694"/>
      <c r="R21" s="694"/>
      <c r="S21" s="694"/>
      <c r="T21" s="694"/>
      <c r="U21" s="694"/>
      <c r="V21" s="694"/>
      <c r="W21" s="694"/>
      <c r="X21" s="694"/>
      <c r="Y21" s="694"/>
      <c r="Z21" s="694"/>
      <c r="AA21" s="694"/>
      <c r="AB21" s="694"/>
      <c r="AC21" s="694"/>
      <c r="AD21" s="456"/>
      <c r="AF21" s="455"/>
      <c r="AG21" s="464"/>
      <c r="AH21" s="694"/>
      <c r="AI21" s="694"/>
      <c r="AJ21" s="694"/>
      <c r="AK21" s="694"/>
      <c r="AL21" s="694"/>
      <c r="AM21" s="694"/>
      <c r="AN21" s="694"/>
      <c r="AO21" s="694"/>
      <c r="AP21" s="694"/>
      <c r="AQ21" s="694"/>
      <c r="AR21" s="694"/>
      <c r="AS21" s="694"/>
      <c r="AT21" s="694"/>
      <c r="AU21" s="694"/>
      <c r="AV21" s="694"/>
      <c r="AW21" s="694"/>
      <c r="AX21" s="694"/>
      <c r="AY21" s="694"/>
      <c r="AZ21" s="694"/>
      <c r="BA21" s="694"/>
      <c r="BB21" s="694"/>
      <c r="BC21" s="694"/>
      <c r="BD21" s="694"/>
      <c r="BE21" s="694"/>
      <c r="BF21" s="694"/>
      <c r="BG21" s="694"/>
    </row>
    <row r="22" spans="1:59" s="493" customFormat="1" x14ac:dyDescent="0.2">
      <c r="A22" s="100"/>
      <c r="B22" s="694"/>
      <c r="C22" s="694"/>
      <c r="D22" s="694"/>
      <c r="E22" s="694"/>
      <c r="F22" s="694"/>
      <c r="G22" s="694"/>
      <c r="H22" s="694"/>
      <c r="I22" s="694"/>
      <c r="J22" s="694"/>
      <c r="K22" s="694"/>
      <c r="L22" s="694"/>
      <c r="M22" s="694"/>
      <c r="N22" s="694"/>
      <c r="O22" s="694"/>
      <c r="P22" s="694"/>
      <c r="Q22" s="694"/>
      <c r="R22" s="694"/>
      <c r="S22" s="694"/>
      <c r="T22" s="694"/>
      <c r="U22" s="694"/>
      <c r="V22" s="694"/>
      <c r="W22" s="694"/>
      <c r="X22" s="694"/>
      <c r="Y22" s="694"/>
      <c r="Z22" s="694"/>
      <c r="AA22" s="694"/>
      <c r="AB22" s="694"/>
      <c r="AC22" s="694"/>
      <c r="AD22" s="456"/>
      <c r="AE22" s="468"/>
      <c r="AF22" s="95"/>
      <c r="AG22" s="464"/>
      <c r="AH22" s="694"/>
      <c r="AI22" s="694"/>
      <c r="AJ22" s="694"/>
      <c r="AK22" s="694"/>
      <c r="AL22" s="694"/>
      <c r="AM22" s="694"/>
      <c r="AN22" s="694"/>
      <c r="AO22" s="694"/>
      <c r="AP22" s="694"/>
      <c r="AQ22" s="694"/>
      <c r="AR22" s="694"/>
      <c r="AS22" s="694"/>
      <c r="AT22" s="694"/>
      <c r="AU22" s="694"/>
      <c r="AV22" s="694"/>
      <c r="AW22" s="694"/>
      <c r="AX22" s="694"/>
      <c r="AY22" s="694"/>
      <c r="AZ22" s="694"/>
      <c r="BA22" s="694"/>
      <c r="BB22" s="694"/>
      <c r="BC22" s="694"/>
      <c r="BD22" s="694"/>
      <c r="BE22" s="694"/>
      <c r="BF22" s="694"/>
      <c r="BG22" s="694"/>
    </row>
    <row r="23" spans="1:59" ht="14.25" customHeight="1" x14ac:dyDescent="0.2">
      <c r="A23" s="458"/>
      <c r="B23" s="694"/>
      <c r="C23" s="694"/>
      <c r="D23" s="694"/>
      <c r="E23" s="694"/>
      <c r="F23" s="694"/>
      <c r="G23" s="694"/>
      <c r="H23" s="694"/>
      <c r="I23" s="694"/>
      <c r="J23" s="694"/>
      <c r="K23" s="694"/>
      <c r="L23" s="694"/>
      <c r="M23" s="694"/>
      <c r="N23" s="694"/>
      <c r="O23" s="694"/>
      <c r="P23" s="694"/>
      <c r="Q23" s="694"/>
      <c r="R23" s="694"/>
      <c r="S23" s="694"/>
      <c r="T23" s="694"/>
      <c r="U23" s="694"/>
      <c r="V23" s="694"/>
      <c r="W23" s="694"/>
      <c r="X23" s="694"/>
      <c r="Y23" s="694"/>
      <c r="Z23" s="694"/>
      <c r="AA23" s="694"/>
      <c r="AB23" s="694"/>
      <c r="AC23" s="694"/>
      <c r="AD23" s="456"/>
      <c r="AG23" s="464"/>
      <c r="AH23" s="694"/>
      <c r="AI23" s="694"/>
      <c r="AJ23" s="694"/>
      <c r="AK23" s="694"/>
      <c r="AL23" s="694"/>
      <c r="AM23" s="694"/>
      <c r="AN23" s="694"/>
      <c r="AO23" s="694"/>
      <c r="AP23" s="694"/>
      <c r="AQ23" s="694"/>
      <c r="AR23" s="694"/>
      <c r="AS23" s="694"/>
      <c r="AT23" s="694"/>
      <c r="AU23" s="694"/>
      <c r="AV23" s="694"/>
      <c r="AW23" s="694"/>
      <c r="AX23" s="694"/>
      <c r="AY23" s="694"/>
      <c r="AZ23" s="694"/>
      <c r="BA23" s="694"/>
      <c r="BB23" s="694"/>
      <c r="BC23" s="694"/>
      <c r="BD23" s="694"/>
      <c r="BE23" s="694"/>
      <c r="BF23" s="694"/>
      <c r="BG23" s="694"/>
    </row>
    <row r="24" spans="1:59" x14ac:dyDescent="0.2">
      <c r="A24" s="464" t="s">
        <v>85</v>
      </c>
      <c r="B24" s="698" t="str">
        <f>"“Borc verən” “Borc alanın” bu müqavilənin 1.2-ci bəndinə göstərilmiş kredit öhdəliyini Azərbaycan Respublikası Mərkəzi Bankının "&amp;START_DATE_KREDIT_SOZLE&amp;" tarixə olan rəsmi məzənnəsi əsasında “Borc alanın”   "&amp;GOTURDUYU_MEBLEQ&amp;" "&amp;PUL_VAHIDI&amp;" ("&amp;GOTURDUYU_MEBLEQ_SOZLE&amp;"  "&amp;PUL_VAHIDI_SOZLE&amp;") ekvivalentində yeni kredit öhdəliyinə konvertasiya edir."</f>
        <v>“Borc verən” “Borc alanın” bu müqavilənin 1.2-ci bəndinə göstərilmiş kredit öhdəliyini Azərbaycan Respublikası Mərkəzi Bankının «31» İyul 2015-ci il tarixə olan rəsmi məzənnəsi əsasında “Borc alanın”   1000.00 AZN (bir min   manat) ekvivalentində yeni kredit öhdəliyinə konvertasiya edir.</v>
      </c>
      <c r="C24" s="698"/>
      <c r="D24" s="698"/>
      <c r="E24" s="698"/>
      <c r="F24" s="698"/>
      <c r="G24" s="698"/>
      <c r="H24" s="698"/>
      <c r="I24" s="698"/>
      <c r="J24" s="698"/>
      <c r="K24" s="698"/>
      <c r="L24" s="698"/>
      <c r="M24" s="698"/>
      <c r="N24" s="698"/>
      <c r="O24" s="698"/>
      <c r="P24" s="698"/>
      <c r="Q24" s="698"/>
      <c r="R24" s="698"/>
      <c r="S24" s="698"/>
      <c r="T24" s="698"/>
      <c r="U24" s="698"/>
      <c r="V24" s="698"/>
      <c r="W24" s="698"/>
      <c r="X24" s="698"/>
      <c r="Y24" s="698"/>
      <c r="Z24" s="698"/>
      <c r="AA24" s="698"/>
      <c r="AB24" s="698"/>
      <c r="AC24" s="698"/>
      <c r="AG24" s="464" t="s">
        <v>469</v>
      </c>
      <c r="AH24" s="694" t="s">
        <v>453</v>
      </c>
      <c r="AI24" s="694"/>
      <c r="AJ24" s="694"/>
      <c r="AK24" s="694"/>
      <c r="AL24" s="694"/>
      <c r="AM24" s="694"/>
      <c r="AN24" s="694"/>
      <c r="AO24" s="694"/>
      <c r="AP24" s="694"/>
      <c r="AQ24" s="694"/>
      <c r="AR24" s="694"/>
      <c r="AS24" s="694"/>
      <c r="AT24" s="694"/>
      <c r="AU24" s="694"/>
      <c r="AV24" s="694"/>
      <c r="AW24" s="694"/>
      <c r="AX24" s="694"/>
      <c r="AY24" s="694"/>
      <c r="AZ24" s="694"/>
      <c r="BA24" s="694"/>
      <c r="BB24" s="694"/>
      <c r="BC24" s="694"/>
      <c r="BD24" s="694"/>
      <c r="BE24" s="694"/>
      <c r="BF24" s="694"/>
      <c r="BG24" s="694"/>
    </row>
    <row r="25" spans="1:59" x14ac:dyDescent="0.2">
      <c r="B25" s="698"/>
      <c r="C25" s="698"/>
      <c r="D25" s="698"/>
      <c r="E25" s="698"/>
      <c r="F25" s="698"/>
      <c r="G25" s="698"/>
      <c r="H25" s="698"/>
      <c r="I25" s="698"/>
      <c r="J25" s="698"/>
      <c r="K25" s="698"/>
      <c r="L25" s="698"/>
      <c r="M25" s="698"/>
      <c r="N25" s="698"/>
      <c r="O25" s="698"/>
      <c r="P25" s="698"/>
      <c r="Q25" s="698"/>
      <c r="R25" s="698"/>
      <c r="S25" s="698"/>
      <c r="T25" s="698"/>
      <c r="U25" s="698"/>
      <c r="V25" s="698"/>
      <c r="W25" s="698"/>
      <c r="X25" s="698"/>
      <c r="Y25" s="698"/>
      <c r="Z25" s="698"/>
      <c r="AA25" s="698"/>
      <c r="AB25" s="698"/>
      <c r="AC25" s="698"/>
      <c r="AG25" s="495"/>
      <c r="AH25" s="694"/>
      <c r="AI25" s="694"/>
      <c r="AJ25" s="694"/>
      <c r="AK25" s="694"/>
      <c r="AL25" s="694"/>
      <c r="AM25" s="694"/>
      <c r="AN25" s="694"/>
      <c r="AO25" s="694"/>
      <c r="AP25" s="694"/>
      <c r="AQ25" s="694"/>
      <c r="AR25" s="694"/>
      <c r="AS25" s="694"/>
      <c r="AT25" s="694"/>
      <c r="AU25" s="694"/>
      <c r="AV25" s="694"/>
      <c r="AW25" s="694"/>
      <c r="AX25" s="694"/>
      <c r="AY25" s="694"/>
      <c r="AZ25" s="694"/>
      <c r="BA25" s="694"/>
      <c r="BB25" s="694"/>
      <c r="BC25" s="694"/>
      <c r="BD25" s="694"/>
      <c r="BE25" s="694"/>
      <c r="BF25" s="694"/>
      <c r="BG25" s="694"/>
    </row>
    <row r="26" spans="1:59" x14ac:dyDescent="0.2">
      <c r="B26" s="698"/>
      <c r="C26" s="698"/>
      <c r="D26" s="698"/>
      <c r="E26" s="698"/>
      <c r="F26" s="698"/>
      <c r="G26" s="698"/>
      <c r="H26" s="698"/>
      <c r="I26" s="698"/>
      <c r="J26" s="698"/>
      <c r="K26" s="698"/>
      <c r="L26" s="698"/>
      <c r="M26" s="698"/>
      <c r="N26" s="698"/>
      <c r="O26" s="698"/>
      <c r="P26" s="698"/>
      <c r="Q26" s="698"/>
      <c r="R26" s="698"/>
      <c r="S26" s="698"/>
      <c r="T26" s="698"/>
      <c r="U26" s="698"/>
      <c r="V26" s="698"/>
      <c r="W26" s="698"/>
      <c r="X26" s="698"/>
      <c r="Y26" s="698"/>
      <c r="Z26" s="698"/>
      <c r="AA26" s="698"/>
      <c r="AB26" s="698"/>
      <c r="AC26" s="698"/>
      <c r="AG26" s="464" t="s">
        <v>470</v>
      </c>
      <c r="AH26" s="694" t="s">
        <v>454</v>
      </c>
      <c r="AI26" s="694"/>
      <c r="AJ26" s="694"/>
      <c r="AK26" s="694"/>
      <c r="AL26" s="694"/>
      <c r="AM26" s="694"/>
      <c r="AN26" s="694"/>
      <c r="AO26" s="694"/>
      <c r="AP26" s="694"/>
      <c r="AQ26" s="694"/>
      <c r="AR26" s="694"/>
      <c r="AS26" s="694"/>
      <c r="AT26" s="694"/>
      <c r="AU26" s="694"/>
      <c r="AV26" s="694"/>
      <c r="AW26" s="694"/>
      <c r="AX26" s="694"/>
      <c r="AY26" s="694"/>
      <c r="AZ26" s="694"/>
      <c r="BA26" s="694"/>
      <c r="BB26" s="694"/>
      <c r="BC26" s="694"/>
      <c r="BD26" s="694"/>
      <c r="BE26" s="694"/>
      <c r="BF26" s="694"/>
      <c r="BG26" s="694"/>
    </row>
    <row r="27" spans="1:59" x14ac:dyDescent="0.2">
      <c r="B27" s="698"/>
      <c r="C27" s="698"/>
      <c r="D27" s="698"/>
      <c r="E27" s="698"/>
      <c r="F27" s="698"/>
      <c r="G27" s="698"/>
      <c r="H27" s="698"/>
      <c r="I27" s="698"/>
      <c r="J27" s="698"/>
      <c r="K27" s="698"/>
      <c r="L27" s="698"/>
      <c r="M27" s="698"/>
      <c r="N27" s="698"/>
      <c r="O27" s="698"/>
      <c r="P27" s="698"/>
      <c r="Q27" s="698"/>
      <c r="R27" s="698"/>
      <c r="S27" s="698"/>
      <c r="T27" s="698"/>
      <c r="U27" s="698"/>
      <c r="V27" s="698"/>
      <c r="W27" s="698"/>
      <c r="X27" s="698"/>
      <c r="Y27" s="698"/>
      <c r="Z27" s="698"/>
      <c r="AA27" s="698"/>
      <c r="AB27" s="698"/>
      <c r="AC27" s="698"/>
      <c r="AD27" s="456"/>
      <c r="AG27" s="495"/>
      <c r="AH27" s="694"/>
      <c r="AI27" s="694"/>
      <c r="AJ27" s="694"/>
      <c r="AK27" s="694"/>
      <c r="AL27" s="694"/>
      <c r="AM27" s="694"/>
      <c r="AN27" s="694"/>
      <c r="AO27" s="694"/>
      <c r="AP27" s="694"/>
      <c r="AQ27" s="694"/>
      <c r="AR27" s="694"/>
      <c r="AS27" s="694"/>
      <c r="AT27" s="694"/>
      <c r="AU27" s="694"/>
      <c r="AV27" s="694"/>
      <c r="AW27" s="694"/>
      <c r="AX27" s="694"/>
      <c r="AY27" s="694"/>
      <c r="AZ27" s="694"/>
      <c r="BA27" s="694"/>
      <c r="BB27" s="694"/>
      <c r="BC27" s="694"/>
      <c r="BD27" s="694"/>
      <c r="BE27" s="694"/>
      <c r="BF27" s="694"/>
      <c r="BG27" s="694"/>
    </row>
    <row r="28" spans="1:59" ht="11.25" customHeight="1" x14ac:dyDescent="0.2">
      <c r="B28" s="698"/>
      <c r="C28" s="698"/>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456"/>
      <c r="AG28" s="464" t="s">
        <v>471</v>
      </c>
      <c r="AH28" s="702" t="s">
        <v>476</v>
      </c>
      <c r="AI28" s="702"/>
      <c r="AJ28" s="702"/>
      <c r="AK28" s="702"/>
      <c r="AL28" s="702"/>
      <c r="AM28" s="702"/>
      <c r="AN28" s="702"/>
      <c r="AO28" s="702"/>
      <c r="AP28" s="702"/>
      <c r="AQ28" s="702"/>
      <c r="AR28" s="702"/>
      <c r="AS28" s="702"/>
      <c r="AT28" s="702"/>
      <c r="AU28" s="702"/>
      <c r="AV28" s="702"/>
      <c r="AW28" s="702"/>
      <c r="AX28" s="702"/>
      <c r="AY28" s="702"/>
      <c r="AZ28" s="702"/>
      <c r="BA28" s="702"/>
      <c r="BB28" s="702"/>
      <c r="BC28" s="702"/>
      <c r="BD28" s="702"/>
      <c r="BE28" s="702"/>
      <c r="BF28" s="702"/>
      <c r="BG28" s="702"/>
    </row>
    <row r="29" spans="1:59" s="493" customFormat="1" x14ac:dyDescent="0.2">
      <c r="A29" s="495">
        <v>1.4</v>
      </c>
      <c r="B29" s="698" t="str">
        <f>"Yeni Kredit "&amp;MONTH_KREDIT&amp;" ("&amp;LEFT(MONTH_KREDIT_SOZLE,LEN(MONTH_KREDIT_SOZLE)-1)&amp;") ay müddətinə "&amp;END_DATE_KREDIT_SOZLE&amp;" tarixinədək, ilin 360 günü hesabı ilə illik "&amp;TEXT(IFF,"0.00")&amp;" % dərəcəsi tətbiq edilməklə verilir. Faktiki illik faiz dərəcəsi (FİFD) "&amp;TEXT(FIFD,"0.00")&amp;" % təşkil edir.  Burada nəzərdə tutulan FİFD Azərbaycan Respublikasının Mərkəzi Bankının müvafiq təlimatlarına və göstərişlərinə müvafiq olmaqla müəyyən edilmişdir."</f>
        <v>Yeni Kredit 10 (on) ay müddətinə «31» May 2016-cı il tarixinədək, ilin 360 günü hesabı ilə illik 0.60 % dərəcəsi tətbiq edilməklə verilir. Faktiki illik faiz dərəcəsi (FİFD) 2.80 % təşkil edir.  Burada nəzərdə tutulan FİFD Azərbaycan Respublikasının Mərkəzi Bankının müvafiq təlimatlarına və göstərişlərinə müvafiq olmaqla müəyyən edilmişdir.</v>
      </c>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492"/>
      <c r="AG29" s="464" t="s">
        <v>95</v>
      </c>
      <c r="AH29" s="702" t="s">
        <v>477</v>
      </c>
      <c r="AI29" s="702"/>
      <c r="AJ29" s="702"/>
      <c r="AK29" s="702"/>
      <c r="AL29" s="702"/>
      <c r="AM29" s="702"/>
      <c r="AN29" s="702"/>
      <c r="AO29" s="702"/>
      <c r="AP29" s="702"/>
      <c r="AQ29" s="702"/>
      <c r="AR29" s="702"/>
      <c r="AS29" s="702"/>
      <c r="AT29" s="702"/>
      <c r="AU29" s="702"/>
      <c r="AV29" s="702"/>
      <c r="AW29" s="702"/>
      <c r="AX29" s="702"/>
      <c r="AY29" s="702"/>
      <c r="AZ29" s="702"/>
      <c r="BA29" s="702"/>
      <c r="BB29" s="702"/>
      <c r="BC29" s="702"/>
      <c r="BD29" s="702"/>
      <c r="BE29" s="702"/>
      <c r="BF29" s="702"/>
      <c r="BG29" s="702"/>
    </row>
    <row r="30" spans="1:59" s="493" customFormat="1" x14ac:dyDescent="0.2">
      <c r="B30" s="698"/>
      <c r="C30" s="698"/>
      <c r="D30" s="698"/>
      <c r="E30" s="698"/>
      <c r="F30" s="698"/>
      <c r="G30" s="698"/>
      <c r="H30" s="698"/>
      <c r="I30" s="698"/>
      <c r="J30" s="698"/>
      <c r="K30" s="698"/>
      <c r="L30" s="698"/>
      <c r="M30" s="698"/>
      <c r="N30" s="698"/>
      <c r="O30" s="698"/>
      <c r="P30" s="698"/>
      <c r="Q30" s="698"/>
      <c r="R30" s="698"/>
      <c r="S30" s="698"/>
      <c r="T30" s="698"/>
      <c r="U30" s="698"/>
      <c r="V30" s="698"/>
      <c r="W30" s="698"/>
      <c r="X30" s="698"/>
      <c r="Y30" s="698"/>
      <c r="Z30" s="698"/>
      <c r="AA30" s="698"/>
      <c r="AB30" s="698"/>
      <c r="AC30" s="698"/>
      <c r="AD30" s="492"/>
      <c r="AG30" s="464"/>
      <c r="AH30" s="702"/>
      <c r="AI30" s="702"/>
      <c r="AJ30" s="702"/>
      <c r="AK30" s="702"/>
      <c r="AL30" s="702"/>
      <c r="AM30" s="702"/>
      <c r="AN30" s="702"/>
      <c r="AO30" s="702"/>
      <c r="AP30" s="702"/>
      <c r="AQ30" s="702"/>
      <c r="AR30" s="702"/>
      <c r="AS30" s="702"/>
      <c r="AT30" s="702"/>
      <c r="AU30" s="702"/>
      <c r="AV30" s="702"/>
      <c r="AW30" s="702"/>
      <c r="AX30" s="702"/>
      <c r="AY30" s="702"/>
      <c r="AZ30" s="702"/>
      <c r="BA30" s="702"/>
      <c r="BB30" s="702"/>
      <c r="BC30" s="702"/>
      <c r="BD30" s="702"/>
      <c r="BE30" s="702"/>
      <c r="BF30" s="702"/>
      <c r="BG30" s="702"/>
    </row>
    <row r="31" spans="1:59" s="493" customFormat="1" x14ac:dyDescent="0.2">
      <c r="B31" s="698"/>
      <c r="C31" s="698"/>
      <c r="D31" s="698"/>
      <c r="E31" s="698"/>
      <c r="F31" s="698"/>
      <c r="G31" s="698"/>
      <c r="H31" s="698"/>
      <c r="I31" s="698"/>
      <c r="J31" s="698"/>
      <c r="K31" s="698"/>
      <c r="L31" s="698"/>
      <c r="M31" s="698"/>
      <c r="N31" s="698"/>
      <c r="O31" s="698"/>
      <c r="P31" s="698"/>
      <c r="Q31" s="698"/>
      <c r="R31" s="698"/>
      <c r="S31" s="698"/>
      <c r="T31" s="698"/>
      <c r="U31" s="698"/>
      <c r="V31" s="698"/>
      <c r="W31" s="698"/>
      <c r="X31" s="698"/>
      <c r="Y31" s="698"/>
      <c r="Z31" s="698"/>
      <c r="AA31" s="698"/>
      <c r="AB31" s="698"/>
      <c r="AC31" s="698"/>
      <c r="AD31" s="492"/>
      <c r="AE31" s="467" t="s">
        <v>91</v>
      </c>
      <c r="AF31" s="703" t="s">
        <v>90</v>
      </c>
      <c r="AG31" s="703"/>
      <c r="AH31" s="703"/>
      <c r="AI31" s="703"/>
      <c r="AJ31" s="703"/>
      <c r="AK31" s="703"/>
      <c r="AL31" s="703"/>
      <c r="AM31" s="703"/>
      <c r="AN31" s="703"/>
      <c r="AO31" s="703"/>
      <c r="AP31" s="703"/>
      <c r="AQ31" s="703"/>
      <c r="AR31" s="703"/>
      <c r="AS31" s="703"/>
      <c r="AT31" s="703"/>
      <c r="AU31" s="703"/>
      <c r="AV31" s="703"/>
      <c r="AW31" s="703"/>
      <c r="AX31" s="703"/>
      <c r="AY31" s="703"/>
      <c r="AZ31" s="703"/>
      <c r="BA31" s="703"/>
      <c r="BB31" s="703"/>
      <c r="BC31" s="703"/>
      <c r="BD31" s="703"/>
      <c r="BE31" s="703"/>
      <c r="BF31" s="703"/>
      <c r="BG31" s="703"/>
    </row>
    <row r="32" spans="1:59" s="493" customFormat="1" x14ac:dyDescent="0.2">
      <c r="B32" s="698"/>
      <c r="C32" s="698"/>
      <c r="D32" s="698"/>
      <c r="E32" s="698"/>
      <c r="F32" s="698"/>
      <c r="G32" s="698"/>
      <c r="H32" s="698"/>
      <c r="I32" s="698"/>
      <c r="J32" s="698"/>
      <c r="K32" s="698"/>
      <c r="L32" s="698"/>
      <c r="M32" s="698"/>
      <c r="N32" s="698"/>
      <c r="O32" s="698"/>
      <c r="P32" s="698"/>
      <c r="Q32" s="698"/>
      <c r="R32" s="698"/>
      <c r="S32" s="698"/>
      <c r="T32" s="698"/>
      <c r="U32" s="698"/>
      <c r="V32" s="698"/>
      <c r="W32" s="698"/>
      <c r="X32" s="698"/>
      <c r="Y32" s="698"/>
      <c r="Z32" s="698"/>
      <c r="AA32" s="698"/>
      <c r="AB32" s="698"/>
      <c r="AC32" s="698"/>
      <c r="AD32" s="492"/>
      <c r="AE32" s="701" t="s">
        <v>89</v>
      </c>
      <c r="AF32" s="701"/>
      <c r="AG32" s="694" t="s">
        <v>926</v>
      </c>
      <c r="AH32" s="694"/>
      <c r="AI32" s="694"/>
      <c r="AJ32" s="694"/>
      <c r="AK32" s="694"/>
      <c r="AL32" s="694"/>
      <c r="AM32" s="694"/>
      <c r="AN32" s="694"/>
      <c r="AO32" s="694"/>
      <c r="AP32" s="694"/>
      <c r="AQ32" s="694"/>
      <c r="AR32" s="694"/>
      <c r="AS32" s="694"/>
      <c r="AT32" s="694"/>
      <c r="AU32" s="694"/>
      <c r="AV32" s="694"/>
      <c r="AW32" s="694"/>
      <c r="AX32" s="694"/>
      <c r="AY32" s="694"/>
      <c r="AZ32" s="694"/>
      <c r="BA32" s="694"/>
      <c r="BB32" s="694"/>
      <c r="BC32" s="694"/>
      <c r="BD32" s="694"/>
      <c r="BE32" s="694"/>
      <c r="BF32" s="694"/>
      <c r="BG32" s="694"/>
    </row>
    <row r="33" spans="1:59" s="493" customFormat="1" x14ac:dyDescent="0.2">
      <c r="B33" s="698"/>
      <c r="C33" s="698"/>
      <c r="D33" s="698"/>
      <c r="E33" s="698"/>
      <c r="F33" s="698"/>
      <c r="G33" s="698"/>
      <c r="H33" s="698"/>
      <c r="I33" s="698"/>
      <c r="J33" s="698"/>
      <c r="K33" s="698"/>
      <c r="L33" s="698"/>
      <c r="M33" s="698"/>
      <c r="N33" s="698"/>
      <c r="O33" s="698"/>
      <c r="P33" s="698"/>
      <c r="Q33" s="698"/>
      <c r="R33" s="698"/>
      <c r="S33" s="698"/>
      <c r="T33" s="698"/>
      <c r="U33" s="698"/>
      <c r="V33" s="698"/>
      <c r="W33" s="698"/>
      <c r="X33" s="698"/>
      <c r="Y33" s="698"/>
      <c r="Z33" s="698"/>
      <c r="AA33" s="698"/>
      <c r="AB33" s="698"/>
      <c r="AC33" s="698"/>
      <c r="AD33" s="492"/>
      <c r="AE33" s="494"/>
      <c r="AF33" s="494"/>
      <c r="AG33" s="694"/>
      <c r="AH33" s="694"/>
      <c r="AI33" s="694"/>
      <c r="AJ33" s="694"/>
      <c r="AK33" s="694"/>
      <c r="AL33" s="694"/>
      <c r="AM33" s="694"/>
      <c r="AN33" s="694"/>
      <c r="AO33" s="694"/>
      <c r="AP33" s="694"/>
      <c r="AQ33" s="694"/>
      <c r="AR33" s="694"/>
      <c r="AS33" s="694"/>
      <c r="AT33" s="694"/>
      <c r="AU33" s="694"/>
      <c r="AV33" s="694"/>
      <c r="AW33" s="694"/>
      <c r="AX33" s="694"/>
      <c r="AY33" s="694"/>
      <c r="AZ33" s="694"/>
      <c r="BA33" s="694"/>
      <c r="BB33" s="694"/>
      <c r="BC33" s="694"/>
      <c r="BD33" s="694"/>
      <c r="BE33" s="694"/>
      <c r="BF33" s="694"/>
      <c r="BG33" s="694"/>
    </row>
    <row r="34" spans="1:59" x14ac:dyDescent="0.2">
      <c r="A34" s="464">
        <v>1.5</v>
      </c>
      <c r="B34" s="694" t="str">
        <f>"«Borc alan» kreditin verilməsinə görə  «Borc verən»ə   kreditin ümumi  məbləğinin 0 % (sıfır faiz) məbləğində komisyon haqqı ödəyir."</f>
        <v>«Borc alan» kreditin verilməsinə görə  «Borc verən»ə   kreditin ümumi  məbləğinin 0 % (sıfır faiz) məbləğində komisyon haqqı ödəyir.</v>
      </c>
      <c r="C34" s="694"/>
      <c r="D34" s="694"/>
      <c r="E34" s="694"/>
      <c r="F34" s="694"/>
      <c r="G34" s="694"/>
      <c r="H34" s="694"/>
      <c r="I34" s="694"/>
      <c r="J34" s="694"/>
      <c r="K34" s="694"/>
      <c r="L34" s="694"/>
      <c r="M34" s="694"/>
      <c r="N34" s="694"/>
      <c r="O34" s="694"/>
      <c r="P34" s="694"/>
      <c r="Q34" s="694"/>
      <c r="R34" s="694"/>
      <c r="S34" s="694"/>
      <c r="T34" s="694"/>
      <c r="U34" s="694"/>
      <c r="V34" s="694"/>
      <c r="W34" s="694"/>
      <c r="X34" s="694"/>
      <c r="Y34" s="694"/>
      <c r="Z34" s="694"/>
      <c r="AA34" s="694"/>
      <c r="AB34" s="694"/>
      <c r="AC34" s="694"/>
      <c r="AD34" s="492"/>
      <c r="AE34" s="699" t="s">
        <v>87</v>
      </c>
      <c r="AF34" s="699"/>
      <c r="AG34" s="702" t="s">
        <v>86</v>
      </c>
      <c r="AH34" s="702"/>
      <c r="AI34" s="702"/>
      <c r="AJ34" s="702"/>
      <c r="AK34" s="702"/>
      <c r="AL34" s="702"/>
      <c r="AM34" s="702"/>
      <c r="AN34" s="702"/>
      <c r="AO34" s="702"/>
      <c r="AP34" s="702"/>
      <c r="AQ34" s="702"/>
      <c r="AR34" s="702"/>
      <c r="AS34" s="702"/>
      <c r="AT34" s="702"/>
      <c r="AU34" s="702"/>
      <c r="AV34" s="702"/>
      <c r="AW34" s="702"/>
      <c r="AX34" s="702"/>
      <c r="AY34" s="702"/>
      <c r="AZ34" s="702"/>
      <c r="BA34" s="702"/>
      <c r="BB34" s="702"/>
      <c r="BC34" s="702"/>
      <c r="BD34" s="702"/>
      <c r="BE34" s="702"/>
      <c r="BF34" s="702"/>
      <c r="BG34" s="702"/>
    </row>
    <row r="35" spans="1:59" x14ac:dyDescent="0.2">
      <c r="A35" s="457"/>
      <c r="B35" s="694"/>
      <c r="C35" s="694"/>
      <c r="D35" s="694"/>
      <c r="E35" s="694"/>
      <c r="F35" s="694"/>
      <c r="G35" s="694"/>
      <c r="H35" s="694"/>
      <c r="I35" s="694"/>
      <c r="J35" s="694"/>
      <c r="K35" s="694"/>
      <c r="L35" s="694"/>
      <c r="M35" s="694"/>
      <c r="N35" s="694"/>
      <c r="O35" s="694"/>
      <c r="P35" s="694"/>
      <c r="Q35" s="694"/>
      <c r="R35" s="694"/>
      <c r="S35" s="694"/>
      <c r="T35" s="694"/>
      <c r="U35" s="694"/>
      <c r="V35" s="694"/>
      <c r="W35" s="694"/>
      <c r="X35" s="694"/>
      <c r="Y35" s="694"/>
      <c r="Z35" s="694"/>
      <c r="AA35" s="694"/>
      <c r="AB35" s="694"/>
      <c r="AC35" s="694"/>
      <c r="AD35" s="492"/>
      <c r="AE35" s="699" t="s">
        <v>84</v>
      </c>
      <c r="AF35" s="699"/>
      <c r="AG35" s="694" t="s">
        <v>450</v>
      </c>
      <c r="AH35" s="694"/>
      <c r="AI35" s="694"/>
      <c r="AJ35" s="694"/>
      <c r="AK35" s="694"/>
      <c r="AL35" s="694"/>
      <c r="AM35" s="694"/>
      <c r="AN35" s="694"/>
      <c r="AO35" s="694"/>
      <c r="AP35" s="694"/>
      <c r="AQ35" s="694"/>
      <c r="AR35" s="694"/>
      <c r="AS35" s="694"/>
      <c r="AT35" s="694"/>
      <c r="AU35" s="694"/>
      <c r="AV35" s="694"/>
      <c r="AW35" s="694"/>
      <c r="AX35" s="694"/>
      <c r="AY35" s="694"/>
      <c r="AZ35" s="694"/>
      <c r="BA35" s="694"/>
      <c r="BB35" s="694"/>
      <c r="BC35" s="694"/>
      <c r="BD35" s="694"/>
      <c r="BE35" s="694"/>
      <c r="BF35" s="694"/>
      <c r="BG35" s="694"/>
    </row>
    <row r="36" spans="1:59" x14ac:dyDescent="0.2">
      <c r="B36" s="1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456"/>
      <c r="AE36" s="466"/>
      <c r="AF36" s="466"/>
      <c r="AG36" s="694"/>
      <c r="AH36" s="694"/>
      <c r="AI36" s="694"/>
      <c r="AJ36" s="694"/>
      <c r="AK36" s="694"/>
      <c r="AL36" s="694"/>
      <c r="AM36" s="694"/>
      <c r="AN36" s="694"/>
      <c r="AO36" s="694"/>
      <c r="AP36" s="694"/>
      <c r="AQ36" s="694"/>
      <c r="AR36" s="694"/>
      <c r="AS36" s="694"/>
      <c r="AT36" s="694"/>
      <c r="AU36" s="694"/>
      <c r="AV36" s="694"/>
      <c r="AW36" s="694"/>
      <c r="AX36" s="694"/>
      <c r="AY36" s="694"/>
      <c r="AZ36" s="694"/>
      <c r="BA36" s="694"/>
      <c r="BB36" s="694"/>
      <c r="BC36" s="694"/>
      <c r="BD36" s="694"/>
      <c r="BE36" s="694"/>
      <c r="BF36" s="694"/>
      <c r="BG36" s="694"/>
    </row>
    <row r="37" spans="1:59" x14ac:dyDescent="0.2">
      <c r="A37" s="700" t="s">
        <v>76</v>
      </c>
      <c r="B37" s="700"/>
      <c r="C37" s="700"/>
      <c r="D37" s="700"/>
      <c r="E37" s="700"/>
      <c r="F37" s="700"/>
      <c r="G37" s="700"/>
      <c r="H37" s="700"/>
      <c r="I37" s="700"/>
      <c r="J37" s="700"/>
      <c r="K37" s="700"/>
      <c r="L37" s="700"/>
      <c r="M37" s="700"/>
      <c r="N37" s="700"/>
      <c r="O37" s="700"/>
      <c r="P37" s="700"/>
      <c r="Q37" s="700"/>
      <c r="R37" s="700"/>
      <c r="S37" s="700"/>
      <c r="T37" s="700"/>
      <c r="U37" s="700"/>
      <c r="V37" s="700"/>
      <c r="W37" s="700"/>
      <c r="X37" s="700"/>
      <c r="Y37" s="700"/>
      <c r="Z37" s="700"/>
      <c r="AA37" s="700"/>
      <c r="AB37" s="700"/>
      <c r="AC37" s="700"/>
      <c r="AD37" s="456"/>
      <c r="AE37" s="699" t="s">
        <v>83</v>
      </c>
      <c r="AF37" s="699"/>
      <c r="AG37" s="694" t="s">
        <v>451</v>
      </c>
      <c r="AH37" s="694"/>
      <c r="AI37" s="694"/>
      <c r="AJ37" s="694"/>
      <c r="AK37" s="694"/>
      <c r="AL37" s="694"/>
      <c r="AM37" s="694"/>
      <c r="AN37" s="694"/>
      <c r="AO37" s="694"/>
      <c r="AP37" s="694"/>
      <c r="AQ37" s="694"/>
      <c r="AR37" s="694"/>
      <c r="AS37" s="694"/>
      <c r="AT37" s="694"/>
      <c r="AU37" s="694"/>
      <c r="AV37" s="694"/>
      <c r="AW37" s="694"/>
      <c r="AX37" s="694"/>
      <c r="AY37" s="694"/>
      <c r="AZ37" s="694"/>
      <c r="BA37" s="694"/>
      <c r="BB37" s="694"/>
      <c r="BC37" s="694"/>
      <c r="BD37" s="694"/>
      <c r="BE37" s="694"/>
      <c r="BF37" s="694"/>
      <c r="BG37" s="694"/>
    </row>
    <row r="38" spans="1:59" x14ac:dyDescent="0.2">
      <c r="A38" s="695" t="s">
        <v>415</v>
      </c>
      <c r="B38" s="695"/>
      <c r="C38" s="695"/>
      <c r="D38" s="695"/>
      <c r="E38" s="695"/>
      <c r="F38" s="695"/>
      <c r="G38" s="695"/>
      <c r="H38" s="695"/>
      <c r="I38" s="695"/>
      <c r="J38" s="695"/>
      <c r="K38" s="695"/>
      <c r="L38" s="695"/>
      <c r="M38" s="695"/>
      <c r="N38" s="695"/>
      <c r="O38" s="695"/>
      <c r="P38" s="695"/>
      <c r="Q38" s="695"/>
      <c r="R38" s="695"/>
      <c r="S38" s="695"/>
      <c r="T38" s="695"/>
      <c r="U38" s="695"/>
      <c r="V38" s="695"/>
      <c r="W38" s="695"/>
      <c r="X38" s="695"/>
      <c r="Y38" s="695"/>
      <c r="Z38" s="695"/>
      <c r="AA38" s="695"/>
      <c r="AB38" s="695"/>
      <c r="AC38" s="695"/>
      <c r="AD38" s="456"/>
      <c r="AE38" s="466"/>
      <c r="AF38" s="466"/>
      <c r="AG38" s="694"/>
      <c r="AH38" s="694"/>
      <c r="AI38" s="694"/>
      <c r="AJ38" s="694"/>
      <c r="AK38" s="694"/>
      <c r="AL38" s="694"/>
      <c r="AM38" s="694"/>
      <c r="AN38" s="694"/>
      <c r="AO38" s="694"/>
      <c r="AP38" s="694"/>
      <c r="AQ38" s="694"/>
      <c r="AR38" s="694"/>
      <c r="AS38" s="694"/>
      <c r="AT38" s="694"/>
      <c r="AU38" s="694"/>
      <c r="AV38" s="694"/>
      <c r="AW38" s="694"/>
      <c r="AX38" s="694"/>
      <c r="AY38" s="694"/>
      <c r="AZ38" s="694"/>
      <c r="BA38" s="694"/>
      <c r="BB38" s="694"/>
      <c r="BC38" s="694"/>
      <c r="BD38" s="694"/>
      <c r="BE38" s="694"/>
      <c r="BF38" s="694"/>
      <c r="BG38" s="694"/>
    </row>
    <row r="39" spans="1:59" x14ac:dyDescent="0.2">
      <c r="A39" s="456"/>
      <c r="B39" s="456"/>
      <c r="C39" s="456"/>
      <c r="D39" s="456"/>
      <c r="E39" s="456"/>
      <c r="F39" s="456"/>
      <c r="G39" s="456"/>
      <c r="H39" s="456"/>
      <c r="I39" s="456"/>
      <c r="J39" s="456"/>
      <c r="K39" s="456"/>
      <c r="L39" s="456"/>
      <c r="M39" s="456"/>
      <c r="N39" s="456"/>
      <c r="O39" s="456"/>
      <c r="P39" s="456"/>
      <c r="Q39" s="456"/>
      <c r="R39" s="456"/>
      <c r="S39" s="456"/>
      <c r="T39" s="456"/>
      <c r="U39" s="456"/>
      <c r="V39" s="456"/>
      <c r="W39" s="456"/>
      <c r="X39" s="456"/>
      <c r="Y39" s="456"/>
      <c r="Z39" s="456"/>
      <c r="AA39" s="456"/>
      <c r="AB39" s="456"/>
      <c r="AC39" s="456"/>
      <c r="AD39" s="456"/>
      <c r="AE39" s="467" t="s">
        <v>82</v>
      </c>
      <c r="AF39" s="704" t="s">
        <v>444</v>
      </c>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row>
    <row r="40" spans="1:59" ht="11.25" customHeight="1" x14ac:dyDescent="0.2">
      <c r="A40" s="464" t="s">
        <v>73</v>
      </c>
      <c r="B40" s="694" t="str">
        <f>"Kreditin və kreditdən istifadəyə görə faizlərin ödənilməsi bu müqaviləyə əlavə olunmuş  və müqav"&amp;"ilənin ayrılmaz tərkib hissəsi olan ödəniş cədvəlinə (Əlavə № 1) müvafiq həyata keçirilir."</f>
        <v>Kreditin və kreditdən istifadəyə görə faizlərin ödənilməsi bu müqaviləyə əlavə olunmuş  və müqavilənin ayrılmaz tərkib hissəsi olan ödəniş cədvəlinə (Əlavə № 1) müvafiq həyata keçirilir.</v>
      </c>
      <c r="C40" s="694"/>
      <c r="D40" s="694"/>
      <c r="E40" s="694"/>
      <c r="F40" s="694"/>
      <c r="G40" s="694"/>
      <c r="H40" s="694"/>
      <c r="I40" s="694"/>
      <c r="J40" s="694"/>
      <c r="K40" s="694"/>
      <c r="L40" s="694"/>
      <c r="M40" s="694"/>
      <c r="N40" s="694"/>
      <c r="O40" s="694"/>
      <c r="P40" s="694"/>
      <c r="Q40" s="694"/>
      <c r="R40" s="694"/>
      <c r="S40" s="694"/>
      <c r="T40" s="694"/>
      <c r="U40" s="694"/>
      <c r="V40" s="694"/>
      <c r="W40" s="694"/>
      <c r="X40" s="694"/>
      <c r="Y40" s="694"/>
      <c r="Z40" s="694"/>
      <c r="AA40" s="694"/>
      <c r="AB40" s="694"/>
      <c r="AC40" s="694"/>
      <c r="AD40" s="456"/>
      <c r="AE40" s="701" t="s">
        <v>80</v>
      </c>
      <c r="AF40" s="701"/>
      <c r="AG40" s="694" t="s">
        <v>925</v>
      </c>
      <c r="AH40" s="694"/>
      <c r="AI40" s="694"/>
      <c r="AJ40" s="694"/>
      <c r="AK40" s="694"/>
      <c r="AL40" s="694"/>
      <c r="AM40" s="694"/>
      <c r="AN40" s="694"/>
      <c r="AO40" s="694"/>
      <c r="AP40" s="694"/>
      <c r="AQ40" s="694"/>
      <c r="AR40" s="694"/>
      <c r="AS40" s="694"/>
      <c r="AT40" s="694"/>
      <c r="AU40" s="694"/>
      <c r="AV40" s="694"/>
      <c r="AW40" s="694"/>
      <c r="AX40" s="694"/>
      <c r="AY40" s="694"/>
      <c r="AZ40" s="694"/>
      <c r="BA40" s="694"/>
      <c r="BB40" s="694"/>
      <c r="BC40" s="694"/>
      <c r="BD40" s="694"/>
      <c r="BE40" s="694"/>
      <c r="BF40" s="694"/>
      <c r="BG40" s="694"/>
    </row>
    <row r="41" spans="1:59" ht="11.25" customHeight="1" x14ac:dyDescent="0.2">
      <c r="A41" s="464"/>
      <c r="B41" s="694"/>
      <c r="C41" s="694"/>
      <c r="D41" s="694"/>
      <c r="E41" s="694"/>
      <c r="F41" s="694"/>
      <c r="G41" s="694"/>
      <c r="H41" s="694"/>
      <c r="I41" s="694"/>
      <c r="J41" s="694"/>
      <c r="K41" s="694"/>
      <c r="L41" s="694"/>
      <c r="M41" s="694"/>
      <c r="N41" s="694"/>
      <c r="O41" s="694"/>
      <c r="P41" s="694"/>
      <c r="Q41" s="694"/>
      <c r="R41" s="694"/>
      <c r="S41" s="694"/>
      <c r="T41" s="694"/>
      <c r="U41" s="694"/>
      <c r="V41" s="694"/>
      <c r="W41" s="694"/>
      <c r="X41" s="694"/>
      <c r="Y41" s="694"/>
      <c r="Z41" s="694"/>
      <c r="AA41" s="694"/>
      <c r="AB41" s="694"/>
      <c r="AC41" s="694"/>
      <c r="AD41" s="456"/>
      <c r="AE41" s="494"/>
      <c r="AF41" s="494"/>
      <c r="AG41" s="694"/>
      <c r="AH41" s="694"/>
      <c r="AI41" s="694"/>
      <c r="AJ41" s="694"/>
      <c r="AK41" s="694"/>
      <c r="AL41" s="694"/>
      <c r="AM41" s="694"/>
      <c r="AN41" s="694"/>
      <c r="AO41" s="694"/>
      <c r="AP41" s="694"/>
      <c r="AQ41" s="694"/>
      <c r="AR41" s="694"/>
      <c r="AS41" s="694"/>
      <c r="AT41" s="694"/>
      <c r="AU41" s="694"/>
      <c r="AV41" s="694"/>
      <c r="AW41" s="694"/>
      <c r="AX41" s="694"/>
      <c r="AY41" s="694"/>
      <c r="AZ41" s="694"/>
      <c r="BA41" s="694"/>
      <c r="BB41" s="694"/>
      <c r="BC41" s="694"/>
      <c r="BD41" s="694"/>
      <c r="BE41" s="694"/>
      <c r="BF41" s="694"/>
      <c r="BG41" s="694"/>
    </row>
    <row r="42" spans="1:59" s="493" customFormat="1" x14ac:dyDescent="0.2">
      <c r="A42" s="495"/>
      <c r="B42" s="694"/>
      <c r="C42" s="694"/>
      <c r="D42" s="694"/>
      <c r="E42" s="694"/>
      <c r="F42" s="694"/>
      <c r="G42" s="694"/>
      <c r="H42" s="694"/>
      <c r="I42" s="694"/>
      <c r="J42" s="694"/>
      <c r="K42" s="694"/>
      <c r="L42" s="694"/>
      <c r="M42" s="694"/>
      <c r="N42" s="694"/>
      <c r="O42" s="694"/>
      <c r="P42" s="694"/>
      <c r="Q42" s="694"/>
      <c r="R42" s="694"/>
      <c r="S42" s="694"/>
      <c r="T42" s="694"/>
      <c r="U42" s="694"/>
      <c r="V42" s="694"/>
      <c r="W42" s="694"/>
      <c r="X42" s="694"/>
      <c r="Y42" s="694"/>
      <c r="Z42" s="694"/>
      <c r="AA42" s="694"/>
      <c r="AB42" s="694"/>
      <c r="AC42" s="694"/>
      <c r="AD42" s="492"/>
      <c r="AE42" s="701" t="s">
        <v>78</v>
      </c>
      <c r="AF42" s="701"/>
      <c r="AG42" s="694" t="s">
        <v>77</v>
      </c>
      <c r="AH42" s="694"/>
      <c r="AI42" s="694"/>
      <c r="AJ42" s="694"/>
      <c r="AK42" s="694"/>
      <c r="AL42" s="694"/>
      <c r="AM42" s="694"/>
      <c r="AN42" s="694"/>
      <c r="AO42" s="694"/>
      <c r="AP42" s="694"/>
      <c r="AQ42" s="694"/>
      <c r="AR42" s="694"/>
      <c r="AS42" s="694"/>
      <c r="AT42" s="694"/>
      <c r="AU42" s="694"/>
      <c r="AV42" s="694"/>
      <c r="AW42" s="694"/>
      <c r="AX42" s="694"/>
      <c r="AY42" s="694"/>
      <c r="AZ42" s="694"/>
      <c r="BA42" s="694"/>
      <c r="BB42" s="694"/>
      <c r="BC42" s="694"/>
      <c r="BD42" s="694"/>
      <c r="BE42" s="694"/>
      <c r="BF42" s="694"/>
      <c r="BG42" s="694"/>
    </row>
    <row r="43" spans="1:59" x14ac:dyDescent="0.2">
      <c r="A43" s="464" t="s">
        <v>70</v>
      </c>
      <c r="B43" s="694" t="str">
        <f>"Bu müqaviləyə görə «Borc alan»ın aparmalı olduğu ödənişlər manatda həyata keçirilir. Kreditdən istifadəyə görə faizlər kreditin verildiyi gündən onun tam qaytarıldığı günə qədər hesablanır. Bu zaman əsas kimi ayda 30 gün və ildə "&amp;"360 gün götürülür."</f>
        <v>Bu müqaviləyə görə «Borc alan»ın aparmalı olduğu ödənişlər manatda həyata keçirilir. Kreditdən istifadəyə görə faizlər kreditin verildiyi gündən onun tam qaytarıldığı günə qədər hesablanır. Bu zaman əsas kimi ayda 30 gün və ildə 360 gün götürülür.</v>
      </c>
      <c r="C43" s="694"/>
      <c r="D43" s="694"/>
      <c r="E43" s="694"/>
      <c r="F43" s="694"/>
      <c r="G43" s="694"/>
      <c r="H43" s="694"/>
      <c r="I43" s="694"/>
      <c r="J43" s="694"/>
      <c r="K43" s="694"/>
      <c r="L43" s="694"/>
      <c r="M43" s="694"/>
      <c r="N43" s="694"/>
      <c r="O43" s="694"/>
      <c r="P43" s="694"/>
      <c r="Q43" s="694"/>
      <c r="R43" s="694"/>
      <c r="S43" s="694"/>
      <c r="T43" s="694"/>
      <c r="U43" s="694"/>
      <c r="V43" s="694"/>
      <c r="W43" s="694"/>
      <c r="X43" s="694"/>
      <c r="Y43" s="694"/>
      <c r="Z43" s="694"/>
      <c r="AA43" s="694"/>
      <c r="AB43" s="694"/>
      <c r="AC43" s="694"/>
      <c r="AD43" s="456"/>
      <c r="AE43" s="466"/>
      <c r="AF43" s="466"/>
      <c r="AG43" s="694"/>
      <c r="AH43" s="694"/>
      <c r="AI43" s="694"/>
      <c r="AJ43" s="694"/>
      <c r="AK43" s="694"/>
      <c r="AL43" s="694"/>
      <c r="AM43" s="694"/>
      <c r="AN43" s="694"/>
      <c r="AO43" s="694"/>
      <c r="AP43" s="694"/>
      <c r="AQ43" s="694"/>
      <c r="AR43" s="694"/>
      <c r="AS43" s="694"/>
      <c r="AT43" s="694"/>
      <c r="AU43" s="694"/>
      <c r="AV43" s="694"/>
      <c r="AW43" s="694"/>
      <c r="AX43" s="694"/>
      <c r="AY43" s="694"/>
      <c r="AZ43" s="694"/>
      <c r="BA43" s="694"/>
      <c r="BB43" s="694"/>
      <c r="BC43" s="694"/>
      <c r="BD43" s="694"/>
      <c r="BE43" s="694"/>
      <c r="BF43" s="694"/>
      <c r="BG43" s="694"/>
    </row>
    <row r="44" spans="1:59" x14ac:dyDescent="0.2">
      <c r="B44" s="694"/>
      <c r="C44" s="694"/>
      <c r="D44" s="694"/>
      <c r="E44" s="694"/>
      <c r="F44" s="694"/>
      <c r="G44" s="694"/>
      <c r="H44" s="694"/>
      <c r="I44" s="694"/>
      <c r="J44" s="694"/>
      <c r="K44" s="694"/>
      <c r="L44" s="694"/>
      <c r="M44" s="694"/>
      <c r="N44" s="694"/>
      <c r="O44" s="694"/>
      <c r="P44" s="694"/>
      <c r="Q44" s="694"/>
      <c r="R44" s="694"/>
      <c r="S44" s="694"/>
      <c r="T44" s="694"/>
      <c r="U44" s="694"/>
      <c r="V44" s="694"/>
      <c r="W44" s="694"/>
      <c r="X44" s="694"/>
      <c r="Y44" s="694"/>
      <c r="Z44" s="694"/>
      <c r="AA44" s="694"/>
      <c r="AB44" s="694"/>
      <c r="AC44" s="694"/>
      <c r="AD44" s="456"/>
      <c r="AE44" s="466"/>
      <c r="AF44" s="466"/>
      <c r="AG44" s="694"/>
      <c r="AH44" s="694"/>
      <c r="AI44" s="694"/>
      <c r="AJ44" s="694"/>
      <c r="AK44" s="694"/>
      <c r="AL44" s="694"/>
      <c r="AM44" s="694"/>
      <c r="AN44" s="694"/>
      <c r="AO44" s="694"/>
      <c r="AP44" s="694"/>
      <c r="AQ44" s="694"/>
      <c r="AR44" s="694"/>
      <c r="AS44" s="694"/>
      <c r="AT44" s="694"/>
      <c r="AU44" s="694"/>
      <c r="AV44" s="694"/>
      <c r="AW44" s="694"/>
      <c r="AX44" s="694"/>
      <c r="AY44" s="694"/>
      <c r="AZ44" s="694"/>
      <c r="BA44" s="694"/>
      <c r="BB44" s="694"/>
      <c r="BC44" s="694"/>
      <c r="BD44" s="694"/>
      <c r="BE44" s="694"/>
      <c r="BF44" s="694"/>
      <c r="BG44" s="694"/>
    </row>
    <row r="45" spans="1:59" x14ac:dyDescent="0.2">
      <c r="B45" s="694"/>
      <c r="C45" s="694"/>
      <c r="D45" s="694"/>
      <c r="E45" s="694"/>
      <c r="F45" s="694"/>
      <c r="G45" s="694"/>
      <c r="H45" s="694"/>
      <c r="I45" s="694"/>
      <c r="J45" s="694"/>
      <c r="K45" s="694"/>
      <c r="L45" s="694"/>
      <c r="M45" s="694"/>
      <c r="N45" s="694"/>
      <c r="O45" s="694"/>
      <c r="P45" s="694"/>
      <c r="Q45" s="694"/>
      <c r="R45" s="694"/>
      <c r="S45" s="694"/>
      <c r="T45" s="694"/>
      <c r="U45" s="694"/>
      <c r="V45" s="694"/>
      <c r="W45" s="694"/>
      <c r="X45" s="694"/>
      <c r="Y45" s="694"/>
      <c r="Z45" s="694"/>
      <c r="AA45" s="694"/>
      <c r="AB45" s="694"/>
      <c r="AC45" s="694"/>
      <c r="AD45" s="456"/>
      <c r="AE45" s="701" t="s">
        <v>75</v>
      </c>
      <c r="AF45" s="701"/>
      <c r="AG45" s="694" t="s">
        <v>74</v>
      </c>
      <c r="AH45" s="694"/>
      <c r="AI45" s="694"/>
      <c r="AJ45" s="694"/>
      <c r="AK45" s="694"/>
      <c r="AL45" s="694"/>
      <c r="AM45" s="694"/>
      <c r="AN45" s="694"/>
      <c r="AO45" s="694"/>
      <c r="AP45" s="694"/>
      <c r="AQ45" s="694"/>
      <c r="AR45" s="694"/>
      <c r="AS45" s="694"/>
      <c r="AT45" s="694"/>
      <c r="AU45" s="694"/>
      <c r="AV45" s="694"/>
      <c r="AW45" s="694"/>
      <c r="AX45" s="694"/>
      <c r="AY45" s="694"/>
      <c r="AZ45" s="694"/>
      <c r="BA45" s="694"/>
      <c r="BB45" s="694"/>
      <c r="BC45" s="694"/>
      <c r="BD45" s="694"/>
      <c r="BE45" s="694"/>
      <c r="BF45" s="694"/>
      <c r="BG45" s="694"/>
    </row>
    <row r="46" spans="1:59" x14ac:dyDescent="0.2">
      <c r="B46" s="69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456"/>
      <c r="AE46" s="466"/>
      <c r="AF46" s="466"/>
      <c r="AG46" s="694"/>
      <c r="AH46" s="694"/>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row>
    <row r="47" spans="1:59" x14ac:dyDescent="0.2">
      <c r="A47" s="464" t="s">
        <v>68</v>
      </c>
      <c r="B47" s="694" t="s">
        <v>499</v>
      </c>
      <c r="C47" s="694"/>
      <c r="D47" s="694"/>
      <c r="E47" s="694"/>
      <c r="F47" s="694"/>
      <c r="G47" s="694"/>
      <c r="H47" s="694"/>
      <c r="I47" s="694"/>
      <c r="J47" s="694"/>
      <c r="K47" s="694"/>
      <c r="L47" s="694"/>
      <c r="M47" s="694"/>
      <c r="N47" s="694"/>
      <c r="O47" s="694"/>
      <c r="P47" s="694"/>
      <c r="Q47" s="694"/>
      <c r="R47" s="694"/>
      <c r="S47" s="694"/>
      <c r="T47" s="694"/>
      <c r="U47" s="694"/>
      <c r="V47" s="694"/>
      <c r="W47" s="694"/>
      <c r="X47" s="694"/>
      <c r="Y47" s="694"/>
      <c r="Z47" s="694"/>
      <c r="AA47" s="694"/>
      <c r="AB47" s="694"/>
      <c r="AC47" s="694"/>
      <c r="AD47" s="456"/>
      <c r="AE47" s="701" t="s">
        <v>72</v>
      </c>
      <c r="AF47" s="701"/>
      <c r="AG47" s="702" t="s">
        <v>452</v>
      </c>
      <c r="AH47" s="702"/>
      <c r="AI47" s="702"/>
      <c r="AJ47" s="702"/>
      <c r="AK47" s="702"/>
      <c r="AL47" s="702"/>
      <c r="AM47" s="702"/>
      <c r="AN47" s="702"/>
      <c r="AO47" s="702"/>
      <c r="AP47" s="702"/>
      <c r="AQ47" s="702"/>
      <c r="AR47" s="702"/>
      <c r="AS47" s="702"/>
      <c r="AT47" s="702"/>
      <c r="AU47" s="702"/>
      <c r="AV47" s="702"/>
      <c r="AW47" s="702"/>
      <c r="AX47" s="702"/>
      <c r="AY47" s="702"/>
      <c r="AZ47" s="702"/>
      <c r="BA47" s="702"/>
      <c r="BB47" s="702"/>
      <c r="BC47" s="702"/>
      <c r="BD47" s="702"/>
      <c r="BE47" s="702"/>
      <c r="BF47" s="702"/>
      <c r="BG47" s="702"/>
    </row>
    <row r="48" spans="1:59" x14ac:dyDescent="0.2">
      <c r="B48" s="694"/>
      <c r="C48" s="694"/>
      <c r="D48" s="694"/>
      <c r="E48" s="694"/>
      <c r="F48" s="694"/>
      <c r="G48" s="694"/>
      <c r="H48" s="694"/>
      <c r="I48" s="694"/>
      <c r="J48" s="694"/>
      <c r="K48" s="694"/>
      <c r="L48" s="694"/>
      <c r="M48" s="694"/>
      <c r="N48" s="694"/>
      <c r="O48" s="694"/>
      <c r="P48" s="694"/>
      <c r="Q48" s="694"/>
      <c r="R48" s="694"/>
      <c r="S48" s="694"/>
      <c r="T48" s="694"/>
      <c r="U48" s="694"/>
      <c r="V48" s="694"/>
      <c r="W48" s="694"/>
      <c r="X48" s="694"/>
      <c r="Y48" s="694"/>
      <c r="Z48" s="694"/>
      <c r="AA48" s="694"/>
      <c r="AB48" s="694"/>
      <c r="AC48" s="694"/>
      <c r="AD48" s="456"/>
      <c r="AE48" s="701" t="s">
        <v>71</v>
      </c>
      <c r="AF48" s="701"/>
      <c r="AG48" s="694" t="str">
        <f>"«Borc alan»ın öz kredit borcları haqqında məlumatların alınması və onun haqqında toplanan məlumatlarda qeyri-dəqiqliyinin aradan qaldırılması üçün yazılı formada Mərkəzləşdirilmiş Kredit Reyestrinə  müraciət etmək hüququ var;"</f>
        <v>«Borc alan»ın öz kredit borcları haqqında məlumatların alınması və onun haqqında toplanan məlumatlarda qeyri-dəqiqliyinin aradan qaldırılması üçün yazılı formada Mərkəzləşdirilmiş Kredit Reyestrinə  müraciət etmək hüququ var;</v>
      </c>
      <c r="AH48" s="694"/>
      <c r="AI48" s="694"/>
      <c r="AJ48" s="694"/>
      <c r="AK48" s="694"/>
      <c r="AL48" s="694"/>
      <c r="AM48" s="694"/>
      <c r="AN48" s="694"/>
      <c r="AO48" s="694"/>
      <c r="AP48" s="694"/>
      <c r="AQ48" s="694"/>
      <c r="AR48" s="694"/>
      <c r="AS48" s="694"/>
      <c r="AT48" s="694"/>
      <c r="AU48" s="694"/>
      <c r="AV48" s="694"/>
      <c r="AW48" s="694"/>
      <c r="AX48" s="694"/>
      <c r="AY48" s="694"/>
      <c r="AZ48" s="694"/>
      <c r="BA48" s="694"/>
      <c r="BB48" s="694"/>
      <c r="BC48" s="694"/>
      <c r="BD48" s="694"/>
      <c r="BE48" s="694"/>
      <c r="BF48" s="694"/>
      <c r="BG48" s="694"/>
    </row>
    <row r="49" spans="1:59" x14ac:dyDescent="0.2">
      <c r="A49" s="457"/>
      <c r="B49" s="694"/>
      <c r="C49" s="694"/>
      <c r="D49" s="694"/>
      <c r="E49" s="694"/>
      <c r="F49" s="694"/>
      <c r="G49" s="694"/>
      <c r="H49" s="694"/>
      <c r="I49" s="694"/>
      <c r="J49" s="694"/>
      <c r="K49" s="694"/>
      <c r="L49" s="694"/>
      <c r="M49" s="694"/>
      <c r="N49" s="694"/>
      <c r="O49" s="694"/>
      <c r="P49" s="694"/>
      <c r="Q49" s="694"/>
      <c r="R49" s="694"/>
      <c r="S49" s="694"/>
      <c r="T49" s="694"/>
      <c r="U49" s="694"/>
      <c r="V49" s="694"/>
      <c r="W49" s="694"/>
      <c r="X49" s="694"/>
      <c r="Y49" s="694"/>
      <c r="Z49" s="694"/>
      <c r="AA49" s="694"/>
      <c r="AB49" s="694"/>
      <c r="AC49" s="694"/>
      <c r="AD49" s="456"/>
      <c r="AE49" s="466"/>
      <c r="AF49" s="466"/>
      <c r="AG49" s="694"/>
      <c r="AH49" s="694"/>
      <c r="AI49" s="694"/>
      <c r="AJ49" s="694"/>
      <c r="AK49" s="694"/>
      <c r="AL49" s="694"/>
      <c r="AM49" s="694"/>
      <c r="AN49" s="694"/>
      <c r="AO49" s="694"/>
      <c r="AP49" s="694"/>
      <c r="AQ49" s="694"/>
      <c r="AR49" s="694"/>
      <c r="AS49" s="694"/>
      <c r="AT49" s="694"/>
      <c r="AU49" s="694"/>
      <c r="AV49" s="694"/>
      <c r="AW49" s="694"/>
      <c r="AX49" s="694"/>
      <c r="AY49" s="694"/>
      <c r="AZ49" s="694"/>
      <c r="BA49" s="694"/>
      <c r="BB49" s="694"/>
      <c r="BC49" s="694"/>
      <c r="BD49" s="694"/>
      <c r="BE49" s="694"/>
      <c r="BF49" s="694"/>
      <c r="BG49" s="694"/>
    </row>
    <row r="50" spans="1:59" x14ac:dyDescent="0.2">
      <c r="A50" s="464" t="s">
        <v>67</v>
      </c>
      <c r="B50" s="694" t="s">
        <v>862</v>
      </c>
      <c r="C50" s="694"/>
      <c r="D50" s="694"/>
      <c r="E50" s="694"/>
      <c r="F50" s="694"/>
      <c r="G50" s="694"/>
      <c r="H50" s="694"/>
      <c r="I50" s="694"/>
      <c r="J50" s="694"/>
      <c r="K50" s="694"/>
      <c r="L50" s="694"/>
      <c r="M50" s="694"/>
      <c r="N50" s="694"/>
      <c r="O50" s="694"/>
      <c r="P50" s="694"/>
      <c r="Q50" s="694"/>
      <c r="R50" s="694"/>
      <c r="S50" s="694"/>
      <c r="T50" s="694"/>
      <c r="U50" s="694"/>
      <c r="V50" s="694"/>
      <c r="W50" s="694"/>
      <c r="X50" s="694"/>
      <c r="Y50" s="694"/>
      <c r="Z50" s="694"/>
      <c r="AA50" s="694"/>
      <c r="AB50" s="694"/>
      <c r="AC50" s="694"/>
      <c r="AD50" s="456"/>
      <c r="AE50" s="466"/>
      <c r="AF50" s="466"/>
      <c r="AG50" s="694"/>
      <c r="AH50" s="694"/>
      <c r="AI50" s="694"/>
      <c r="AJ50" s="694"/>
      <c r="AK50" s="694"/>
      <c r="AL50" s="694"/>
      <c r="AM50" s="694"/>
      <c r="AN50" s="694"/>
      <c r="AO50" s="694"/>
      <c r="AP50" s="694"/>
      <c r="AQ50" s="694"/>
      <c r="AR50" s="694"/>
      <c r="AS50" s="694"/>
      <c r="AT50" s="694"/>
      <c r="AU50" s="694"/>
      <c r="AV50" s="694"/>
      <c r="AW50" s="694"/>
      <c r="AX50" s="694"/>
      <c r="AY50" s="694"/>
      <c r="AZ50" s="694"/>
      <c r="BA50" s="694"/>
      <c r="BB50" s="694"/>
      <c r="BC50" s="694"/>
      <c r="BD50" s="694"/>
      <c r="BE50" s="694"/>
      <c r="BF50" s="694"/>
      <c r="BG50" s="694"/>
    </row>
    <row r="51" spans="1:59" x14ac:dyDescent="0.2">
      <c r="A51" s="457"/>
      <c r="B51" s="694"/>
      <c r="C51" s="694"/>
      <c r="D51" s="694"/>
      <c r="E51" s="694"/>
      <c r="F51" s="694"/>
      <c r="G51" s="694"/>
      <c r="H51" s="694"/>
      <c r="I51" s="694"/>
      <c r="J51" s="694"/>
      <c r="K51" s="694"/>
      <c r="L51" s="694"/>
      <c r="M51" s="694"/>
      <c r="N51" s="694"/>
      <c r="O51" s="694"/>
      <c r="P51" s="694"/>
      <c r="Q51" s="694"/>
      <c r="R51" s="694"/>
      <c r="S51" s="694"/>
      <c r="T51" s="694"/>
      <c r="U51" s="694"/>
      <c r="V51" s="694"/>
      <c r="W51" s="694"/>
      <c r="X51" s="694"/>
      <c r="Y51" s="694"/>
      <c r="Z51" s="694"/>
      <c r="AA51" s="694"/>
      <c r="AB51" s="694"/>
      <c r="AC51" s="694"/>
      <c r="AD51" s="456"/>
      <c r="AE51" s="466"/>
      <c r="AF51" s="466"/>
      <c r="AG51" s="694"/>
      <c r="AH51" s="694"/>
      <c r="AI51" s="694"/>
      <c r="AJ51" s="694"/>
      <c r="AK51" s="694"/>
      <c r="AL51" s="694"/>
      <c r="AM51" s="694"/>
      <c r="AN51" s="694"/>
      <c r="AO51" s="694"/>
      <c r="AP51" s="694"/>
      <c r="AQ51" s="694"/>
      <c r="AR51" s="694"/>
      <c r="AS51" s="694"/>
      <c r="AT51" s="694"/>
      <c r="AU51" s="694"/>
      <c r="AV51" s="694"/>
      <c r="AW51" s="694"/>
      <c r="AX51" s="694"/>
      <c r="AY51" s="694"/>
      <c r="AZ51" s="694"/>
      <c r="BA51" s="694"/>
      <c r="BB51" s="694"/>
      <c r="BC51" s="694"/>
      <c r="BD51" s="694"/>
      <c r="BE51" s="694"/>
      <c r="BF51" s="694"/>
      <c r="BG51" s="694"/>
    </row>
    <row r="52" spans="1:59" x14ac:dyDescent="0.2">
      <c r="A52" s="457"/>
      <c r="B52" s="694"/>
      <c r="C52" s="694"/>
      <c r="D52" s="694"/>
      <c r="E52" s="694"/>
      <c r="F52" s="694"/>
      <c r="G52" s="694"/>
      <c r="H52" s="694"/>
      <c r="I52" s="694"/>
      <c r="J52" s="694"/>
      <c r="K52" s="694"/>
      <c r="L52" s="694"/>
      <c r="M52" s="694"/>
      <c r="N52" s="694"/>
      <c r="O52" s="694"/>
      <c r="P52" s="694"/>
      <c r="Q52" s="694"/>
      <c r="R52" s="694"/>
      <c r="S52" s="694"/>
      <c r="T52" s="694"/>
      <c r="U52" s="694"/>
      <c r="V52" s="694"/>
      <c r="W52" s="694"/>
      <c r="X52" s="694"/>
      <c r="Y52" s="694"/>
      <c r="Z52" s="694"/>
      <c r="AA52" s="694"/>
      <c r="AB52" s="694"/>
      <c r="AC52" s="694"/>
      <c r="AD52" s="456"/>
      <c r="AE52" s="701" t="s">
        <v>69</v>
      </c>
      <c r="AF52" s="701"/>
      <c r="AG52" s="706" t="str">
        <f>"Hüquqlarının pozulduğunu  düşündükdə və ya hər hansı məsələ ilə bağlı şikayəti   və ya təklifi olduqda,  «Borc alan» iş günləri (saat 09:00-dan 18:00-dək) ərzində həm birbaşa olaraq kredit  götürdüyü filialın menecerinə,   həm də təşkilatın qaynar xətti –"&amp;" (+994 50) 287 30 37,  şəhərdaxili  telefon nömrəsi– (+994 12) 597 48 17 (daxili 303),  faks– (+994 12) 597 30 39,  elektron poçt ün"&amp;"vanı– muraciet@azercredit.az, internet səhifəsindəki «Müraciət»  bölməsi və ya ofislərdə qoyulan Şikayət və Təklif Qutuları vasitəsilə və yaxud da birbaşa  olaraq təşkilatın Baş Ofisinə (ünvan: Bakı  şəh., AZ1009, S. Rəhimov/ S.Vurğun küçələrin kəsişm"&amp;"əsi, World Business Center, 3-cü mərtəbə) gəlməklə  Müştəri xidmətləri üzrə məsul şəxsə  müraciət edə bilər. "</f>
        <v xml:space="preserve">Hüquqlarının pozulduğunu  düşündükdə və ya hər hansı məsələ ilə bağlı şikayəti   və ya təklifi olduqda,  «Borc alan» iş günləri (saat 09:00-dan 18:00-dək) ərzində həm birbaşa olaraq kredit  götürdüyü filialın menecerinə,   həm də təşkilatın qaynar xətti – (+994 50) 287 30 37,  şəhərdaxili  telefon nömrəsi– (+994 12) 597 48 17 (daxili 303),  faks– (+994 12) 597 30 39,  elektron poçt ünvanı– muraciet@azercredit.az, internet səhifəsindəki «Müraciət»  bölməsi və ya ofislərdə qoyulan Şikayət və Təklif Qutuları vasitəsilə və yaxud da birbaşa  olaraq təşkilatın Baş Ofisinə (ünvan: Bakı  şəh., AZ1009, S. Rəhimov/ S.Vurğun küçələrin kəsişməsi, World Business Center, 3-cü mərtəbə) gəlməklə  Müştəri xidmətləri üzrə məsul şəxsə  müraciət edə bilər. </v>
      </c>
      <c r="AH52" s="706"/>
      <c r="AI52" s="706"/>
      <c r="AJ52" s="706"/>
      <c r="AK52" s="706"/>
      <c r="AL52" s="706"/>
      <c r="AM52" s="706"/>
      <c r="AN52" s="706"/>
      <c r="AO52" s="706"/>
      <c r="AP52" s="706"/>
      <c r="AQ52" s="706"/>
      <c r="AR52" s="706"/>
      <c r="AS52" s="706"/>
      <c r="AT52" s="706"/>
      <c r="AU52" s="706"/>
      <c r="AV52" s="706"/>
      <c r="AW52" s="706"/>
      <c r="AX52" s="706"/>
      <c r="AY52" s="706"/>
      <c r="AZ52" s="706"/>
      <c r="BA52" s="706"/>
      <c r="BB52" s="706"/>
      <c r="BC52" s="706"/>
      <c r="BD52" s="706"/>
      <c r="BE52" s="706"/>
      <c r="BF52" s="706"/>
      <c r="BG52" s="706"/>
    </row>
    <row r="53" spans="1:59" x14ac:dyDescent="0.2">
      <c r="B53" s="694"/>
      <c r="C53" s="694"/>
      <c r="D53" s="694"/>
      <c r="E53" s="694"/>
      <c r="F53" s="694"/>
      <c r="G53" s="694"/>
      <c r="H53" s="694"/>
      <c r="I53" s="694"/>
      <c r="J53" s="694"/>
      <c r="K53" s="694"/>
      <c r="L53" s="694"/>
      <c r="M53" s="694"/>
      <c r="N53" s="694"/>
      <c r="O53" s="694"/>
      <c r="P53" s="694"/>
      <c r="Q53" s="694"/>
      <c r="R53" s="694"/>
      <c r="S53" s="694"/>
      <c r="T53" s="694"/>
      <c r="U53" s="694"/>
      <c r="V53" s="694"/>
      <c r="W53" s="694"/>
      <c r="X53" s="694"/>
      <c r="Y53" s="694"/>
      <c r="Z53" s="694"/>
      <c r="AA53" s="694"/>
      <c r="AB53" s="694"/>
      <c r="AC53" s="694"/>
      <c r="AD53" s="456"/>
      <c r="AE53" s="466"/>
      <c r="AF53" s="466"/>
      <c r="AG53" s="706"/>
      <c r="AH53" s="706"/>
      <c r="AI53" s="706"/>
      <c r="AJ53" s="706"/>
      <c r="AK53" s="706"/>
      <c r="AL53" s="706"/>
      <c r="AM53" s="706"/>
      <c r="AN53" s="706"/>
      <c r="AO53" s="706"/>
      <c r="AP53" s="706"/>
      <c r="AQ53" s="706"/>
      <c r="AR53" s="706"/>
      <c r="AS53" s="706"/>
      <c r="AT53" s="706"/>
      <c r="AU53" s="706"/>
      <c r="AV53" s="706"/>
      <c r="AW53" s="706"/>
      <c r="AX53" s="706"/>
      <c r="AY53" s="706"/>
      <c r="AZ53" s="706"/>
      <c r="BA53" s="706"/>
      <c r="BB53" s="706"/>
      <c r="BC53" s="706"/>
      <c r="BD53" s="706"/>
      <c r="BE53" s="706"/>
      <c r="BF53" s="706"/>
      <c r="BG53" s="706"/>
    </row>
    <row r="54" spans="1:59" x14ac:dyDescent="0.2">
      <c r="A54" s="464" t="s">
        <v>66</v>
      </c>
      <c r="B54" s="694" t="str">
        <f>"«Borc alan» kredit və kreditdən istifadəyə görə faizlərin ödənişini bu müqavilənin ayrılmaz tərkib hissəsi olan ödəniş cədvəlinə müvafiq həyata keçrirərsə son "&amp;IF(AND(MONTH_KREDIT&gt;=18,MONTH_KREDIT&lt;=36),"8 (səkkiz)",IF(AND(MONTH_KREDIT&gt;=37,MONTH_KREDIT&lt;=48),"10 (on)","0 (sıfır)"))&amp;" ayın faizləri ona güzəşt ediləcəkdir."</f>
        <v>«Borc alan» kredit və kreditdən istifadəyə görə faizlərin ödənişini bu müqavilənin ayrılmaz tərkib hissəsi olan ödəniş cədvəlinə müvafiq həyata keçrirərsə son 0 (sıfır) ayın faizləri ona güzəşt ediləcəkdir.</v>
      </c>
      <c r="C54" s="694"/>
      <c r="D54" s="694"/>
      <c r="E54" s="694"/>
      <c r="F54" s="694"/>
      <c r="G54" s="694"/>
      <c r="H54" s="694"/>
      <c r="I54" s="694"/>
      <c r="J54" s="694"/>
      <c r="K54" s="694"/>
      <c r="L54" s="694"/>
      <c r="M54" s="694"/>
      <c r="N54" s="694"/>
      <c r="O54" s="694"/>
      <c r="P54" s="694"/>
      <c r="Q54" s="694"/>
      <c r="R54" s="694"/>
      <c r="S54" s="694"/>
      <c r="T54" s="694"/>
      <c r="U54" s="694"/>
      <c r="V54" s="694"/>
      <c r="W54" s="694"/>
      <c r="X54" s="694"/>
      <c r="Y54" s="694"/>
      <c r="Z54" s="694"/>
      <c r="AA54" s="694"/>
      <c r="AB54" s="694"/>
      <c r="AC54" s="694"/>
      <c r="AD54" s="456"/>
      <c r="AE54" s="466"/>
      <c r="AF54" s="466"/>
      <c r="AG54" s="706"/>
      <c r="AH54" s="706"/>
      <c r="AI54" s="706"/>
      <c r="AJ54" s="706"/>
      <c r="AK54" s="706"/>
      <c r="AL54" s="706"/>
      <c r="AM54" s="706"/>
      <c r="AN54" s="706"/>
      <c r="AO54" s="706"/>
      <c r="AP54" s="706"/>
      <c r="AQ54" s="706"/>
      <c r="AR54" s="706"/>
      <c r="AS54" s="706"/>
      <c r="AT54" s="706"/>
      <c r="AU54" s="706"/>
      <c r="AV54" s="706"/>
      <c r="AW54" s="706"/>
      <c r="AX54" s="706"/>
      <c r="AY54" s="706"/>
      <c r="AZ54" s="706"/>
      <c r="BA54" s="706"/>
      <c r="BB54" s="706"/>
      <c r="BC54" s="706"/>
      <c r="BD54" s="706"/>
      <c r="BE54" s="706"/>
      <c r="BF54" s="706"/>
      <c r="BG54" s="706"/>
    </row>
    <row r="55" spans="1:59" x14ac:dyDescent="0.2">
      <c r="A55" s="457"/>
      <c r="B55" s="694"/>
      <c r="C55" s="694"/>
      <c r="D55" s="694"/>
      <c r="E55" s="694"/>
      <c r="F55" s="694"/>
      <c r="G55" s="694"/>
      <c r="H55" s="694"/>
      <c r="I55" s="694"/>
      <c r="J55" s="694"/>
      <c r="K55" s="694"/>
      <c r="L55" s="694"/>
      <c r="M55" s="694"/>
      <c r="N55" s="694"/>
      <c r="O55" s="694"/>
      <c r="P55" s="694"/>
      <c r="Q55" s="694"/>
      <c r="R55" s="694"/>
      <c r="S55" s="694"/>
      <c r="T55" s="694"/>
      <c r="U55" s="694"/>
      <c r="V55" s="694"/>
      <c r="W55" s="694"/>
      <c r="X55" s="694"/>
      <c r="Y55" s="694"/>
      <c r="Z55" s="694"/>
      <c r="AA55" s="694"/>
      <c r="AB55" s="694"/>
      <c r="AC55" s="694"/>
      <c r="AD55" s="456"/>
      <c r="AE55" s="466"/>
      <c r="AF55" s="466"/>
      <c r="AG55" s="706"/>
      <c r="AH55" s="706"/>
      <c r="AI55" s="706"/>
      <c r="AJ55" s="706"/>
      <c r="AK55" s="706"/>
      <c r="AL55" s="706"/>
      <c r="AM55" s="706"/>
      <c r="AN55" s="706"/>
      <c r="AO55" s="706"/>
      <c r="AP55" s="706"/>
      <c r="AQ55" s="706"/>
      <c r="AR55" s="706"/>
      <c r="AS55" s="706"/>
      <c r="AT55" s="706"/>
      <c r="AU55" s="706"/>
      <c r="AV55" s="706"/>
      <c r="AW55" s="706"/>
      <c r="AX55" s="706"/>
      <c r="AY55" s="706"/>
      <c r="AZ55" s="706"/>
      <c r="BA55" s="706"/>
      <c r="BB55" s="706"/>
      <c r="BC55" s="706"/>
      <c r="BD55" s="706"/>
      <c r="BE55" s="706"/>
      <c r="BF55" s="706"/>
      <c r="BG55" s="706"/>
    </row>
    <row r="56" spans="1:59" x14ac:dyDescent="0.2">
      <c r="A56" s="457"/>
      <c r="B56" s="694"/>
      <c r="C56" s="694"/>
      <c r="D56" s="694"/>
      <c r="E56" s="694"/>
      <c r="F56" s="694"/>
      <c r="G56" s="694"/>
      <c r="H56" s="694"/>
      <c r="I56" s="694"/>
      <c r="J56" s="694"/>
      <c r="K56" s="694"/>
      <c r="L56" s="694"/>
      <c r="M56" s="694"/>
      <c r="N56" s="694"/>
      <c r="O56" s="694"/>
      <c r="P56" s="694"/>
      <c r="Q56" s="694"/>
      <c r="R56" s="694"/>
      <c r="S56" s="694"/>
      <c r="T56" s="694"/>
      <c r="U56" s="694"/>
      <c r="V56" s="694"/>
      <c r="W56" s="694"/>
      <c r="X56" s="694"/>
      <c r="Y56" s="694"/>
      <c r="Z56" s="694"/>
      <c r="AA56" s="694"/>
      <c r="AB56" s="694"/>
      <c r="AC56" s="694"/>
      <c r="AD56" s="456"/>
      <c r="AE56" s="466"/>
      <c r="AF56" s="466"/>
      <c r="AG56" s="706"/>
      <c r="AH56" s="706"/>
      <c r="AI56" s="706"/>
      <c r="AJ56" s="706"/>
      <c r="AK56" s="706"/>
      <c r="AL56" s="706"/>
      <c r="AM56" s="706"/>
      <c r="AN56" s="706"/>
      <c r="AO56" s="706"/>
      <c r="AP56" s="706"/>
      <c r="AQ56" s="706"/>
      <c r="AR56" s="706"/>
      <c r="AS56" s="706"/>
      <c r="AT56" s="706"/>
      <c r="AU56" s="706"/>
      <c r="AV56" s="706"/>
      <c r="AW56" s="706"/>
      <c r="AX56" s="706"/>
      <c r="AY56" s="706"/>
      <c r="AZ56" s="706"/>
      <c r="BA56" s="706"/>
      <c r="BB56" s="706"/>
      <c r="BC56" s="706"/>
      <c r="BD56" s="706"/>
      <c r="BE56" s="706"/>
      <c r="BF56" s="706"/>
      <c r="BG56" s="706"/>
    </row>
    <row r="57" spans="1:59" ht="12" customHeight="1" x14ac:dyDescent="0.2">
      <c r="A57" s="457"/>
      <c r="B57" s="455"/>
      <c r="C57" s="455"/>
      <c r="D57" s="455"/>
      <c r="E57" s="455"/>
      <c r="F57" s="455"/>
      <c r="G57" s="455"/>
      <c r="H57" s="455"/>
      <c r="I57" s="455"/>
      <c r="J57" s="455"/>
      <c r="K57" s="455"/>
      <c r="L57" s="455"/>
      <c r="M57" s="455"/>
      <c r="N57" s="455"/>
      <c r="O57" s="455"/>
      <c r="P57" s="455"/>
      <c r="Q57" s="455"/>
      <c r="R57" s="455"/>
      <c r="S57" s="455"/>
      <c r="T57" s="455"/>
      <c r="U57" s="455"/>
      <c r="V57" s="455"/>
      <c r="W57" s="455"/>
      <c r="X57" s="455"/>
      <c r="Y57" s="455"/>
      <c r="Z57" s="455"/>
      <c r="AA57" s="455"/>
      <c r="AB57" s="455"/>
      <c r="AC57" s="455"/>
      <c r="AD57" s="456"/>
      <c r="AE57" s="466"/>
      <c r="AF57" s="466"/>
      <c r="AG57" s="706"/>
      <c r="AH57" s="706"/>
      <c r="AI57" s="706"/>
      <c r="AJ57" s="706"/>
      <c r="AK57" s="706"/>
      <c r="AL57" s="706"/>
      <c r="AM57" s="706"/>
      <c r="AN57" s="706"/>
      <c r="AO57" s="706"/>
      <c r="AP57" s="706"/>
      <c r="AQ57" s="706"/>
      <c r="AR57" s="706"/>
      <c r="AS57" s="706"/>
      <c r="AT57" s="706"/>
      <c r="AU57" s="706"/>
      <c r="AV57" s="706"/>
      <c r="AW57" s="706"/>
      <c r="AX57" s="706"/>
      <c r="AY57" s="706"/>
      <c r="AZ57" s="706"/>
      <c r="BA57" s="706"/>
      <c r="BB57" s="706"/>
      <c r="BC57" s="706"/>
      <c r="BD57" s="706"/>
      <c r="BE57" s="706"/>
      <c r="BF57" s="706"/>
      <c r="BG57" s="706"/>
    </row>
    <row r="58" spans="1:59" x14ac:dyDescent="0.2">
      <c r="A58" s="695" t="s">
        <v>60</v>
      </c>
      <c r="B58" s="695"/>
      <c r="C58" s="695"/>
      <c r="D58" s="695"/>
      <c r="E58" s="695"/>
      <c r="F58" s="695"/>
      <c r="G58" s="695"/>
      <c r="H58" s="695"/>
      <c r="I58" s="695"/>
      <c r="J58" s="695"/>
      <c r="K58" s="695"/>
      <c r="L58" s="695"/>
      <c r="M58" s="695"/>
      <c r="N58" s="695"/>
      <c r="O58" s="695"/>
      <c r="P58" s="695"/>
      <c r="Q58" s="695"/>
      <c r="R58" s="695"/>
      <c r="S58" s="695"/>
      <c r="T58" s="695"/>
      <c r="U58" s="695"/>
      <c r="V58" s="695"/>
      <c r="W58" s="695"/>
      <c r="X58" s="695"/>
      <c r="Y58" s="695"/>
      <c r="Z58" s="695"/>
      <c r="AA58" s="695"/>
      <c r="AB58" s="695"/>
      <c r="AC58" s="695"/>
      <c r="AD58" s="456"/>
      <c r="AE58" s="466"/>
      <c r="AF58" s="466"/>
      <c r="AG58" s="706"/>
      <c r="AH58" s="706"/>
      <c r="AI58" s="706"/>
      <c r="AJ58" s="706"/>
      <c r="AK58" s="706"/>
      <c r="AL58" s="706"/>
      <c r="AM58" s="706"/>
      <c r="AN58" s="706"/>
      <c r="AO58" s="706"/>
      <c r="AP58" s="706"/>
      <c r="AQ58" s="706"/>
      <c r="AR58" s="706"/>
      <c r="AS58" s="706"/>
      <c r="AT58" s="706"/>
      <c r="AU58" s="706"/>
      <c r="AV58" s="706"/>
      <c r="AW58" s="706"/>
      <c r="AX58" s="706"/>
      <c r="AY58" s="706"/>
      <c r="AZ58" s="706"/>
      <c r="BA58" s="706"/>
      <c r="BB58" s="706"/>
      <c r="BC58" s="706"/>
      <c r="BD58" s="706"/>
      <c r="BE58" s="706"/>
      <c r="BF58" s="706"/>
      <c r="BG58" s="706"/>
    </row>
    <row r="59" spans="1:59" x14ac:dyDescent="0.2">
      <c r="AD59" s="456"/>
      <c r="AE59" s="466"/>
      <c r="AF59" s="466"/>
      <c r="AG59" s="706"/>
      <c r="AH59" s="706"/>
      <c r="AI59" s="706"/>
      <c r="AJ59" s="706"/>
      <c r="AK59" s="706"/>
      <c r="AL59" s="706"/>
      <c r="AM59" s="706"/>
      <c r="AN59" s="706"/>
      <c r="AO59" s="706"/>
      <c r="AP59" s="706"/>
      <c r="AQ59" s="706"/>
      <c r="AR59" s="706"/>
      <c r="AS59" s="706"/>
      <c r="AT59" s="706"/>
      <c r="AU59" s="706"/>
      <c r="AV59" s="706"/>
      <c r="AW59" s="706"/>
      <c r="AX59" s="706"/>
      <c r="AY59" s="706"/>
      <c r="AZ59" s="706"/>
      <c r="BA59" s="706"/>
      <c r="BB59" s="706"/>
      <c r="BC59" s="706"/>
      <c r="BD59" s="706"/>
      <c r="BE59" s="706"/>
      <c r="BF59" s="706"/>
      <c r="BG59" s="706"/>
    </row>
    <row r="60" spans="1:59" x14ac:dyDescent="0.2">
      <c r="A60" s="464" t="s">
        <v>59</v>
      </c>
      <c r="B60" s="694" t="str">
        <f>"Bu müqaviləyə əsasən kredit təminatla verilir. Bu müqavilə üzrə kreditin təminatı «Borc alan»ın və ya üçüncü şəxsin  «Borc verən»ə kreditin təminatı olaraq "&amp;LD_NUM&amp;" saylı  girov müqaviləsinə əsasən  yüklü etdiyi əmlakdır. Kreditin təminatı zaminlik və kreditin sığortalanması formasında bağlanan müqavilələr də ola bilər."</f>
        <v>Bu müqaviləyə əsasən kredit təminatla verilir. Bu müqavilə üzrə kreditin təminatı «Borc alan»ın və ya üçüncü şəxsin  «Borc verən»ə kreditin təminatı olaraq LD/15212/00143 saylı  girov müqaviləsinə əsasən  yüklü etdiyi əmlakdır. Kreditin təminatı zaminlik və kreditin sığortalanması formasında bağlanan müqavilələr də ola bilər.</v>
      </c>
      <c r="C60" s="694"/>
      <c r="D60" s="694"/>
      <c r="E60" s="694"/>
      <c r="F60" s="694"/>
      <c r="G60" s="694"/>
      <c r="H60" s="694"/>
      <c r="I60" s="694"/>
      <c r="J60" s="694"/>
      <c r="K60" s="694"/>
      <c r="L60" s="694"/>
      <c r="M60" s="694"/>
      <c r="N60" s="694"/>
      <c r="O60" s="694"/>
      <c r="P60" s="694"/>
      <c r="Q60" s="694"/>
      <c r="R60" s="694"/>
      <c r="S60" s="694"/>
      <c r="T60" s="694"/>
      <c r="U60" s="694"/>
      <c r="V60" s="694"/>
      <c r="W60" s="694"/>
      <c r="X60" s="694"/>
      <c r="Y60" s="694"/>
      <c r="Z60" s="694"/>
      <c r="AA60" s="694"/>
      <c r="AB60" s="694"/>
      <c r="AC60" s="694"/>
      <c r="AD60" s="456"/>
      <c r="AE60" s="466"/>
      <c r="AF60" s="466"/>
      <c r="AG60" s="706"/>
      <c r="AH60" s="706"/>
      <c r="AI60" s="706"/>
      <c r="AJ60" s="706"/>
      <c r="AK60" s="706"/>
      <c r="AL60" s="706"/>
      <c r="AM60" s="706"/>
      <c r="AN60" s="706"/>
      <c r="AO60" s="706"/>
      <c r="AP60" s="706"/>
      <c r="AQ60" s="706"/>
      <c r="AR60" s="706"/>
      <c r="AS60" s="706"/>
      <c r="AT60" s="706"/>
      <c r="AU60" s="706"/>
      <c r="AV60" s="706"/>
      <c r="AW60" s="706"/>
      <c r="AX60" s="706"/>
      <c r="AY60" s="706"/>
      <c r="AZ60" s="706"/>
      <c r="BA60" s="706"/>
      <c r="BB60" s="706"/>
      <c r="BC60" s="706"/>
      <c r="BD60" s="706"/>
      <c r="BE60" s="706"/>
      <c r="BF60" s="706"/>
      <c r="BG60" s="706"/>
    </row>
    <row r="61" spans="1:59" x14ac:dyDescent="0.2">
      <c r="B61" s="694"/>
      <c r="C61" s="694"/>
      <c r="D61" s="694"/>
      <c r="E61" s="694"/>
      <c r="F61" s="694"/>
      <c r="G61" s="694"/>
      <c r="H61" s="694"/>
      <c r="I61" s="694"/>
      <c r="J61" s="694"/>
      <c r="K61" s="694"/>
      <c r="L61" s="694"/>
      <c r="M61" s="694"/>
      <c r="N61" s="694"/>
      <c r="O61" s="694"/>
      <c r="P61" s="694"/>
      <c r="Q61" s="694"/>
      <c r="R61" s="694"/>
      <c r="S61" s="694"/>
      <c r="T61" s="694"/>
      <c r="U61" s="694"/>
      <c r="V61" s="694"/>
      <c r="W61" s="694"/>
      <c r="X61" s="694"/>
      <c r="Y61" s="694"/>
      <c r="Z61" s="694"/>
      <c r="AA61" s="694"/>
      <c r="AB61" s="694"/>
      <c r="AC61" s="694"/>
      <c r="AD61" s="456"/>
      <c r="AE61" s="466"/>
      <c r="AF61" s="466"/>
      <c r="AG61" s="706"/>
      <c r="AH61" s="706"/>
      <c r="AI61" s="706"/>
      <c r="AJ61" s="706"/>
      <c r="AK61" s="706"/>
      <c r="AL61" s="706"/>
      <c r="AM61" s="706"/>
      <c r="AN61" s="706"/>
      <c r="AO61" s="706"/>
      <c r="AP61" s="706"/>
      <c r="AQ61" s="706"/>
      <c r="AR61" s="706"/>
      <c r="AS61" s="706"/>
      <c r="AT61" s="706"/>
      <c r="AU61" s="706"/>
      <c r="AV61" s="706"/>
      <c r="AW61" s="706"/>
      <c r="AX61" s="706"/>
      <c r="AY61" s="706"/>
      <c r="AZ61" s="706"/>
      <c r="BA61" s="706"/>
      <c r="BB61" s="706"/>
      <c r="BC61" s="706"/>
      <c r="BD61" s="706"/>
      <c r="BE61" s="706"/>
      <c r="BF61" s="706"/>
      <c r="BG61" s="706"/>
    </row>
    <row r="62" spans="1:59" x14ac:dyDescent="0.2">
      <c r="B62" s="694"/>
      <c r="C62" s="694"/>
      <c r="D62" s="694"/>
      <c r="E62" s="694"/>
      <c r="F62" s="694"/>
      <c r="G62" s="694"/>
      <c r="H62" s="694"/>
      <c r="I62" s="694"/>
      <c r="J62" s="694"/>
      <c r="K62" s="694"/>
      <c r="L62" s="694"/>
      <c r="M62" s="694"/>
      <c r="N62" s="694"/>
      <c r="O62" s="694"/>
      <c r="P62" s="694"/>
      <c r="Q62" s="694"/>
      <c r="R62" s="694"/>
      <c r="S62" s="694"/>
      <c r="T62" s="694"/>
      <c r="U62" s="694"/>
      <c r="V62" s="694"/>
      <c r="W62" s="694"/>
      <c r="X62" s="694"/>
      <c r="Y62" s="694"/>
      <c r="Z62" s="694"/>
      <c r="AA62" s="694"/>
      <c r="AB62" s="694"/>
      <c r="AC62" s="694"/>
      <c r="AD62" s="456"/>
      <c r="AE62" s="466"/>
      <c r="AF62" s="466"/>
      <c r="AG62" s="706"/>
      <c r="AH62" s="706"/>
      <c r="AI62" s="706"/>
      <c r="AJ62" s="706"/>
      <c r="AK62" s="706"/>
      <c r="AL62" s="706"/>
      <c r="AM62" s="706"/>
      <c r="AN62" s="706"/>
      <c r="AO62" s="706"/>
      <c r="AP62" s="706"/>
      <c r="AQ62" s="706"/>
      <c r="AR62" s="706"/>
      <c r="AS62" s="706"/>
      <c r="AT62" s="706"/>
      <c r="AU62" s="706"/>
      <c r="AV62" s="706"/>
      <c r="AW62" s="706"/>
      <c r="AX62" s="706"/>
      <c r="AY62" s="706"/>
      <c r="AZ62" s="706"/>
      <c r="BA62" s="706"/>
      <c r="BB62" s="706"/>
      <c r="BC62" s="706"/>
      <c r="BD62" s="706"/>
      <c r="BE62" s="706"/>
      <c r="BF62" s="706"/>
      <c r="BG62" s="706"/>
    </row>
    <row r="63" spans="1:59" x14ac:dyDescent="0.2">
      <c r="B63" s="694"/>
      <c r="C63" s="694"/>
      <c r="D63" s="694"/>
      <c r="E63" s="694"/>
      <c r="F63" s="694"/>
      <c r="G63" s="694"/>
      <c r="H63" s="694"/>
      <c r="I63" s="694"/>
      <c r="J63" s="694"/>
      <c r="K63" s="694"/>
      <c r="L63" s="694"/>
      <c r="M63" s="694"/>
      <c r="N63" s="694"/>
      <c r="O63" s="694"/>
      <c r="P63" s="694"/>
      <c r="Q63" s="694"/>
      <c r="R63" s="694"/>
      <c r="S63" s="694"/>
      <c r="T63" s="694"/>
      <c r="U63" s="694"/>
      <c r="V63" s="694"/>
      <c r="W63" s="694"/>
      <c r="X63" s="694"/>
      <c r="Y63" s="694"/>
      <c r="Z63" s="694"/>
      <c r="AA63" s="694"/>
      <c r="AB63" s="694"/>
      <c r="AC63" s="694"/>
      <c r="AD63" s="456"/>
      <c r="AE63" s="467" t="s">
        <v>65</v>
      </c>
      <c r="AF63" s="704" t="s">
        <v>445</v>
      </c>
      <c r="AG63" s="704"/>
      <c r="AH63" s="704"/>
      <c r="AI63" s="704"/>
      <c r="AJ63" s="704"/>
      <c r="AK63" s="704"/>
      <c r="AL63" s="704"/>
      <c r="AM63" s="704"/>
      <c r="AN63" s="704"/>
      <c r="AO63" s="704"/>
      <c r="AP63" s="704"/>
      <c r="AQ63" s="704"/>
      <c r="AR63" s="704"/>
      <c r="AS63" s="704"/>
      <c r="AT63" s="704"/>
      <c r="AU63" s="704"/>
      <c r="AV63" s="704"/>
      <c r="AW63" s="704"/>
      <c r="AX63" s="704"/>
      <c r="AY63" s="704"/>
      <c r="AZ63" s="704"/>
      <c r="BA63" s="704"/>
      <c r="BB63" s="704"/>
      <c r="BC63" s="704"/>
      <c r="BD63" s="704"/>
      <c r="BE63" s="704"/>
      <c r="BF63" s="704"/>
      <c r="BG63" s="704"/>
    </row>
    <row r="64" spans="1:59" ht="11.25" customHeight="1" x14ac:dyDescent="0.2">
      <c r="B64" s="694"/>
      <c r="C64" s="694"/>
      <c r="D64" s="694"/>
      <c r="E64" s="694"/>
      <c r="F64" s="694"/>
      <c r="G64" s="694"/>
      <c r="H64" s="694"/>
      <c r="I64" s="694"/>
      <c r="J64" s="694"/>
      <c r="K64" s="694"/>
      <c r="L64" s="694"/>
      <c r="M64" s="694"/>
      <c r="N64" s="694"/>
      <c r="O64" s="694"/>
      <c r="P64" s="694"/>
      <c r="Q64" s="694"/>
      <c r="R64" s="694"/>
      <c r="S64" s="694"/>
      <c r="T64" s="694"/>
      <c r="U64" s="694"/>
      <c r="V64" s="694"/>
      <c r="W64" s="694"/>
      <c r="X64" s="694"/>
      <c r="Y64" s="694"/>
      <c r="Z64" s="694"/>
      <c r="AA64" s="694"/>
      <c r="AB64" s="694"/>
      <c r="AC64" s="694"/>
      <c r="AD64" s="456"/>
      <c r="AE64" s="701" t="s">
        <v>64</v>
      </c>
      <c r="AF64" s="701"/>
      <c r="AG64" s="694" t="s">
        <v>924</v>
      </c>
      <c r="AH64" s="694"/>
      <c r="AI64" s="694"/>
      <c r="AJ64" s="694"/>
      <c r="AK64" s="694"/>
      <c r="AL64" s="694"/>
      <c r="AM64" s="694"/>
      <c r="AN64" s="694"/>
      <c r="AO64" s="694"/>
      <c r="AP64" s="694"/>
      <c r="AQ64" s="694"/>
      <c r="AR64" s="694"/>
      <c r="AS64" s="694"/>
      <c r="AT64" s="694"/>
      <c r="AU64" s="694"/>
      <c r="AV64" s="694"/>
      <c r="AW64" s="694"/>
      <c r="AX64" s="694"/>
      <c r="AY64" s="694"/>
      <c r="AZ64" s="694"/>
      <c r="BA64" s="694"/>
      <c r="BB64" s="694"/>
      <c r="BC64" s="694"/>
      <c r="BD64" s="694"/>
      <c r="BE64" s="694"/>
      <c r="BF64" s="694"/>
      <c r="BG64" s="694"/>
    </row>
    <row r="65" spans="1:59" x14ac:dyDescent="0.2">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456"/>
      <c r="AE65" s="466"/>
      <c r="AF65" s="466"/>
      <c r="AG65" s="694"/>
      <c r="AH65" s="694"/>
      <c r="AI65" s="694"/>
      <c r="AJ65" s="694"/>
      <c r="AK65" s="694"/>
      <c r="AL65" s="694"/>
      <c r="AM65" s="694"/>
      <c r="AN65" s="694"/>
      <c r="AO65" s="694"/>
      <c r="AP65" s="694"/>
      <c r="AQ65" s="694"/>
      <c r="AR65" s="694"/>
      <c r="AS65" s="694"/>
      <c r="AT65" s="694"/>
      <c r="AU65" s="694"/>
      <c r="AV65" s="694"/>
      <c r="AW65" s="694"/>
      <c r="AX65" s="694"/>
      <c r="AY65" s="694"/>
      <c r="AZ65" s="694"/>
      <c r="BA65" s="694"/>
      <c r="BB65" s="694"/>
      <c r="BC65" s="694"/>
      <c r="BD65" s="694"/>
      <c r="BE65" s="694"/>
      <c r="BF65" s="694"/>
      <c r="BG65" s="694"/>
    </row>
    <row r="66" spans="1:59" x14ac:dyDescent="0.2">
      <c r="A66" s="695" t="s">
        <v>416</v>
      </c>
      <c r="B66" s="695"/>
      <c r="C66" s="695"/>
      <c r="D66" s="695"/>
      <c r="E66" s="695"/>
      <c r="F66" s="695"/>
      <c r="G66" s="695"/>
      <c r="H66" s="695"/>
      <c r="I66" s="695"/>
      <c r="J66" s="695"/>
      <c r="K66" s="695"/>
      <c r="L66" s="695"/>
      <c r="M66" s="695"/>
      <c r="N66" s="695"/>
      <c r="O66" s="695"/>
      <c r="P66" s="695"/>
      <c r="Q66" s="695"/>
      <c r="R66" s="695"/>
      <c r="S66" s="695"/>
      <c r="T66" s="695"/>
      <c r="U66" s="695"/>
      <c r="V66" s="695"/>
      <c r="W66" s="695"/>
      <c r="X66" s="695"/>
      <c r="Y66" s="695"/>
      <c r="Z66" s="695"/>
      <c r="AA66" s="695"/>
      <c r="AB66" s="695"/>
      <c r="AC66" s="695"/>
      <c r="AD66" s="456"/>
      <c r="AE66" s="701" t="s">
        <v>62</v>
      </c>
      <c r="AF66" s="701"/>
      <c r="AG66" s="694" t="s">
        <v>865</v>
      </c>
      <c r="AH66" s="694"/>
      <c r="AI66" s="694"/>
      <c r="AJ66" s="694"/>
      <c r="AK66" s="694"/>
      <c r="AL66" s="694"/>
      <c r="AM66" s="694"/>
      <c r="AN66" s="694"/>
      <c r="AO66" s="694"/>
      <c r="AP66" s="694"/>
      <c r="AQ66" s="694"/>
      <c r="AR66" s="694"/>
      <c r="AS66" s="694"/>
      <c r="AT66" s="694"/>
      <c r="AU66" s="694"/>
      <c r="AV66" s="694"/>
      <c r="AW66" s="694"/>
      <c r="AX66" s="694"/>
      <c r="AY66" s="694"/>
      <c r="AZ66" s="694"/>
      <c r="BA66" s="694"/>
      <c r="BB66" s="694"/>
      <c r="BC66" s="694"/>
      <c r="BD66" s="694"/>
      <c r="BE66" s="694"/>
      <c r="BF66" s="694"/>
      <c r="BG66" s="694"/>
    </row>
    <row r="67" spans="1:59" x14ac:dyDescent="0.2">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456"/>
      <c r="AF67" s="468"/>
      <c r="AG67" s="694"/>
      <c r="AH67" s="694"/>
      <c r="AI67" s="694"/>
      <c r="AJ67" s="694"/>
      <c r="AK67" s="694"/>
      <c r="AL67" s="694"/>
      <c r="AM67" s="694"/>
      <c r="AN67" s="694"/>
      <c r="AO67" s="694"/>
      <c r="AP67" s="694"/>
      <c r="AQ67" s="694"/>
      <c r="AR67" s="694"/>
      <c r="AS67" s="694"/>
      <c r="AT67" s="694"/>
      <c r="AU67" s="694"/>
      <c r="AV67" s="694"/>
      <c r="AW67" s="694"/>
      <c r="AX67" s="694"/>
      <c r="AY67" s="694"/>
      <c r="AZ67" s="694"/>
      <c r="BA67" s="694"/>
      <c r="BB67" s="694"/>
      <c r="BC67" s="694"/>
      <c r="BD67" s="694"/>
      <c r="BE67" s="694"/>
      <c r="BF67" s="694"/>
      <c r="BG67" s="694"/>
    </row>
    <row r="68" spans="1:59" x14ac:dyDescent="0.2">
      <c r="A68" s="464" t="s">
        <v>57</v>
      </c>
      <c r="B68" s="704" t="s">
        <v>56</v>
      </c>
      <c r="C68" s="704"/>
      <c r="D68" s="704"/>
      <c r="E68" s="704"/>
      <c r="F68" s="704"/>
      <c r="G68" s="704"/>
      <c r="H68" s="704"/>
      <c r="I68" s="704"/>
      <c r="J68" s="704"/>
      <c r="K68" s="704"/>
      <c r="L68" s="704"/>
      <c r="M68" s="704"/>
      <c r="N68" s="704"/>
      <c r="O68" s="704"/>
      <c r="P68" s="704"/>
      <c r="Q68" s="704"/>
      <c r="R68" s="704"/>
      <c r="S68" s="704"/>
      <c r="T68" s="704"/>
      <c r="U68" s="704"/>
      <c r="V68" s="704"/>
      <c r="W68" s="704"/>
      <c r="X68" s="704"/>
      <c r="Y68" s="704"/>
      <c r="Z68" s="704"/>
      <c r="AA68" s="704"/>
      <c r="AB68" s="704"/>
      <c r="AC68" s="704"/>
      <c r="AD68" s="456"/>
      <c r="AE68" s="467"/>
      <c r="AF68" s="465"/>
      <c r="AG68" s="694"/>
      <c r="AH68" s="694"/>
      <c r="AI68" s="694"/>
      <c r="AJ68" s="694"/>
      <c r="AK68" s="694"/>
      <c r="AL68" s="694"/>
      <c r="AM68" s="694"/>
      <c r="AN68" s="694"/>
      <c r="AO68" s="694"/>
      <c r="AP68" s="694"/>
      <c r="AQ68" s="694"/>
      <c r="AR68" s="694"/>
      <c r="AS68" s="694"/>
      <c r="AT68" s="694"/>
      <c r="AU68" s="694"/>
      <c r="AV68" s="694"/>
      <c r="AW68" s="694"/>
      <c r="AX68" s="694"/>
      <c r="AY68" s="694"/>
      <c r="AZ68" s="694"/>
      <c r="BA68" s="694"/>
      <c r="BB68" s="694"/>
      <c r="BC68" s="694"/>
      <c r="BD68" s="694"/>
      <c r="BE68" s="694"/>
      <c r="BF68" s="694"/>
      <c r="BG68" s="694"/>
    </row>
    <row r="69" spans="1:59" x14ac:dyDescent="0.2">
      <c r="A69" s="710" t="s">
        <v>54</v>
      </c>
      <c r="B69" s="710"/>
      <c r="C69" s="702" t="s">
        <v>441</v>
      </c>
      <c r="D69" s="702"/>
      <c r="E69" s="702"/>
      <c r="F69" s="702"/>
      <c r="G69" s="702"/>
      <c r="H69" s="702"/>
      <c r="I69" s="702"/>
      <c r="J69" s="702"/>
      <c r="K69" s="702"/>
      <c r="L69" s="702"/>
      <c r="M69" s="702"/>
      <c r="N69" s="702"/>
      <c r="O69" s="702"/>
      <c r="P69" s="702"/>
      <c r="Q69" s="702"/>
      <c r="R69" s="702"/>
      <c r="S69" s="702"/>
      <c r="T69" s="702"/>
      <c r="U69" s="702"/>
      <c r="V69" s="702"/>
      <c r="W69" s="702"/>
      <c r="X69" s="702"/>
      <c r="Y69" s="702"/>
      <c r="Z69" s="702"/>
      <c r="AA69" s="702"/>
      <c r="AB69" s="702"/>
      <c r="AC69" s="702"/>
      <c r="AD69" s="456"/>
      <c r="AE69" s="467"/>
      <c r="AF69" s="465"/>
      <c r="AG69" s="694"/>
      <c r="AH69" s="694"/>
      <c r="AI69" s="694"/>
      <c r="AJ69" s="694"/>
      <c r="AK69" s="694"/>
      <c r="AL69" s="694"/>
      <c r="AM69" s="694"/>
      <c r="AN69" s="694"/>
      <c r="AO69" s="694"/>
      <c r="AP69" s="694"/>
      <c r="AQ69" s="694"/>
      <c r="AR69" s="694"/>
      <c r="AS69" s="694"/>
      <c r="AT69" s="694"/>
      <c r="AU69" s="694"/>
      <c r="AV69" s="694"/>
      <c r="AW69" s="694"/>
      <c r="AX69" s="694"/>
      <c r="AY69" s="694"/>
      <c r="AZ69" s="694"/>
      <c r="BA69" s="694"/>
      <c r="BB69" s="694"/>
      <c r="BC69" s="694"/>
      <c r="BD69" s="694"/>
      <c r="BE69" s="694"/>
      <c r="BF69" s="694"/>
      <c r="BG69" s="694"/>
    </row>
    <row r="70" spans="1:59" x14ac:dyDescent="0.2">
      <c r="A70" s="710" t="s">
        <v>53</v>
      </c>
      <c r="B70" s="710"/>
      <c r="C70" s="694" t="s">
        <v>858</v>
      </c>
      <c r="D70" s="694"/>
      <c r="E70" s="694"/>
      <c r="F70" s="694"/>
      <c r="G70" s="694"/>
      <c r="H70" s="694"/>
      <c r="I70" s="694"/>
      <c r="J70" s="694"/>
      <c r="K70" s="694"/>
      <c r="L70" s="694"/>
      <c r="M70" s="694"/>
      <c r="N70" s="694"/>
      <c r="O70" s="694"/>
      <c r="P70" s="694"/>
      <c r="Q70" s="694"/>
      <c r="R70" s="694"/>
      <c r="S70" s="694"/>
      <c r="T70" s="694"/>
      <c r="U70" s="694"/>
      <c r="V70" s="694"/>
      <c r="W70" s="694"/>
      <c r="X70" s="694"/>
      <c r="Y70" s="694"/>
      <c r="Z70" s="694"/>
      <c r="AA70" s="694"/>
      <c r="AB70" s="694"/>
      <c r="AC70" s="694"/>
      <c r="AD70" s="456"/>
      <c r="AE70" s="467"/>
      <c r="AF70" s="465"/>
      <c r="AG70" s="694"/>
      <c r="AH70" s="694"/>
      <c r="AI70" s="694"/>
      <c r="AJ70" s="694"/>
      <c r="AK70" s="694"/>
      <c r="AL70" s="694"/>
      <c r="AM70" s="694"/>
      <c r="AN70" s="694"/>
      <c r="AO70" s="694"/>
      <c r="AP70" s="694"/>
      <c r="AQ70" s="694"/>
      <c r="AR70" s="694"/>
      <c r="AS70" s="694"/>
      <c r="AT70" s="694"/>
      <c r="AU70" s="694"/>
      <c r="AV70" s="694"/>
      <c r="AW70" s="694"/>
      <c r="AX70" s="694"/>
      <c r="AY70" s="694"/>
      <c r="AZ70" s="694"/>
      <c r="BA70" s="694"/>
      <c r="BB70" s="694"/>
      <c r="BC70" s="694"/>
      <c r="BD70" s="694"/>
      <c r="BE70" s="694"/>
      <c r="BF70" s="694"/>
      <c r="BG70" s="694"/>
    </row>
    <row r="71" spans="1:59" x14ac:dyDescent="0.2">
      <c r="A71" s="464"/>
      <c r="B71" s="464"/>
      <c r="C71" s="694"/>
      <c r="D71" s="694"/>
      <c r="E71" s="694"/>
      <c r="F71" s="694"/>
      <c r="G71" s="694"/>
      <c r="H71" s="694"/>
      <c r="I71" s="694"/>
      <c r="J71" s="694"/>
      <c r="K71" s="694"/>
      <c r="L71" s="694"/>
      <c r="M71" s="694"/>
      <c r="N71" s="694"/>
      <c r="O71" s="694"/>
      <c r="P71" s="694"/>
      <c r="Q71" s="694"/>
      <c r="R71" s="694"/>
      <c r="S71" s="694"/>
      <c r="T71" s="694"/>
      <c r="U71" s="694"/>
      <c r="V71" s="694"/>
      <c r="W71" s="694"/>
      <c r="X71" s="694"/>
      <c r="Y71" s="694"/>
      <c r="Z71" s="694"/>
      <c r="AA71" s="694"/>
      <c r="AB71" s="694"/>
      <c r="AC71" s="694"/>
      <c r="AD71" s="456"/>
      <c r="AE71" s="467"/>
      <c r="AF71" s="465"/>
      <c r="AG71" s="694"/>
      <c r="AH71" s="694"/>
      <c r="AI71" s="694"/>
      <c r="AJ71" s="694"/>
      <c r="AK71" s="694"/>
      <c r="AL71" s="694"/>
      <c r="AM71" s="694"/>
      <c r="AN71" s="694"/>
      <c r="AO71" s="694"/>
      <c r="AP71" s="694"/>
      <c r="AQ71" s="694"/>
      <c r="AR71" s="694"/>
      <c r="AS71" s="694"/>
      <c r="AT71" s="694"/>
      <c r="AU71" s="694"/>
      <c r="AV71" s="694"/>
      <c r="AW71" s="694"/>
      <c r="AX71" s="694"/>
      <c r="AY71" s="694"/>
      <c r="AZ71" s="694"/>
      <c r="BA71" s="694"/>
      <c r="BB71" s="694"/>
      <c r="BC71" s="694"/>
      <c r="BD71" s="694"/>
      <c r="BE71" s="694"/>
      <c r="BF71" s="694"/>
      <c r="BG71" s="694"/>
    </row>
    <row r="72" spans="1:59" ht="11.25" customHeight="1" x14ac:dyDescent="0.2">
      <c r="C72" s="694"/>
      <c r="D72" s="694"/>
      <c r="E72" s="694"/>
      <c r="F72" s="694"/>
      <c r="G72" s="694"/>
      <c r="H72" s="694"/>
      <c r="I72" s="694"/>
      <c r="J72" s="694"/>
      <c r="K72" s="694"/>
      <c r="L72" s="694"/>
      <c r="M72" s="694"/>
      <c r="N72" s="694"/>
      <c r="O72" s="694"/>
      <c r="P72" s="694"/>
      <c r="Q72" s="694"/>
      <c r="R72" s="694"/>
      <c r="S72" s="694"/>
      <c r="T72" s="694"/>
      <c r="U72" s="694"/>
      <c r="V72" s="694"/>
      <c r="W72" s="694"/>
      <c r="X72" s="694"/>
      <c r="Y72" s="694"/>
      <c r="Z72" s="694"/>
      <c r="AA72" s="694"/>
      <c r="AB72" s="694"/>
      <c r="AC72" s="694"/>
      <c r="AD72" s="456"/>
      <c r="AE72" s="701" t="s">
        <v>61</v>
      </c>
      <c r="AF72" s="701"/>
      <c r="AG72" s="694" t="str">
        <f>"«Borc alan» təminat verir ki, əvvəllər heç vaxt krediti qaytarmama və ya kreditdən təyinatı üzrə istifadə etməmə hallarına yol  verməmişdir. «Borc alan» həmçinin təminat verir ki, "&amp;"krediti almaq üçün etdiyi müraciətdə göstərdiyi bütün məlumatlar, onun əmlak vəziyyəti barədə verdiyi məlumatlar da daxil olmaqla,  həqiqətə uyğundur, həmçinin hal hazırda «Borc alan»a qarşı heç bir məhkəmə"</f>
        <v>«Borc alan» təminat verir ki, əvvəllər heç vaxt krediti qaytarmama və ya kreditdən təyinatı üzrə istifadə etməmə hallarına yol  verməmişdir. «Borc alan» həmçinin təminat verir ki, krediti almaq üçün etdiyi müraciətdə göstərdiyi bütün məlumatlar, onun əmlak vəziyyəti barədə verdiyi məlumatlar da daxil olmaqla,  həqiqətə uyğundur, həmçinin hal hazırda «Borc alan»a qarşı heç bir məhkəmə</v>
      </c>
      <c r="AH72" s="694"/>
      <c r="AI72" s="694"/>
      <c r="AJ72" s="694"/>
      <c r="AK72" s="694"/>
      <c r="AL72" s="694"/>
      <c r="AM72" s="694"/>
      <c r="AN72" s="694"/>
      <c r="AO72" s="694"/>
      <c r="AP72" s="694"/>
      <c r="AQ72" s="694"/>
      <c r="AR72" s="694"/>
      <c r="AS72" s="694"/>
      <c r="AT72" s="694"/>
      <c r="AU72" s="694"/>
      <c r="AV72" s="694"/>
      <c r="AW72" s="694"/>
      <c r="AX72" s="694"/>
      <c r="AY72" s="694"/>
      <c r="AZ72" s="694"/>
      <c r="BA72" s="694"/>
      <c r="BB72" s="694"/>
      <c r="BC72" s="694"/>
      <c r="BD72" s="694"/>
      <c r="BE72" s="694"/>
      <c r="BF72" s="694"/>
      <c r="BG72" s="694"/>
    </row>
    <row r="73" spans="1:59" ht="12" customHeight="1" x14ac:dyDescent="0.2">
      <c r="A73" s="710" t="s">
        <v>52</v>
      </c>
      <c r="B73" s="710"/>
      <c r="C73" s="694" t="s">
        <v>442</v>
      </c>
      <c r="D73" s="694"/>
      <c r="E73" s="694"/>
      <c r="F73" s="694"/>
      <c r="G73" s="694"/>
      <c r="H73" s="694"/>
      <c r="I73" s="694"/>
      <c r="J73" s="694"/>
      <c r="K73" s="694"/>
      <c r="L73" s="694"/>
      <c r="M73" s="694"/>
      <c r="N73" s="694"/>
      <c r="O73" s="694"/>
      <c r="P73" s="694"/>
      <c r="Q73" s="694"/>
      <c r="R73" s="694"/>
      <c r="S73" s="694"/>
      <c r="T73" s="694"/>
      <c r="U73" s="694"/>
      <c r="V73" s="694"/>
      <c r="W73" s="694"/>
      <c r="X73" s="694"/>
      <c r="Y73" s="694"/>
      <c r="Z73" s="694"/>
      <c r="AA73" s="694"/>
      <c r="AB73" s="694"/>
      <c r="AC73" s="694"/>
      <c r="AD73" s="456"/>
      <c r="AE73" s="466"/>
      <c r="AF73" s="466"/>
      <c r="AG73" s="694"/>
      <c r="AH73" s="694"/>
      <c r="AI73" s="694"/>
      <c r="AJ73" s="694"/>
      <c r="AK73" s="694"/>
      <c r="AL73" s="694"/>
      <c r="AM73" s="694"/>
      <c r="AN73" s="694"/>
      <c r="AO73" s="694"/>
      <c r="AP73" s="694"/>
      <c r="AQ73" s="694"/>
      <c r="AR73" s="694"/>
      <c r="AS73" s="694"/>
      <c r="AT73" s="694"/>
      <c r="AU73" s="694"/>
      <c r="AV73" s="694"/>
      <c r="AW73" s="694"/>
      <c r="AX73" s="694"/>
      <c r="AY73" s="694"/>
      <c r="AZ73" s="694"/>
      <c r="BA73" s="694"/>
      <c r="BB73" s="694"/>
      <c r="BC73" s="694"/>
      <c r="BD73" s="694"/>
      <c r="BE73" s="694"/>
      <c r="BF73" s="694"/>
      <c r="BG73" s="694"/>
    </row>
    <row r="74" spans="1:59" x14ac:dyDescent="0.2">
      <c r="C74" s="694"/>
      <c r="D74" s="694"/>
      <c r="E74" s="694"/>
      <c r="F74" s="694"/>
      <c r="G74" s="694"/>
      <c r="H74" s="694"/>
      <c r="I74" s="694"/>
      <c r="J74" s="694"/>
      <c r="K74" s="694"/>
      <c r="L74" s="694"/>
      <c r="M74" s="694"/>
      <c r="N74" s="694"/>
      <c r="O74" s="694"/>
      <c r="P74" s="694"/>
      <c r="Q74" s="694"/>
      <c r="R74" s="694"/>
      <c r="S74" s="694"/>
      <c r="T74" s="694"/>
      <c r="U74" s="694"/>
      <c r="V74" s="694"/>
      <c r="W74" s="694"/>
      <c r="X74" s="694"/>
      <c r="Y74" s="694"/>
      <c r="Z74" s="694"/>
      <c r="AA74" s="694"/>
      <c r="AB74" s="694"/>
      <c r="AC74" s="694"/>
      <c r="AD74" s="456"/>
      <c r="AE74" s="466"/>
      <c r="AF74" s="466"/>
      <c r="AG74" s="694"/>
      <c r="AH74" s="694"/>
      <c r="AI74" s="694"/>
      <c r="AJ74" s="694"/>
      <c r="AK74" s="694"/>
      <c r="AL74" s="694"/>
      <c r="AM74" s="694"/>
      <c r="AN74" s="694"/>
      <c r="AO74" s="694"/>
      <c r="AP74" s="694"/>
      <c r="AQ74" s="694"/>
      <c r="AR74" s="694"/>
      <c r="AS74" s="694"/>
      <c r="AT74" s="694"/>
      <c r="AU74" s="694"/>
      <c r="AV74" s="694"/>
      <c r="AW74" s="694"/>
      <c r="AX74" s="694"/>
      <c r="AY74" s="694"/>
      <c r="AZ74" s="694"/>
      <c r="BA74" s="694"/>
      <c r="BB74" s="694"/>
      <c r="BC74" s="694"/>
      <c r="BD74" s="694"/>
      <c r="BE74" s="694"/>
      <c r="BF74" s="694"/>
      <c r="BG74" s="694"/>
    </row>
    <row r="75" spans="1:59" ht="11.25" customHeight="1" x14ac:dyDescent="0.2">
      <c r="A75" s="710" t="s">
        <v>51</v>
      </c>
      <c r="B75" s="710"/>
      <c r="C75" s="694" t="str">
        <f>"«Borc verən» «Borc alan»ın bu müqavilə üzrə öhdəliyini vaxtında və lazımi qaydada icra edilməməsi ilə nəticələnə bilən "&amp;"aşağıdakı hallarda bu müqaviləyə birtərəfli qaydada vaxtından əvvəl xitam verə və bu "</f>
        <v xml:space="preserve">«Borc verən» «Borc alan»ın bu müqavilə üzrə öhdəliyini vaxtında və lazımi qaydada icra edilməməsi ilə nəticələnə bilən aşağıdakı hallarda bu müqaviləyə birtərəfli qaydada vaxtından əvvəl xitam verə və bu </v>
      </c>
      <c r="D75" s="694"/>
      <c r="E75" s="694"/>
      <c r="F75" s="694"/>
      <c r="G75" s="694"/>
      <c r="H75" s="694"/>
      <c r="I75" s="694"/>
      <c r="J75" s="694"/>
      <c r="K75" s="694"/>
      <c r="L75" s="694"/>
      <c r="M75" s="694"/>
      <c r="N75" s="694"/>
      <c r="O75" s="694"/>
      <c r="P75" s="694"/>
      <c r="Q75" s="694"/>
      <c r="R75" s="694"/>
      <c r="S75" s="694"/>
      <c r="T75" s="694"/>
      <c r="U75" s="694"/>
      <c r="V75" s="694"/>
      <c r="W75" s="694"/>
      <c r="X75" s="694"/>
      <c r="Y75" s="694"/>
      <c r="Z75" s="694"/>
      <c r="AA75" s="694"/>
      <c r="AB75" s="694"/>
      <c r="AC75" s="694"/>
      <c r="AD75" s="456"/>
      <c r="AE75" s="466"/>
      <c r="AF75" s="466"/>
      <c r="AG75" s="694"/>
      <c r="AH75" s="694"/>
      <c r="AI75" s="694"/>
      <c r="AJ75" s="694"/>
      <c r="AK75" s="694"/>
      <c r="AL75" s="694"/>
      <c r="AM75" s="694"/>
      <c r="AN75" s="694"/>
      <c r="AO75" s="694"/>
      <c r="AP75" s="694"/>
      <c r="AQ75" s="694"/>
      <c r="AR75" s="694"/>
      <c r="AS75" s="694"/>
      <c r="AT75" s="694"/>
      <c r="AU75" s="694"/>
      <c r="AV75" s="694"/>
      <c r="AW75" s="694"/>
      <c r="AX75" s="694"/>
      <c r="AY75" s="694"/>
      <c r="AZ75" s="694"/>
      <c r="BA75" s="694"/>
      <c r="BB75" s="694"/>
      <c r="BC75" s="694"/>
      <c r="BD75" s="694"/>
      <c r="BE75" s="694"/>
      <c r="BF75" s="694"/>
      <c r="BG75" s="694"/>
    </row>
    <row r="76" spans="1:59" x14ac:dyDescent="0.2">
      <c r="C76" s="694"/>
      <c r="D76" s="694"/>
      <c r="E76" s="694"/>
      <c r="F76" s="694"/>
      <c r="G76" s="694"/>
      <c r="H76" s="694"/>
      <c r="I76" s="694"/>
      <c r="J76" s="694"/>
      <c r="K76" s="694"/>
      <c r="L76" s="694"/>
      <c r="M76" s="694"/>
      <c r="N76" s="694"/>
      <c r="O76" s="694"/>
      <c r="P76" s="694"/>
      <c r="Q76" s="694"/>
      <c r="R76" s="694"/>
      <c r="S76" s="694"/>
      <c r="T76" s="694"/>
      <c r="U76" s="694"/>
      <c r="V76" s="694"/>
      <c r="W76" s="694"/>
      <c r="X76" s="694"/>
      <c r="Y76" s="694"/>
      <c r="Z76" s="694"/>
      <c r="AA76" s="694"/>
      <c r="AB76" s="694"/>
      <c r="AC76" s="694"/>
      <c r="AD76" s="456"/>
      <c r="AE76" s="466"/>
      <c r="AF76" s="466"/>
      <c r="AG76" s="694"/>
      <c r="AH76" s="694"/>
      <c r="AI76" s="694"/>
      <c r="AJ76" s="694"/>
      <c r="AK76" s="694"/>
      <c r="AL76" s="694"/>
      <c r="AM76" s="694"/>
      <c r="AN76" s="694"/>
      <c r="AO76" s="694"/>
      <c r="AP76" s="694"/>
      <c r="AQ76" s="694"/>
      <c r="AR76" s="694"/>
      <c r="AS76" s="694"/>
      <c r="AT76" s="694"/>
      <c r="AU76" s="694"/>
      <c r="AV76" s="694"/>
      <c r="AW76" s="694"/>
      <c r="AX76" s="694"/>
      <c r="AY76" s="694"/>
      <c r="AZ76" s="694"/>
      <c r="BA76" s="694"/>
      <c r="BB76" s="694"/>
      <c r="BC76" s="694"/>
      <c r="BD76" s="694"/>
      <c r="BE76" s="694"/>
      <c r="BF76" s="694"/>
      <c r="BG76" s="694"/>
    </row>
    <row r="77" spans="1:59" x14ac:dyDescent="0.2">
      <c r="C77" s="694"/>
      <c r="D77" s="694"/>
      <c r="E77" s="694"/>
      <c r="F77" s="694"/>
      <c r="G77" s="694"/>
      <c r="H77" s="694"/>
      <c r="I77" s="694"/>
      <c r="J77" s="694"/>
      <c r="K77" s="694"/>
      <c r="L77" s="694"/>
      <c r="M77" s="694"/>
      <c r="N77" s="694"/>
      <c r="O77" s="694"/>
      <c r="P77" s="694"/>
      <c r="Q77" s="694"/>
      <c r="R77" s="694"/>
      <c r="S77" s="694"/>
      <c r="T77" s="694"/>
      <c r="U77" s="694"/>
      <c r="V77" s="694"/>
      <c r="W77" s="694"/>
      <c r="X77" s="694"/>
      <c r="Y77" s="694"/>
      <c r="Z77" s="694"/>
      <c r="AA77" s="694"/>
      <c r="AB77" s="694"/>
      <c r="AC77" s="694"/>
      <c r="AD77" s="456"/>
      <c r="AE77" s="466"/>
      <c r="AF77" s="466"/>
      <c r="AG77" s="694"/>
      <c r="AH77" s="694"/>
      <c r="AI77" s="694"/>
      <c r="AJ77" s="694"/>
      <c r="AK77" s="694"/>
      <c r="AL77" s="694"/>
      <c r="AM77" s="694"/>
      <c r="AN77" s="694"/>
      <c r="AO77" s="694"/>
      <c r="AP77" s="694"/>
      <c r="AQ77" s="694"/>
      <c r="AR77" s="694"/>
      <c r="AS77" s="694"/>
      <c r="AT77" s="694"/>
      <c r="AU77" s="694"/>
      <c r="AV77" s="694"/>
      <c r="AW77" s="694"/>
      <c r="AX77" s="694"/>
      <c r="AY77" s="694"/>
      <c r="AZ77" s="694"/>
      <c r="BA77" s="694"/>
      <c r="BB77" s="694"/>
      <c r="BC77" s="694"/>
      <c r="BD77" s="694"/>
      <c r="BE77" s="694"/>
      <c r="BF77" s="694"/>
      <c r="BG77" s="694"/>
    </row>
    <row r="78" spans="1:59" x14ac:dyDescent="0.2">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456"/>
      <c r="AE78" s="466"/>
      <c r="AF78" s="466"/>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row>
    <row r="79" spans="1:59" x14ac:dyDescent="0.2">
      <c r="A79" s="725" t="s">
        <v>860</v>
      </c>
      <c r="B79" s="725"/>
      <c r="C79" s="725"/>
      <c r="D79" s="725"/>
      <c r="E79" s="725"/>
      <c r="F79" s="725"/>
      <c r="G79" s="725"/>
      <c r="H79" s="725"/>
      <c r="I79" s="725"/>
      <c r="J79" s="725"/>
      <c r="K79" s="725"/>
      <c r="L79" s="725"/>
      <c r="M79" s="725"/>
      <c r="N79" s="725"/>
      <c r="O79" s="725"/>
      <c r="P79" s="725"/>
      <c r="Q79" s="725"/>
      <c r="R79" s="725"/>
      <c r="S79" s="725"/>
      <c r="T79" s="725"/>
      <c r="U79" s="725"/>
      <c r="V79" s="725"/>
      <c r="W79" s="725"/>
      <c r="X79" s="725"/>
      <c r="Y79" s="725"/>
      <c r="Z79" s="725"/>
      <c r="AA79" s="725"/>
      <c r="AB79" s="725"/>
      <c r="AC79" s="725"/>
      <c r="AD79" s="459"/>
      <c r="AE79" s="725" t="s">
        <v>443</v>
      </c>
      <c r="AF79" s="725"/>
      <c r="AG79" s="725"/>
      <c r="AH79" s="725"/>
      <c r="AI79" s="725"/>
      <c r="AJ79" s="725"/>
      <c r="AK79" s="725"/>
      <c r="AL79" s="725"/>
      <c r="AM79" s="725"/>
      <c r="AN79" s="725"/>
      <c r="AO79" s="725"/>
      <c r="AP79" s="725"/>
      <c r="AQ79" s="725"/>
      <c r="AR79" s="725"/>
      <c r="AS79" s="725"/>
      <c r="AT79" s="725"/>
      <c r="AU79" s="725"/>
      <c r="AV79" s="725"/>
      <c r="AW79" s="725"/>
      <c r="AX79" s="725"/>
      <c r="AY79" s="725"/>
      <c r="AZ79" s="725"/>
      <c r="BA79" s="725"/>
      <c r="BB79" s="725"/>
      <c r="BC79" s="725"/>
      <c r="BD79" s="725"/>
      <c r="BE79" s="725"/>
      <c r="BF79" s="725"/>
      <c r="BG79" s="725"/>
    </row>
    <row r="80" spans="1:59" s="493" customFormat="1" x14ac:dyDescent="0.2">
      <c r="A80" s="497"/>
      <c r="B80" s="497"/>
      <c r="C80" s="694" t="str">
        <f>"və ya digər iddia, habelə «Borca"&amp;"lan»ın əmlak vəziyyətini pisləşdirə  biləcək üçüncü şəxslərlə hər hansı mübahisəsi yoxdur;"</f>
        <v>və ya digər iddia, habelə «Borcalan»ın əmlak vəziyyətini pisləşdirə  biləcək üçüncü şəxslərlə hər hansı mübahisəsi yoxdur;</v>
      </c>
      <c r="D80" s="694"/>
      <c r="E80" s="694"/>
      <c r="F80" s="694"/>
      <c r="G80" s="694"/>
      <c r="H80" s="694"/>
      <c r="I80" s="694"/>
      <c r="J80" s="694"/>
      <c r="K80" s="694"/>
      <c r="L80" s="694"/>
      <c r="M80" s="694"/>
      <c r="N80" s="694"/>
      <c r="O80" s="694"/>
      <c r="P80" s="694"/>
      <c r="Q80" s="694"/>
      <c r="R80" s="694"/>
      <c r="S80" s="694"/>
      <c r="T80" s="694"/>
      <c r="U80" s="694"/>
      <c r="V80" s="694"/>
      <c r="W80" s="694"/>
      <c r="X80" s="694"/>
      <c r="Y80" s="694"/>
      <c r="Z80" s="694"/>
      <c r="AA80" s="694"/>
      <c r="AB80" s="694"/>
      <c r="AC80" s="694"/>
      <c r="AD80" s="496"/>
      <c r="AE80" s="695" t="s">
        <v>646</v>
      </c>
      <c r="AF80" s="695"/>
      <c r="AG80" s="695"/>
      <c r="AH80" s="695"/>
      <c r="AI80" s="695"/>
      <c r="AJ80" s="695"/>
      <c r="AK80" s="695"/>
      <c r="AL80" s="695"/>
      <c r="AM80" s="695"/>
      <c r="AN80" s="695"/>
      <c r="AO80" s="695"/>
      <c r="AP80" s="695"/>
      <c r="AQ80" s="695"/>
      <c r="AR80" s="695"/>
      <c r="AS80" s="695"/>
      <c r="AT80" s="695"/>
      <c r="AU80" s="695"/>
      <c r="AV80" s="695"/>
      <c r="AW80" s="695"/>
      <c r="AX80" s="695"/>
      <c r="AY80" s="695"/>
      <c r="AZ80" s="695"/>
      <c r="BA80" s="695"/>
      <c r="BB80" s="695"/>
      <c r="BC80" s="695"/>
      <c r="BD80" s="695"/>
      <c r="BE80" s="695"/>
      <c r="BF80" s="695"/>
      <c r="BG80" s="455"/>
    </row>
    <row r="81" spans="1:59" s="493" customFormat="1" x14ac:dyDescent="0.2">
      <c r="A81" s="497"/>
      <c r="B81" s="497"/>
      <c r="C81" s="694"/>
      <c r="D81" s="694"/>
      <c r="E81" s="694"/>
      <c r="F81" s="694"/>
      <c r="G81" s="694"/>
      <c r="H81" s="694"/>
      <c r="I81" s="694"/>
      <c r="J81" s="694"/>
      <c r="K81" s="694"/>
      <c r="L81" s="694"/>
      <c r="M81" s="694"/>
      <c r="N81" s="694"/>
      <c r="O81" s="694"/>
      <c r="P81" s="694"/>
      <c r="Q81" s="694"/>
      <c r="R81" s="694"/>
      <c r="S81" s="694"/>
      <c r="T81" s="694"/>
      <c r="U81" s="694"/>
      <c r="V81" s="694"/>
      <c r="W81" s="694"/>
      <c r="X81" s="694"/>
      <c r="Y81" s="694"/>
      <c r="Z81" s="694"/>
      <c r="AA81" s="694"/>
      <c r="AB81" s="694"/>
      <c r="AC81" s="694"/>
      <c r="AD81" s="496"/>
      <c r="AE81" s="456"/>
      <c r="AF81" s="456"/>
      <c r="AG81" s="456"/>
      <c r="AH81" s="456"/>
      <c r="AI81" s="456"/>
      <c r="AJ81" s="456"/>
      <c r="AK81" s="456"/>
      <c r="AL81" s="456"/>
      <c r="AM81" s="456"/>
      <c r="AN81" s="456"/>
      <c r="AO81" s="456"/>
      <c r="AP81" s="456"/>
      <c r="AQ81" s="456"/>
      <c r="AR81" s="456"/>
      <c r="AS81" s="456"/>
      <c r="AT81" s="456"/>
      <c r="AU81" s="456"/>
      <c r="AV81" s="456"/>
      <c r="AW81" s="456"/>
      <c r="AX81" s="456"/>
      <c r="AY81" s="456"/>
      <c r="AZ81" s="456"/>
      <c r="BA81" s="456"/>
      <c r="BB81" s="456"/>
      <c r="BC81" s="456"/>
      <c r="BD81" s="456"/>
      <c r="BE81" s="456"/>
      <c r="BF81" s="456"/>
      <c r="BG81" s="455"/>
    </row>
    <row r="82" spans="1:59" s="493" customFormat="1" ht="11.25" customHeight="1" x14ac:dyDescent="0.2">
      <c r="A82" s="712" t="s">
        <v>58</v>
      </c>
      <c r="B82" s="712"/>
      <c r="C82" s="694" t="str">
        <f>"«Borc alan» təminat verir ki, əldə etdiyi kredit və onun bəhəri qanunsuz məqsədlər üçün istifadə edilməyəcək, öz fəaliyyətində ekologiya, ətraf mühitin mühafizəsi və əməyin mühafizəsi qaydalarına riayət edəcək, çirkli pulların yuyulması, cinayətkarlıq"&amp;" və terrorçuluğun maliyyələşdirilməsi hallarına yol verməyəcəkdir;"</f>
        <v>«Borc alan» təminat verir ki, əldə etdiyi kredit və onun bəhəri qanunsuz məqsədlər üçün istifadə edilməyəcək, öz fəaliyyətində ekologiya, ətraf mühitin mühafizəsi və əməyin mühafizəsi qaydalarına riayət edəcək, çirkli pulların yuyulması, cinayətkarlıq və terrorçuluğun maliyyələşdirilməsi hallarına yol verməyəcəkdir;</v>
      </c>
      <c r="D82" s="694"/>
      <c r="E82" s="694"/>
      <c r="F82" s="694"/>
      <c r="G82" s="694"/>
      <c r="H82" s="694"/>
      <c r="I82" s="694"/>
      <c r="J82" s="694"/>
      <c r="K82" s="694"/>
      <c r="L82" s="694"/>
      <c r="M82" s="694"/>
      <c r="N82" s="694"/>
      <c r="O82" s="694"/>
      <c r="P82" s="694"/>
      <c r="Q82" s="694"/>
      <c r="R82" s="694"/>
      <c r="S82" s="694"/>
      <c r="T82" s="694"/>
      <c r="U82" s="694"/>
      <c r="V82" s="694"/>
      <c r="W82" s="694"/>
      <c r="X82" s="694"/>
      <c r="Y82" s="694"/>
      <c r="Z82" s="694"/>
      <c r="AA82" s="694"/>
      <c r="AB82" s="694"/>
      <c r="AC82" s="694"/>
      <c r="AD82" s="496"/>
      <c r="AE82" s="460" t="s">
        <v>647</v>
      </c>
      <c r="AF82" s="694" t="str">
        <f>"Bu müqavilə rəsmiləşdirilən zaman tərəflərin bir-birinə təqdim etdiyi məlumatlar «Kommersiya sirri haqqında» Azərbaycan Respublikasının Qanunu ilə müəyyən edilmiş kommersiya sirrini təşkil edən məlumatlar kateqoriyasına aid edilir  və mövcud "&amp;"qanunvericiliklə müəyyən edilmiş qaydada açıqlanması halları istisna olmaqla üçüncü şəxslərə  ötürülməsi qadağandır."</f>
        <v>Bu müqavilə rəsmiləşdirilən zaman tərəflərin bir-birinə təqdim etdiyi məlumatlar «Kommersiya sirri haqqında» Azərbaycan Respublikasının Qanunu ilə müəyyən edilmiş kommersiya sirrini təşkil edən məlumatlar kateqoriyasına aid edilir  və mövcud qanunvericiliklə müəyyən edilmiş qaydada açıqlanması halları istisna olmaqla üçüncü şəxslərə  ötürülməsi qadağandır.</v>
      </c>
      <c r="AG82" s="694"/>
      <c r="AH82" s="694"/>
      <c r="AI82" s="694"/>
      <c r="AJ82" s="694"/>
      <c r="AK82" s="694"/>
      <c r="AL82" s="694"/>
      <c r="AM82" s="694"/>
      <c r="AN82" s="694"/>
      <c r="AO82" s="694"/>
      <c r="AP82" s="694"/>
      <c r="AQ82" s="694"/>
      <c r="AR82" s="694"/>
      <c r="AS82" s="694"/>
      <c r="AT82" s="694"/>
      <c r="AU82" s="694"/>
      <c r="AV82" s="694"/>
      <c r="AW82" s="694"/>
      <c r="AX82" s="694"/>
      <c r="AY82" s="694"/>
      <c r="AZ82" s="694"/>
      <c r="BA82" s="694"/>
      <c r="BB82" s="694"/>
      <c r="BC82" s="694"/>
      <c r="BD82" s="694"/>
      <c r="BE82" s="694"/>
      <c r="BF82" s="694"/>
      <c r="BG82" s="694"/>
    </row>
    <row r="83" spans="1:59" s="493" customFormat="1" x14ac:dyDescent="0.2">
      <c r="A83" s="460"/>
      <c r="B83" s="460"/>
      <c r="C83" s="694"/>
      <c r="D83" s="694"/>
      <c r="E83" s="694"/>
      <c r="F83" s="694"/>
      <c r="G83" s="694"/>
      <c r="H83" s="694"/>
      <c r="I83" s="694"/>
      <c r="J83" s="694"/>
      <c r="K83" s="694"/>
      <c r="L83" s="694"/>
      <c r="M83" s="694"/>
      <c r="N83" s="694"/>
      <c r="O83" s="694"/>
      <c r="P83" s="694"/>
      <c r="Q83" s="694"/>
      <c r="R83" s="694"/>
      <c r="S83" s="694"/>
      <c r="T83" s="694"/>
      <c r="U83" s="694"/>
      <c r="V83" s="694"/>
      <c r="W83" s="694"/>
      <c r="X83" s="694"/>
      <c r="Y83" s="694"/>
      <c r="Z83" s="694"/>
      <c r="AA83" s="694"/>
      <c r="AB83" s="694"/>
      <c r="AC83" s="694"/>
      <c r="AD83" s="496"/>
      <c r="AE83" s="468"/>
      <c r="AF83" s="694"/>
      <c r="AG83" s="694"/>
      <c r="AH83" s="694"/>
      <c r="AI83" s="694"/>
      <c r="AJ83" s="694"/>
      <c r="AK83" s="694"/>
      <c r="AL83" s="694"/>
      <c r="AM83" s="694"/>
      <c r="AN83" s="694"/>
      <c r="AO83" s="694"/>
      <c r="AP83" s="694"/>
      <c r="AQ83" s="694"/>
      <c r="AR83" s="694"/>
      <c r="AS83" s="694"/>
      <c r="AT83" s="694"/>
      <c r="AU83" s="694"/>
      <c r="AV83" s="694"/>
      <c r="AW83" s="694"/>
      <c r="AX83" s="694"/>
      <c r="AY83" s="694"/>
      <c r="AZ83" s="694"/>
      <c r="BA83" s="694"/>
      <c r="BB83" s="694"/>
      <c r="BC83" s="694"/>
      <c r="BD83" s="694"/>
      <c r="BE83" s="694"/>
      <c r="BF83" s="694"/>
      <c r="BG83" s="694"/>
    </row>
    <row r="84" spans="1:59" s="493" customFormat="1" x14ac:dyDescent="0.2">
      <c r="A84" s="468"/>
      <c r="B84" s="468"/>
      <c r="C84" s="694"/>
      <c r="D84" s="694"/>
      <c r="E84" s="694"/>
      <c r="F84" s="694"/>
      <c r="G84" s="694"/>
      <c r="H84" s="694"/>
      <c r="I84" s="694"/>
      <c r="J84" s="694"/>
      <c r="K84" s="694"/>
      <c r="L84" s="694"/>
      <c r="M84" s="694"/>
      <c r="N84" s="694"/>
      <c r="O84" s="694"/>
      <c r="P84" s="694"/>
      <c r="Q84" s="694"/>
      <c r="R84" s="694"/>
      <c r="S84" s="694"/>
      <c r="T84" s="694"/>
      <c r="U84" s="694"/>
      <c r="V84" s="694"/>
      <c r="W84" s="694"/>
      <c r="X84" s="694"/>
      <c r="Y84" s="694"/>
      <c r="Z84" s="694"/>
      <c r="AA84" s="694"/>
      <c r="AB84" s="694"/>
      <c r="AC84" s="694"/>
      <c r="AD84" s="468"/>
      <c r="AE84" s="468"/>
      <c r="AF84" s="694"/>
      <c r="AG84" s="694"/>
      <c r="AH84" s="694"/>
      <c r="AI84" s="694"/>
      <c r="AJ84" s="694"/>
      <c r="AK84" s="694"/>
      <c r="AL84" s="694"/>
      <c r="AM84" s="694"/>
      <c r="AN84" s="694"/>
      <c r="AO84" s="694"/>
      <c r="AP84" s="694"/>
      <c r="AQ84" s="694"/>
      <c r="AR84" s="694"/>
      <c r="AS84" s="694"/>
      <c r="AT84" s="694"/>
      <c r="AU84" s="694"/>
      <c r="AV84" s="694"/>
      <c r="AW84" s="694"/>
      <c r="AX84" s="694"/>
      <c r="AY84" s="694"/>
      <c r="AZ84" s="694"/>
      <c r="BA84" s="694"/>
      <c r="BB84" s="694"/>
      <c r="BC84" s="694"/>
      <c r="BD84" s="694"/>
      <c r="BE84" s="694"/>
      <c r="BF84" s="694"/>
      <c r="BG84" s="694"/>
    </row>
    <row r="85" spans="1:59" s="493" customFormat="1" x14ac:dyDescent="0.2">
      <c r="A85" s="468"/>
      <c r="B85" s="468"/>
      <c r="C85" s="694"/>
      <c r="D85" s="694"/>
      <c r="E85" s="694"/>
      <c r="F85" s="694"/>
      <c r="G85" s="694"/>
      <c r="H85" s="694"/>
      <c r="I85" s="694"/>
      <c r="J85" s="694"/>
      <c r="K85" s="694"/>
      <c r="L85" s="694"/>
      <c r="M85" s="694"/>
      <c r="N85" s="694"/>
      <c r="O85" s="694"/>
      <c r="P85" s="694"/>
      <c r="Q85" s="694"/>
      <c r="R85" s="694"/>
      <c r="S85" s="694"/>
      <c r="T85" s="694"/>
      <c r="U85" s="694"/>
      <c r="V85" s="694"/>
      <c r="W85" s="694"/>
      <c r="X85" s="694"/>
      <c r="Y85" s="694"/>
      <c r="Z85" s="694"/>
      <c r="AA85" s="694"/>
      <c r="AB85" s="694"/>
      <c r="AC85" s="694"/>
      <c r="AD85" s="468"/>
      <c r="AE85" s="468"/>
      <c r="AF85" s="694"/>
      <c r="AG85" s="694"/>
      <c r="AH85" s="694"/>
      <c r="AI85" s="694"/>
      <c r="AJ85" s="694"/>
      <c r="AK85" s="694"/>
      <c r="AL85" s="694"/>
      <c r="AM85" s="694"/>
      <c r="AN85" s="694"/>
      <c r="AO85" s="694"/>
      <c r="AP85" s="694"/>
      <c r="AQ85" s="694"/>
      <c r="AR85" s="694"/>
      <c r="AS85" s="694"/>
      <c r="AT85" s="694"/>
      <c r="AU85" s="694"/>
      <c r="AV85" s="694"/>
      <c r="AW85" s="694"/>
      <c r="AX85" s="694"/>
      <c r="AY85" s="694"/>
      <c r="AZ85" s="694"/>
      <c r="BA85" s="694"/>
      <c r="BB85" s="694"/>
      <c r="BC85" s="694"/>
      <c r="BD85" s="694"/>
      <c r="BE85" s="694"/>
      <c r="BF85" s="694"/>
      <c r="BG85" s="694"/>
    </row>
    <row r="86" spans="1:59" s="493" customFormat="1" x14ac:dyDescent="0.2">
      <c r="A86" s="468"/>
      <c r="B86" s="468"/>
      <c r="C86" s="694"/>
      <c r="D86" s="694"/>
      <c r="E86" s="694"/>
      <c r="F86" s="694"/>
      <c r="G86" s="694"/>
      <c r="H86" s="694"/>
      <c r="I86" s="694"/>
      <c r="J86" s="694"/>
      <c r="K86" s="694"/>
      <c r="L86" s="694"/>
      <c r="M86" s="694"/>
      <c r="N86" s="694"/>
      <c r="O86" s="694"/>
      <c r="P86" s="694"/>
      <c r="Q86" s="694"/>
      <c r="R86" s="694"/>
      <c r="S86" s="694"/>
      <c r="T86" s="694"/>
      <c r="U86" s="694"/>
      <c r="V86" s="694"/>
      <c r="W86" s="694"/>
      <c r="X86" s="694"/>
      <c r="Y86" s="694"/>
      <c r="Z86" s="694"/>
      <c r="AA86" s="694"/>
      <c r="AB86" s="694"/>
      <c r="AC86" s="694"/>
      <c r="AD86" s="468"/>
      <c r="AE86" s="468"/>
      <c r="AF86" s="694"/>
      <c r="AG86" s="694"/>
      <c r="AH86" s="694"/>
      <c r="AI86" s="694"/>
      <c r="AJ86" s="694"/>
      <c r="AK86" s="694"/>
      <c r="AL86" s="694"/>
      <c r="AM86" s="694"/>
      <c r="AN86" s="694"/>
      <c r="AO86" s="694"/>
      <c r="AP86" s="694"/>
      <c r="AQ86" s="694"/>
      <c r="AR86" s="694"/>
      <c r="AS86" s="694"/>
      <c r="AT86" s="694"/>
      <c r="AU86" s="694"/>
      <c r="AV86" s="694"/>
      <c r="AW86" s="694"/>
      <c r="AX86" s="694"/>
      <c r="AY86" s="694"/>
      <c r="AZ86" s="694"/>
      <c r="BA86" s="694"/>
      <c r="BB86" s="694"/>
      <c r="BC86" s="694"/>
      <c r="BD86" s="694"/>
      <c r="BE86" s="694"/>
      <c r="BF86" s="694"/>
      <c r="BG86" s="694"/>
    </row>
    <row r="87" spans="1:59" x14ac:dyDescent="0.2">
      <c r="A87" s="712" t="s">
        <v>55</v>
      </c>
      <c r="B87" s="712"/>
      <c r="C87" s="694" t="str">
        <f>"Bu müqavilə üzrə öhdəliklərini pozduqda və ya vaxtında icra etmədikdə "</f>
        <v xml:space="preserve">Bu müqavilə üzrə öhdəliklərini pozduqda və ya vaxtında icra etmədikdə </v>
      </c>
      <c r="D87" s="694"/>
      <c r="E87" s="694"/>
      <c r="F87" s="694"/>
      <c r="G87" s="694"/>
      <c r="H87" s="694"/>
      <c r="I87" s="694"/>
      <c r="J87" s="694"/>
      <c r="K87" s="694"/>
      <c r="L87" s="694"/>
      <c r="M87" s="694"/>
      <c r="N87" s="694"/>
      <c r="O87" s="694"/>
      <c r="P87" s="694"/>
      <c r="Q87" s="694"/>
      <c r="R87" s="694"/>
      <c r="S87" s="694"/>
      <c r="T87" s="694"/>
      <c r="U87" s="694"/>
      <c r="V87" s="694"/>
      <c r="W87" s="694"/>
      <c r="X87" s="694"/>
      <c r="Y87" s="694"/>
      <c r="Z87" s="694"/>
      <c r="AA87" s="694"/>
      <c r="AB87" s="694"/>
      <c r="AC87" s="694"/>
      <c r="AF87" s="694"/>
      <c r="AG87" s="694"/>
      <c r="AH87" s="694"/>
      <c r="AI87" s="694"/>
      <c r="AJ87" s="694"/>
      <c r="AK87" s="694"/>
      <c r="AL87" s="694"/>
      <c r="AM87" s="694"/>
      <c r="AN87" s="694"/>
      <c r="AO87" s="694"/>
      <c r="AP87" s="694"/>
      <c r="AQ87" s="694"/>
      <c r="AR87" s="694"/>
      <c r="AS87" s="694"/>
      <c r="AT87" s="694"/>
      <c r="AU87" s="694"/>
      <c r="AV87" s="694"/>
      <c r="AW87" s="694"/>
      <c r="AX87" s="694"/>
      <c r="AY87" s="694"/>
      <c r="AZ87" s="694"/>
      <c r="BA87" s="694"/>
      <c r="BB87" s="694"/>
      <c r="BC87" s="694"/>
      <c r="BD87" s="694"/>
      <c r="BE87" s="694"/>
      <c r="BF87" s="694"/>
      <c r="BG87" s="694"/>
    </row>
    <row r="88" spans="1:59" ht="11.25" customHeight="1" x14ac:dyDescent="0.2">
      <c r="C88" s="694" t="str">
        <f>"«Borc  verən» bu öhdəliklərinin icrasını təmin etmək üçün üçüncü şəxslərin xidmətindən"&amp;" istifadə etdikdə onun haqqında olan bütün məlumatların və sənədlərin «Borc verən»  tərəfindən"&amp;" üçüncü şəxslərə təqdim olunmasına əvvəlcədən razılıq verir və "&amp;"bu razılığını birtərəfli qaydada geri gö"&amp;"türə bilməz. Bu razılıq «Borc verən» tərəfindən tələb hüququ üçüncü şəxslərə güzəşt olunduqda da qüvvədədir."</f>
        <v>«Borc  verən» bu öhdəliklərinin icrasını təmin etmək üçün üçüncü şəxslərin xidmətindən istifadə etdikdə onun haqqında olan bütün məlumatların və sənədlərin «Borc verən»  tərəfindən üçüncü şəxslərə təqdim olunmasına əvvəlcədən razılıq verir və bu razılığını birtərəfli qaydada geri götürə bilməz. Bu razılıq «Borc verən» tərəfindən tələb hüququ üçüncü şəxslərə güzəşt olunduqda da qüvvədədir.</v>
      </c>
      <c r="D88" s="694"/>
      <c r="E88" s="694"/>
      <c r="F88" s="694"/>
      <c r="G88" s="694"/>
      <c r="H88" s="694"/>
      <c r="I88" s="694"/>
      <c r="J88" s="694"/>
      <c r="K88" s="694"/>
      <c r="L88" s="694"/>
      <c r="M88" s="694"/>
      <c r="N88" s="694"/>
      <c r="O88" s="694"/>
      <c r="P88" s="694"/>
      <c r="Q88" s="694"/>
      <c r="R88" s="694"/>
      <c r="S88" s="694"/>
      <c r="T88" s="694"/>
      <c r="U88" s="694"/>
      <c r="V88" s="694"/>
      <c r="W88" s="694"/>
      <c r="X88" s="694"/>
      <c r="Y88" s="694"/>
      <c r="Z88" s="694"/>
      <c r="AA88" s="694"/>
      <c r="AB88" s="694"/>
      <c r="AC88" s="694"/>
      <c r="AE88" s="460" t="s">
        <v>37</v>
      </c>
      <c r="AF88" s="694" t="str">
        <f>"«Borc alan» tərəfindən təqdim edilən məlumatlar «Borc verən» tərəfindən istənilən vaxt və qeyd-şərtsiz olaraq  «Borc verən»in rəsmi şəxslərinə və  təmsilçilərinə, həmçinin müqavilənin hazırlanması, icrası və qüvvədə olduğu müddət ərzində "&amp;"«Borc verən» tərəfindən cəlb edilən müstəqil məsləhətçilərə, ekspertlərə, müşavirlərə, kənar auditorlara  və siğorta təşkilatının əməkdaşlarına, o cümlədən Mərkəzləşdirilmiş Kredit Reyestrinə "&amp;"verilə bilər və bu məxfiliyin pozulması kimi qiymətləndirilə bilməz."</f>
        <v>«Borc alan» tərəfindən təqdim edilən məlumatlar «Borc verən» tərəfindən istənilən vaxt və qeyd-şərtsiz olaraq  «Borc verən»in rəsmi şəxslərinə və  təmsilçilərinə, həmçinin müqavilənin hazırlanması, icrası və qüvvədə olduğu müddət ərzində «Borc verən» tərəfindən cəlb edilən müstəqil məsləhətçilərə, ekspertlərə, müşavirlərə, kənar auditorlara  və siğorta təşkilatının əməkdaşlarına, o cümlədən Mərkəzləşdirilmiş Kredit Reyestrinə verilə bilər və bu məxfiliyin pozulması kimi qiymətləndirilə bilməz.</v>
      </c>
      <c r="AG88" s="694"/>
      <c r="AH88" s="694"/>
      <c r="AI88" s="694"/>
      <c r="AJ88" s="694"/>
      <c r="AK88" s="694"/>
      <c r="AL88" s="694"/>
      <c r="AM88" s="694"/>
      <c r="AN88" s="694"/>
      <c r="AO88" s="694"/>
      <c r="AP88" s="694"/>
      <c r="AQ88" s="694"/>
      <c r="AR88" s="694"/>
      <c r="AS88" s="694"/>
      <c r="AT88" s="694"/>
      <c r="AU88" s="694"/>
      <c r="AV88" s="694"/>
      <c r="AW88" s="694"/>
      <c r="AX88" s="694"/>
      <c r="AY88" s="694"/>
      <c r="AZ88" s="694"/>
      <c r="BA88" s="694"/>
      <c r="BB88" s="694"/>
      <c r="BC88" s="694"/>
      <c r="BD88" s="694"/>
      <c r="BE88" s="694"/>
      <c r="BF88" s="694"/>
      <c r="BG88" s="694"/>
    </row>
    <row r="89" spans="1:59" x14ac:dyDescent="0.2">
      <c r="C89" s="694"/>
      <c r="D89" s="694"/>
      <c r="E89" s="694"/>
      <c r="F89" s="694"/>
      <c r="G89" s="694"/>
      <c r="H89" s="694"/>
      <c r="I89" s="694"/>
      <c r="J89" s="694"/>
      <c r="K89" s="694"/>
      <c r="L89" s="694"/>
      <c r="M89" s="694"/>
      <c r="N89" s="694"/>
      <c r="O89" s="694"/>
      <c r="P89" s="694"/>
      <c r="Q89" s="694"/>
      <c r="R89" s="694"/>
      <c r="S89" s="694"/>
      <c r="T89" s="694"/>
      <c r="U89" s="694"/>
      <c r="V89" s="694"/>
      <c r="W89" s="694"/>
      <c r="X89" s="694"/>
      <c r="Y89" s="694"/>
      <c r="Z89" s="694"/>
      <c r="AA89" s="694"/>
      <c r="AB89" s="694"/>
      <c r="AC89" s="694"/>
      <c r="AF89" s="694"/>
      <c r="AG89" s="694"/>
      <c r="AH89" s="694"/>
      <c r="AI89" s="694"/>
      <c r="AJ89" s="694"/>
      <c r="AK89" s="694"/>
      <c r="AL89" s="694"/>
      <c r="AM89" s="694"/>
      <c r="AN89" s="694"/>
      <c r="AO89" s="694"/>
      <c r="AP89" s="694"/>
      <c r="AQ89" s="694"/>
      <c r="AR89" s="694"/>
      <c r="AS89" s="694"/>
      <c r="AT89" s="694"/>
      <c r="AU89" s="694"/>
      <c r="AV89" s="694"/>
      <c r="AW89" s="694"/>
      <c r="AX89" s="694"/>
      <c r="AY89" s="694"/>
      <c r="AZ89" s="694"/>
      <c r="BA89" s="694"/>
      <c r="BB89" s="694"/>
      <c r="BC89" s="694"/>
      <c r="BD89" s="694"/>
      <c r="BE89" s="694"/>
      <c r="BF89" s="694"/>
      <c r="BG89" s="694"/>
    </row>
    <row r="90" spans="1:59" x14ac:dyDescent="0.2">
      <c r="C90" s="694"/>
      <c r="D90" s="694"/>
      <c r="E90" s="694"/>
      <c r="F90" s="694"/>
      <c r="G90" s="694"/>
      <c r="H90" s="694"/>
      <c r="I90" s="694"/>
      <c r="J90" s="694"/>
      <c r="K90" s="694"/>
      <c r="L90" s="694"/>
      <c r="M90" s="694"/>
      <c r="N90" s="694"/>
      <c r="O90" s="694"/>
      <c r="P90" s="694"/>
      <c r="Q90" s="694"/>
      <c r="R90" s="694"/>
      <c r="S90" s="694"/>
      <c r="T90" s="694"/>
      <c r="U90" s="694"/>
      <c r="V90" s="694"/>
      <c r="W90" s="694"/>
      <c r="X90" s="694"/>
      <c r="Y90" s="694"/>
      <c r="Z90" s="694"/>
      <c r="AA90" s="694"/>
      <c r="AB90" s="694"/>
      <c r="AC90" s="694"/>
      <c r="AF90" s="694"/>
      <c r="AG90" s="694"/>
      <c r="AH90" s="694"/>
      <c r="AI90" s="694"/>
      <c r="AJ90" s="694"/>
      <c r="AK90" s="694"/>
      <c r="AL90" s="694"/>
      <c r="AM90" s="694"/>
      <c r="AN90" s="694"/>
      <c r="AO90" s="694"/>
      <c r="AP90" s="694"/>
      <c r="AQ90" s="694"/>
      <c r="AR90" s="694"/>
      <c r="AS90" s="694"/>
      <c r="AT90" s="694"/>
      <c r="AU90" s="694"/>
      <c r="AV90" s="694"/>
      <c r="AW90" s="694"/>
      <c r="AX90" s="694"/>
      <c r="AY90" s="694"/>
      <c r="AZ90" s="694"/>
      <c r="BA90" s="694"/>
      <c r="BB90" s="694"/>
      <c r="BC90" s="694"/>
      <c r="BD90" s="694"/>
      <c r="BE90" s="694"/>
      <c r="BF90" s="694"/>
      <c r="BG90" s="694"/>
    </row>
    <row r="91" spans="1:59" x14ac:dyDescent="0.2">
      <c r="C91" s="694"/>
      <c r="D91" s="694"/>
      <c r="E91" s="694"/>
      <c r="F91" s="694"/>
      <c r="G91" s="694"/>
      <c r="H91" s="694"/>
      <c r="I91" s="694"/>
      <c r="J91" s="694"/>
      <c r="K91" s="694"/>
      <c r="L91" s="694"/>
      <c r="M91" s="694"/>
      <c r="N91" s="694"/>
      <c r="O91" s="694"/>
      <c r="P91" s="694"/>
      <c r="Q91" s="694"/>
      <c r="R91" s="694"/>
      <c r="S91" s="694"/>
      <c r="T91" s="694"/>
      <c r="U91" s="694"/>
      <c r="V91" s="694"/>
      <c r="W91" s="694"/>
      <c r="X91" s="694"/>
      <c r="Y91" s="694"/>
      <c r="Z91" s="694"/>
      <c r="AA91" s="694"/>
      <c r="AB91" s="694"/>
      <c r="AC91" s="694"/>
      <c r="AF91" s="694"/>
      <c r="AG91" s="694"/>
      <c r="AH91" s="694"/>
      <c r="AI91" s="694"/>
      <c r="AJ91" s="694"/>
      <c r="AK91" s="694"/>
      <c r="AL91" s="694"/>
      <c r="AM91" s="694"/>
      <c r="AN91" s="694"/>
      <c r="AO91" s="694"/>
      <c r="AP91" s="694"/>
      <c r="AQ91" s="694"/>
      <c r="AR91" s="694"/>
      <c r="AS91" s="694"/>
      <c r="AT91" s="694"/>
      <c r="AU91" s="694"/>
      <c r="AV91" s="694"/>
      <c r="AW91" s="694"/>
      <c r="AX91" s="694"/>
      <c r="AY91" s="694"/>
      <c r="AZ91" s="694"/>
      <c r="BA91" s="694"/>
      <c r="BB91" s="694"/>
      <c r="BC91" s="694"/>
      <c r="BD91" s="694"/>
      <c r="BE91" s="694"/>
      <c r="BF91" s="694"/>
      <c r="BG91" s="694"/>
    </row>
    <row r="92" spans="1:59" ht="11.25" customHeight="1" x14ac:dyDescent="0.2">
      <c r="C92" s="694"/>
      <c r="D92" s="694"/>
      <c r="E92" s="694"/>
      <c r="F92" s="694"/>
      <c r="G92" s="694"/>
      <c r="H92" s="694"/>
      <c r="I92" s="694"/>
      <c r="J92" s="694"/>
      <c r="K92" s="694"/>
      <c r="L92" s="694"/>
      <c r="M92" s="694"/>
      <c r="N92" s="694"/>
      <c r="O92" s="694"/>
      <c r="P92" s="694"/>
      <c r="Q92" s="694"/>
      <c r="R92" s="694"/>
      <c r="S92" s="694"/>
      <c r="T92" s="694"/>
      <c r="U92" s="694"/>
      <c r="V92" s="694"/>
      <c r="W92" s="694"/>
      <c r="X92" s="694"/>
      <c r="Y92" s="694"/>
      <c r="Z92" s="694"/>
      <c r="AA92" s="694"/>
      <c r="AB92" s="694"/>
      <c r="AC92" s="694"/>
      <c r="AF92" s="694"/>
      <c r="AG92" s="694"/>
      <c r="AH92" s="694"/>
      <c r="AI92" s="694"/>
      <c r="AJ92" s="694"/>
      <c r="AK92" s="694"/>
      <c r="AL92" s="694"/>
      <c r="AM92" s="694"/>
      <c r="AN92" s="694"/>
      <c r="AO92" s="694"/>
      <c r="AP92" s="694"/>
      <c r="AQ92" s="694"/>
      <c r="AR92" s="694"/>
      <c r="AS92" s="694"/>
      <c r="AT92" s="694"/>
      <c r="AU92" s="694"/>
      <c r="AV92" s="694"/>
      <c r="AW92" s="694"/>
      <c r="AX92" s="694"/>
      <c r="AY92" s="694"/>
      <c r="AZ92" s="694"/>
      <c r="BA92" s="694"/>
      <c r="BB92" s="694"/>
      <c r="BC92" s="694"/>
      <c r="BD92" s="694"/>
      <c r="BE92" s="694"/>
      <c r="BF92" s="694"/>
      <c r="BG92" s="694"/>
    </row>
    <row r="93" spans="1:59" x14ac:dyDescent="0.2">
      <c r="C93" s="694"/>
      <c r="D93" s="694"/>
      <c r="E93" s="694"/>
      <c r="F93" s="694"/>
      <c r="G93" s="694"/>
      <c r="H93" s="694"/>
      <c r="I93" s="694"/>
      <c r="J93" s="694"/>
      <c r="K93" s="694"/>
      <c r="L93" s="694"/>
      <c r="M93" s="694"/>
      <c r="N93" s="694"/>
      <c r="O93" s="694"/>
      <c r="P93" s="694"/>
      <c r="Q93" s="694"/>
      <c r="R93" s="694"/>
      <c r="S93" s="694"/>
      <c r="T93" s="694"/>
      <c r="U93" s="694"/>
      <c r="V93" s="694"/>
      <c r="W93" s="694"/>
      <c r="X93" s="694"/>
      <c r="Y93" s="694"/>
      <c r="Z93" s="694"/>
      <c r="AA93" s="694"/>
      <c r="AB93" s="694"/>
      <c r="AC93" s="694"/>
      <c r="AF93" s="694"/>
      <c r="AG93" s="694"/>
      <c r="AH93" s="694"/>
      <c r="AI93" s="694"/>
      <c r="AJ93" s="694"/>
      <c r="AK93" s="694"/>
      <c r="AL93" s="694"/>
      <c r="AM93" s="694"/>
      <c r="AN93" s="694"/>
      <c r="AO93" s="694"/>
      <c r="AP93" s="694"/>
      <c r="AQ93" s="694"/>
      <c r="AR93" s="694"/>
      <c r="AS93" s="694"/>
      <c r="AT93" s="694"/>
      <c r="AU93" s="694"/>
      <c r="AV93" s="694"/>
      <c r="AW93" s="694"/>
      <c r="AX93" s="694"/>
      <c r="AY93" s="694"/>
      <c r="AZ93" s="694"/>
      <c r="BA93" s="694"/>
      <c r="BB93" s="694"/>
      <c r="BC93" s="694"/>
      <c r="BD93" s="694"/>
      <c r="BE93" s="694"/>
      <c r="BF93" s="694"/>
      <c r="BG93" s="694"/>
    </row>
    <row r="94" spans="1:59" x14ac:dyDescent="0.2">
      <c r="A94" s="699" t="s">
        <v>472</v>
      </c>
      <c r="B94" s="699"/>
      <c r="C94" s="694" t="s">
        <v>448</v>
      </c>
      <c r="D94" s="694"/>
      <c r="E94" s="694"/>
      <c r="F94" s="694"/>
      <c r="G94" s="694"/>
      <c r="H94" s="694"/>
      <c r="I94" s="694"/>
      <c r="J94" s="694"/>
      <c r="K94" s="694"/>
      <c r="L94" s="694"/>
      <c r="M94" s="694"/>
      <c r="N94" s="694"/>
      <c r="O94" s="694"/>
      <c r="P94" s="694"/>
      <c r="Q94" s="694"/>
      <c r="R94" s="694"/>
      <c r="S94" s="694"/>
      <c r="T94" s="694"/>
      <c r="U94" s="694"/>
      <c r="V94" s="694"/>
      <c r="W94" s="694"/>
      <c r="X94" s="694"/>
      <c r="Y94" s="694"/>
      <c r="Z94" s="694"/>
      <c r="AA94" s="694"/>
      <c r="AB94" s="694"/>
      <c r="AC94" s="694"/>
      <c r="AF94" s="694"/>
      <c r="AG94" s="694"/>
      <c r="AH94" s="694"/>
      <c r="AI94" s="694"/>
      <c r="AJ94" s="694"/>
      <c r="AK94" s="694"/>
      <c r="AL94" s="694"/>
      <c r="AM94" s="694"/>
      <c r="AN94" s="694"/>
      <c r="AO94" s="694"/>
      <c r="AP94" s="694"/>
      <c r="AQ94" s="694"/>
      <c r="AR94" s="694"/>
      <c r="AS94" s="694"/>
      <c r="AT94" s="694"/>
      <c r="AU94" s="694"/>
      <c r="AV94" s="694"/>
      <c r="AW94" s="694"/>
      <c r="AX94" s="694"/>
      <c r="AY94" s="694"/>
      <c r="AZ94" s="694"/>
      <c r="BA94" s="694"/>
      <c r="BB94" s="694"/>
      <c r="BC94" s="694"/>
      <c r="BD94" s="694"/>
      <c r="BE94" s="694"/>
      <c r="BF94" s="694"/>
      <c r="BG94" s="694"/>
    </row>
    <row r="95" spans="1:59" x14ac:dyDescent="0.2">
      <c r="A95" s="461"/>
      <c r="B95" s="461"/>
      <c r="C95" s="694"/>
      <c r="D95" s="694"/>
      <c r="E95" s="694"/>
      <c r="F95" s="694"/>
      <c r="G95" s="694"/>
      <c r="H95" s="694"/>
      <c r="I95" s="694"/>
      <c r="J95" s="694"/>
      <c r="K95" s="694"/>
      <c r="L95" s="694"/>
      <c r="M95" s="694"/>
      <c r="N95" s="694"/>
      <c r="O95" s="694"/>
      <c r="P95" s="694"/>
      <c r="Q95" s="694"/>
      <c r="R95" s="694"/>
      <c r="S95" s="694"/>
      <c r="T95" s="694"/>
      <c r="U95" s="694"/>
      <c r="V95" s="694"/>
      <c r="W95" s="694"/>
      <c r="X95" s="694"/>
      <c r="Y95" s="694"/>
      <c r="Z95" s="694"/>
      <c r="AA95" s="694"/>
      <c r="AB95" s="694"/>
      <c r="AC95" s="694"/>
      <c r="AE95" s="460" t="s">
        <v>859</v>
      </c>
      <c r="AF95" s="694" t="s">
        <v>866</v>
      </c>
      <c r="AG95" s="694"/>
      <c r="AH95" s="694"/>
      <c r="AI95" s="694"/>
      <c r="AJ95" s="694"/>
      <c r="AK95" s="694"/>
      <c r="AL95" s="694"/>
      <c r="AM95" s="694"/>
      <c r="AN95" s="694"/>
      <c r="AO95" s="694"/>
      <c r="AP95" s="694"/>
      <c r="AQ95" s="694"/>
      <c r="AR95" s="694"/>
      <c r="AS95" s="694"/>
      <c r="AT95" s="694"/>
      <c r="AU95" s="694"/>
      <c r="AV95" s="694"/>
      <c r="AW95" s="694"/>
      <c r="AX95" s="694"/>
      <c r="AY95" s="694"/>
      <c r="AZ95" s="694"/>
      <c r="BA95" s="694"/>
      <c r="BB95" s="694"/>
      <c r="BC95" s="694"/>
      <c r="BD95" s="694"/>
      <c r="BE95" s="694"/>
      <c r="BF95" s="694"/>
      <c r="BG95" s="694"/>
    </row>
    <row r="96" spans="1:59" x14ac:dyDescent="0.2">
      <c r="A96" s="466"/>
      <c r="B96" s="466"/>
      <c r="C96" s="694"/>
      <c r="D96" s="694"/>
      <c r="E96" s="694"/>
      <c r="F96" s="694"/>
      <c r="G96" s="694"/>
      <c r="H96" s="694"/>
      <c r="I96" s="694"/>
      <c r="J96" s="694"/>
      <c r="K96" s="694"/>
      <c r="L96" s="694"/>
      <c r="M96" s="694"/>
      <c r="N96" s="694"/>
      <c r="O96" s="694"/>
      <c r="P96" s="694"/>
      <c r="Q96" s="694"/>
      <c r="R96" s="694"/>
      <c r="S96" s="694"/>
      <c r="T96" s="694"/>
      <c r="U96" s="694"/>
      <c r="V96" s="694"/>
      <c r="W96" s="694"/>
      <c r="X96" s="694"/>
      <c r="Y96" s="694"/>
      <c r="Z96" s="694"/>
      <c r="AA96" s="694"/>
      <c r="AB96" s="694"/>
      <c r="AC96" s="694"/>
      <c r="AF96" s="694"/>
      <c r="AG96" s="694"/>
      <c r="AH96" s="694"/>
      <c r="AI96" s="694"/>
      <c r="AJ96" s="694"/>
      <c r="AK96" s="694"/>
      <c r="AL96" s="694"/>
      <c r="AM96" s="694"/>
      <c r="AN96" s="694"/>
      <c r="AO96" s="694"/>
      <c r="AP96" s="694"/>
      <c r="AQ96" s="694"/>
      <c r="AR96" s="694"/>
      <c r="AS96" s="694"/>
      <c r="AT96" s="694"/>
      <c r="AU96" s="694"/>
      <c r="AV96" s="694"/>
      <c r="AW96" s="694"/>
      <c r="AX96" s="694"/>
      <c r="AY96" s="694"/>
      <c r="AZ96" s="694"/>
      <c r="BA96" s="694"/>
      <c r="BB96" s="694"/>
      <c r="BC96" s="694"/>
      <c r="BD96" s="694"/>
      <c r="BE96" s="694"/>
      <c r="BF96" s="694"/>
      <c r="BG96" s="694"/>
    </row>
    <row r="97" spans="1:59" x14ac:dyDescent="0.2">
      <c r="A97" s="460"/>
      <c r="B97" s="460"/>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F97" s="694"/>
      <c r="AG97" s="694"/>
      <c r="AH97" s="694"/>
      <c r="AI97" s="694"/>
      <c r="AJ97" s="694"/>
      <c r="AK97" s="694"/>
      <c r="AL97" s="694"/>
      <c r="AM97" s="694"/>
      <c r="AN97" s="694"/>
      <c r="AO97" s="694"/>
      <c r="AP97" s="694"/>
      <c r="AQ97" s="694"/>
      <c r="AR97" s="694"/>
      <c r="AS97" s="694"/>
      <c r="AT97" s="694"/>
      <c r="AU97" s="694"/>
      <c r="AV97" s="694"/>
      <c r="AW97" s="694"/>
      <c r="AX97" s="694"/>
      <c r="AY97" s="694"/>
      <c r="AZ97" s="694"/>
      <c r="BA97" s="694"/>
      <c r="BB97" s="694"/>
      <c r="BC97" s="694"/>
      <c r="BD97" s="694"/>
      <c r="BE97" s="694"/>
      <c r="BF97" s="694"/>
      <c r="BG97" s="694"/>
    </row>
    <row r="98" spans="1:59" x14ac:dyDescent="0.2">
      <c r="A98" s="711" t="s">
        <v>50</v>
      </c>
      <c r="B98" s="711"/>
      <c r="C98" s="711"/>
      <c r="D98" s="711"/>
      <c r="E98" s="711"/>
      <c r="F98" s="711"/>
      <c r="G98" s="711"/>
      <c r="H98" s="711"/>
      <c r="I98" s="711"/>
      <c r="J98" s="711"/>
      <c r="K98" s="711"/>
      <c r="L98" s="711"/>
      <c r="M98" s="711"/>
      <c r="N98" s="711"/>
      <c r="O98" s="711"/>
      <c r="P98" s="711"/>
      <c r="Q98" s="711"/>
      <c r="R98" s="711"/>
      <c r="S98" s="711"/>
      <c r="T98" s="711"/>
      <c r="U98" s="711"/>
      <c r="V98" s="711"/>
      <c r="W98" s="711"/>
      <c r="X98" s="711"/>
      <c r="Y98" s="711"/>
      <c r="Z98" s="711"/>
      <c r="AA98" s="711"/>
      <c r="AB98" s="711"/>
      <c r="AC98" s="711"/>
      <c r="AF98" s="694"/>
      <c r="AG98" s="694"/>
      <c r="AH98" s="694"/>
      <c r="AI98" s="694"/>
      <c r="AJ98" s="694"/>
      <c r="AK98" s="694"/>
      <c r="AL98" s="694"/>
      <c r="AM98" s="694"/>
      <c r="AN98" s="694"/>
      <c r="AO98" s="694"/>
      <c r="AP98" s="694"/>
      <c r="AQ98" s="694"/>
      <c r="AR98" s="694"/>
      <c r="AS98" s="694"/>
      <c r="AT98" s="694"/>
      <c r="AU98" s="694"/>
      <c r="AV98" s="694"/>
      <c r="AW98" s="694"/>
      <c r="AX98" s="694"/>
      <c r="AY98" s="694"/>
      <c r="AZ98" s="694"/>
      <c r="BA98" s="694"/>
      <c r="BB98" s="694"/>
      <c r="BC98" s="694"/>
      <c r="BD98" s="694"/>
      <c r="BE98" s="694"/>
      <c r="BF98" s="694"/>
      <c r="BG98" s="694"/>
    </row>
    <row r="99" spans="1:59" ht="11.25" customHeight="1" x14ac:dyDescent="0.2">
      <c r="A99" s="470"/>
      <c r="B99" s="470"/>
      <c r="C99" s="470"/>
      <c r="D99" s="470"/>
      <c r="E99" s="470"/>
      <c r="F99" s="470"/>
      <c r="G99" s="470"/>
      <c r="H99" s="470"/>
      <c r="I99" s="470"/>
      <c r="J99" s="470"/>
      <c r="K99" s="470"/>
      <c r="L99" s="470"/>
      <c r="M99" s="470"/>
      <c r="N99" s="470"/>
      <c r="O99" s="470"/>
      <c r="P99" s="470"/>
      <c r="Q99" s="470"/>
      <c r="R99" s="470"/>
      <c r="S99" s="470"/>
      <c r="T99" s="470"/>
      <c r="U99" s="470"/>
      <c r="V99" s="470"/>
      <c r="W99" s="470"/>
      <c r="X99" s="470"/>
      <c r="Y99" s="470"/>
      <c r="Z99" s="470"/>
      <c r="AA99" s="470"/>
      <c r="AB99" s="470"/>
      <c r="AC99" s="470"/>
      <c r="AF99" s="694"/>
      <c r="AG99" s="694"/>
      <c r="AH99" s="694"/>
      <c r="AI99" s="694"/>
      <c r="AJ99" s="694"/>
      <c r="AK99" s="694"/>
      <c r="AL99" s="694"/>
      <c r="AM99" s="694"/>
      <c r="AN99" s="694"/>
      <c r="AO99" s="694"/>
      <c r="AP99" s="694"/>
      <c r="AQ99" s="694"/>
      <c r="AR99" s="694"/>
      <c r="AS99" s="694"/>
      <c r="AT99" s="694"/>
      <c r="AU99" s="694"/>
      <c r="AV99" s="694"/>
      <c r="AW99" s="694"/>
      <c r="AX99" s="694"/>
      <c r="AY99" s="694"/>
      <c r="AZ99" s="694"/>
      <c r="BA99" s="694"/>
      <c r="BB99" s="694"/>
      <c r="BC99" s="694"/>
      <c r="BD99" s="694"/>
      <c r="BE99" s="694"/>
      <c r="BF99" s="694"/>
      <c r="BG99" s="694"/>
    </row>
    <row r="100" spans="1:59" x14ac:dyDescent="0.2">
      <c r="A100" s="460" t="s">
        <v>48</v>
      </c>
      <c r="B100" s="694" t="str">
        <f>"«Borc alan» kreditin ödənilməsi üzrə öhdəliyi vaxtlı-vaxtında yerinə yetirmədiyi və kreditdən istifadəyə görə faizləri və krediti ödəmədiyi təqdirdə gecikdirilmiş  əsas məbləğin 1 (bir) faizi mə"&amp;"bləğində dəbbə pulunu (cərimə) hər yubanma günü üçün «Borc verən»in  xeyrinə ödəməyə borcludur."</f>
        <v>«Borc alan» kreditin ödənilməsi üzrə öhdəliyi vaxtlı-vaxtında yerinə yetirmədiyi və kreditdən istifadəyə görə faizləri və krediti ödəmədiyi təqdirdə gecikdirilmiş  əsas məbləğin 1 (bir) faizi məbləğində dəbbə pulunu (cərimə) hər yubanma günü üçün «Borc verən»in  xeyrinə ödəməyə borcludur.</v>
      </c>
      <c r="C100" s="694"/>
      <c r="D100" s="694"/>
      <c r="E100" s="694"/>
      <c r="F100" s="694"/>
      <c r="G100" s="694"/>
      <c r="H100" s="694"/>
      <c r="I100" s="694"/>
      <c r="J100" s="694"/>
      <c r="K100" s="694"/>
      <c r="L100" s="694"/>
      <c r="M100" s="694"/>
      <c r="N100" s="694"/>
      <c r="O100" s="694"/>
      <c r="P100" s="694"/>
      <c r="Q100" s="694"/>
      <c r="R100" s="694"/>
      <c r="S100" s="694"/>
      <c r="T100" s="694"/>
      <c r="U100" s="694"/>
      <c r="V100" s="694"/>
      <c r="W100" s="694"/>
      <c r="X100" s="694"/>
      <c r="Y100" s="694"/>
      <c r="Z100" s="694"/>
      <c r="AA100" s="694"/>
      <c r="AB100" s="694"/>
      <c r="AC100" s="694"/>
    </row>
    <row r="101" spans="1:59" x14ac:dyDescent="0.2">
      <c r="B101" s="694"/>
      <c r="C101" s="694"/>
      <c r="D101" s="694"/>
      <c r="E101" s="694"/>
      <c r="F101" s="694"/>
      <c r="G101" s="694"/>
      <c r="H101" s="694"/>
      <c r="I101" s="694"/>
      <c r="J101" s="694"/>
      <c r="K101" s="694"/>
      <c r="L101" s="694"/>
      <c r="M101" s="694"/>
      <c r="N101" s="694"/>
      <c r="O101" s="694"/>
      <c r="P101" s="694"/>
      <c r="Q101" s="694"/>
      <c r="R101" s="694"/>
      <c r="S101" s="694"/>
      <c r="T101" s="694"/>
      <c r="U101" s="694"/>
      <c r="V101" s="694"/>
      <c r="W101" s="694"/>
      <c r="X101" s="694"/>
      <c r="Y101" s="694"/>
      <c r="Z101" s="694"/>
      <c r="AA101" s="694"/>
      <c r="AB101" s="694"/>
      <c r="AC101" s="694"/>
      <c r="AE101" s="707" t="s">
        <v>648</v>
      </c>
      <c r="AF101" s="707"/>
      <c r="AG101" s="707"/>
      <c r="AH101" s="707"/>
      <c r="AI101" s="707"/>
      <c r="AJ101" s="707"/>
      <c r="AK101" s="707"/>
      <c r="AL101" s="707"/>
      <c r="AM101" s="707"/>
      <c r="AN101" s="707"/>
      <c r="AO101" s="707"/>
      <c r="AP101" s="707"/>
      <c r="AQ101" s="707"/>
      <c r="AR101" s="707"/>
      <c r="AS101" s="707"/>
      <c r="AT101" s="707"/>
      <c r="AU101" s="707"/>
      <c r="AV101" s="707"/>
      <c r="AW101" s="707"/>
      <c r="AX101" s="707"/>
      <c r="AY101" s="707"/>
      <c r="AZ101" s="707"/>
      <c r="BA101" s="707"/>
      <c r="BB101" s="707"/>
      <c r="BC101" s="707"/>
      <c r="BD101" s="707"/>
      <c r="BE101" s="707"/>
      <c r="BF101" s="707"/>
      <c r="BG101" s="707"/>
    </row>
    <row r="102" spans="1:59" x14ac:dyDescent="0.2">
      <c r="B102" s="694"/>
      <c r="C102" s="694"/>
      <c r="D102" s="694"/>
      <c r="E102" s="694"/>
      <c r="F102" s="694"/>
      <c r="G102" s="694"/>
      <c r="H102" s="694"/>
      <c r="I102" s="694"/>
      <c r="J102" s="694"/>
      <c r="K102" s="694"/>
      <c r="L102" s="694"/>
      <c r="M102" s="694"/>
      <c r="N102" s="694"/>
      <c r="O102" s="694"/>
      <c r="P102" s="694"/>
      <c r="Q102" s="694"/>
      <c r="R102" s="694"/>
      <c r="S102" s="694"/>
      <c r="T102" s="694"/>
      <c r="U102" s="694"/>
      <c r="V102" s="694"/>
      <c r="W102" s="694"/>
      <c r="X102" s="694"/>
      <c r="Y102" s="694"/>
      <c r="Z102" s="694"/>
      <c r="AA102" s="694"/>
      <c r="AB102" s="694"/>
      <c r="AC102" s="694"/>
      <c r="AE102" s="462"/>
      <c r="AF102" s="463"/>
      <c r="AG102" s="463"/>
      <c r="AH102" s="463"/>
      <c r="AI102" s="463"/>
      <c r="AJ102" s="463"/>
      <c r="AK102" s="463"/>
      <c r="AL102" s="463"/>
      <c r="AM102" s="463"/>
      <c r="AN102" s="463"/>
      <c r="AO102" s="463"/>
      <c r="AP102" s="463"/>
      <c r="AQ102" s="463"/>
      <c r="AR102" s="463"/>
      <c r="AS102" s="463"/>
      <c r="AT102" s="463"/>
      <c r="AU102" s="463"/>
      <c r="AV102" s="463"/>
      <c r="AW102" s="463"/>
      <c r="AX102" s="463"/>
      <c r="AY102" s="463"/>
      <c r="AZ102" s="463"/>
      <c r="BA102" s="463"/>
      <c r="BB102" s="463"/>
      <c r="BC102" s="463"/>
      <c r="BD102" s="463"/>
      <c r="BE102" s="463"/>
      <c r="BF102" s="463"/>
      <c r="BG102" s="463"/>
    </row>
    <row r="103" spans="1:59" x14ac:dyDescent="0.2">
      <c r="B103" s="694"/>
      <c r="C103" s="694"/>
      <c r="D103" s="694"/>
      <c r="E103" s="694"/>
      <c r="F103" s="694"/>
      <c r="G103" s="694"/>
      <c r="H103" s="694"/>
      <c r="I103" s="694"/>
      <c r="J103" s="694"/>
      <c r="K103" s="694"/>
      <c r="L103" s="694"/>
      <c r="M103" s="694"/>
      <c r="N103" s="694"/>
      <c r="O103" s="694"/>
      <c r="P103" s="694"/>
      <c r="Q103" s="694"/>
      <c r="R103" s="694"/>
      <c r="S103" s="694"/>
      <c r="T103" s="694"/>
      <c r="U103" s="694"/>
      <c r="V103" s="694"/>
      <c r="W103" s="694"/>
      <c r="X103" s="694"/>
      <c r="Y103" s="694"/>
      <c r="Z103" s="694"/>
      <c r="AA103" s="694"/>
      <c r="AB103" s="694"/>
      <c r="AC103" s="694"/>
      <c r="AE103" s="179" t="s">
        <v>110</v>
      </c>
      <c r="AF103" s="709" t="s">
        <v>425</v>
      </c>
      <c r="AG103" s="709"/>
      <c r="AH103" s="709"/>
      <c r="AI103" s="709"/>
      <c r="AJ103" s="709"/>
      <c r="AK103" s="709"/>
      <c r="AL103" s="709"/>
      <c r="AM103" s="709"/>
      <c r="AN103" s="709"/>
      <c r="AO103" s="709"/>
      <c r="AP103" s="709"/>
      <c r="AQ103" s="709"/>
      <c r="AR103" s="709"/>
      <c r="AS103" s="709"/>
      <c r="AT103" s="709"/>
      <c r="AU103" s="709"/>
      <c r="AV103" s="709"/>
      <c r="AW103" s="709"/>
      <c r="AX103" s="709"/>
      <c r="AY103" s="709"/>
      <c r="AZ103" s="709"/>
      <c r="BA103" s="709"/>
      <c r="BB103" s="709"/>
      <c r="BC103" s="709"/>
      <c r="BD103" s="709"/>
      <c r="BE103" s="709"/>
      <c r="BF103" s="709"/>
      <c r="BG103" s="709"/>
    </row>
    <row r="104" spans="1:59" x14ac:dyDescent="0.2">
      <c r="A104" s="95"/>
      <c r="B104" s="694"/>
      <c r="C104" s="694"/>
      <c r="D104" s="694"/>
      <c r="E104" s="694"/>
      <c r="F104" s="694"/>
      <c r="G104" s="694"/>
      <c r="H104" s="694"/>
      <c r="I104" s="694"/>
      <c r="J104" s="694"/>
      <c r="K104" s="694"/>
      <c r="L104" s="694"/>
      <c r="M104" s="694"/>
      <c r="N104" s="694"/>
      <c r="O104" s="694"/>
      <c r="P104" s="694"/>
      <c r="Q104" s="694"/>
      <c r="R104" s="694"/>
      <c r="S104" s="694"/>
      <c r="T104" s="694"/>
      <c r="U104" s="694"/>
      <c r="V104" s="694"/>
      <c r="W104" s="694"/>
      <c r="X104" s="694"/>
      <c r="Y104" s="694"/>
      <c r="Z104" s="694"/>
      <c r="AA104" s="694"/>
      <c r="AB104" s="694"/>
      <c r="AC104" s="694"/>
      <c r="AE104" s="469"/>
      <c r="AF104" s="709"/>
      <c r="AG104" s="709"/>
      <c r="AH104" s="709"/>
      <c r="AI104" s="709"/>
      <c r="AJ104" s="709"/>
      <c r="AK104" s="709"/>
      <c r="AL104" s="709"/>
      <c r="AM104" s="709"/>
      <c r="AN104" s="709"/>
      <c r="AO104" s="709"/>
      <c r="AP104" s="709"/>
      <c r="AQ104" s="709"/>
      <c r="AR104" s="709"/>
      <c r="AS104" s="709"/>
      <c r="AT104" s="709"/>
      <c r="AU104" s="709"/>
      <c r="AV104" s="709"/>
      <c r="AW104" s="709"/>
      <c r="AX104" s="709"/>
      <c r="AY104" s="709"/>
      <c r="AZ104" s="709"/>
      <c r="BA104" s="709"/>
      <c r="BB104" s="709"/>
      <c r="BC104" s="709"/>
      <c r="BD104" s="709"/>
      <c r="BE104" s="709"/>
      <c r="BF104" s="709"/>
      <c r="BG104" s="709"/>
    </row>
    <row r="105" spans="1:59" ht="11.25" customHeight="1" x14ac:dyDescent="0.2">
      <c r="AE105" s="469"/>
      <c r="AF105" s="709"/>
      <c r="AG105" s="709"/>
      <c r="AH105" s="709"/>
      <c r="AI105" s="709"/>
      <c r="AJ105" s="709"/>
      <c r="AK105" s="709"/>
      <c r="AL105" s="709"/>
      <c r="AM105" s="709"/>
      <c r="AN105" s="709"/>
      <c r="AO105" s="709"/>
      <c r="AP105" s="709"/>
      <c r="AQ105" s="709"/>
      <c r="AR105" s="709"/>
      <c r="AS105" s="709"/>
      <c r="AT105" s="709"/>
      <c r="AU105" s="709"/>
      <c r="AV105" s="709"/>
      <c r="AW105" s="709"/>
      <c r="AX105" s="709"/>
      <c r="AY105" s="709"/>
      <c r="AZ105" s="709"/>
      <c r="BA105" s="709"/>
      <c r="BB105" s="709"/>
      <c r="BC105" s="709"/>
      <c r="BD105" s="709"/>
      <c r="BE105" s="709"/>
      <c r="BF105" s="709"/>
      <c r="BG105" s="709"/>
    </row>
    <row r="106" spans="1:59" x14ac:dyDescent="0.2">
      <c r="A106" s="711" t="s">
        <v>643</v>
      </c>
      <c r="B106" s="711"/>
      <c r="C106" s="711"/>
      <c r="D106" s="711"/>
      <c r="E106" s="711"/>
      <c r="F106" s="711"/>
      <c r="G106" s="711"/>
      <c r="H106" s="711"/>
      <c r="I106" s="711"/>
      <c r="J106" s="711"/>
      <c r="K106" s="711"/>
      <c r="L106" s="711"/>
      <c r="M106" s="711"/>
      <c r="N106" s="711"/>
      <c r="O106" s="711"/>
      <c r="P106" s="711"/>
      <c r="Q106" s="711"/>
      <c r="R106" s="711"/>
      <c r="S106" s="711"/>
      <c r="T106" s="711"/>
      <c r="U106" s="711"/>
      <c r="V106" s="711"/>
      <c r="W106" s="711"/>
      <c r="X106" s="711"/>
      <c r="Y106" s="711"/>
      <c r="Z106" s="711"/>
      <c r="AA106" s="711"/>
      <c r="AB106" s="711"/>
      <c r="AC106" s="711"/>
      <c r="AE106" s="179" t="s">
        <v>42</v>
      </c>
      <c r="AF106" s="709" t="s">
        <v>426</v>
      </c>
      <c r="AG106" s="709"/>
      <c r="AH106" s="709"/>
      <c r="AI106" s="709"/>
      <c r="AJ106" s="709"/>
      <c r="AK106" s="709"/>
      <c r="AL106" s="709"/>
      <c r="AM106" s="709"/>
      <c r="AN106" s="709"/>
      <c r="AO106" s="709"/>
      <c r="AP106" s="709"/>
      <c r="AQ106" s="709"/>
      <c r="AR106" s="709"/>
      <c r="AS106" s="709"/>
      <c r="AT106" s="709"/>
      <c r="AU106" s="709"/>
      <c r="AV106" s="709"/>
      <c r="AW106" s="709"/>
      <c r="AX106" s="709"/>
      <c r="AY106" s="709"/>
      <c r="AZ106" s="709"/>
      <c r="BA106" s="709"/>
      <c r="BB106" s="709"/>
      <c r="BC106" s="709"/>
      <c r="BD106" s="709"/>
      <c r="BE106" s="709"/>
      <c r="BF106" s="709"/>
      <c r="BG106" s="709"/>
    </row>
    <row r="107" spans="1:59" ht="11.25" customHeight="1" x14ac:dyDescent="0.2">
      <c r="A107" s="470"/>
      <c r="B107" s="470"/>
      <c r="C107" s="470"/>
      <c r="D107" s="470"/>
      <c r="E107" s="470"/>
      <c r="F107" s="470"/>
      <c r="G107" s="470"/>
      <c r="H107" s="470"/>
      <c r="I107" s="470"/>
      <c r="J107" s="470"/>
      <c r="K107" s="470"/>
      <c r="L107" s="470"/>
      <c r="M107" s="470"/>
      <c r="N107" s="470"/>
      <c r="O107" s="470"/>
      <c r="P107" s="470"/>
      <c r="Q107" s="470"/>
      <c r="R107" s="470"/>
      <c r="S107" s="470"/>
      <c r="T107" s="470"/>
      <c r="U107" s="470"/>
      <c r="V107" s="470"/>
      <c r="W107" s="470"/>
      <c r="X107" s="470"/>
      <c r="Y107" s="470"/>
      <c r="Z107" s="470"/>
      <c r="AA107" s="470"/>
      <c r="AB107" s="470"/>
      <c r="AC107" s="470"/>
      <c r="AE107" s="469"/>
      <c r="AF107" s="709"/>
      <c r="AG107" s="709"/>
      <c r="AH107" s="709"/>
      <c r="AI107" s="709"/>
      <c r="AJ107" s="709"/>
      <c r="AK107" s="709"/>
      <c r="AL107" s="709"/>
      <c r="AM107" s="709"/>
      <c r="AN107" s="709"/>
      <c r="AO107" s="709"/>
      <c r="AP107" s="709"/>
      <c r="AQ107" s="709"/>
      <c r="AR107" s="709"/>
      <c r="AS107" s="709"/>
      <c r="AT107" s="709"/>
      <c r="AU107" s="709"/>
      <c r="AV107" s="709"/>
      <c r="AW107" s="709"/>
      <c r="AX107" s="709"/>
      <c r="AY107" s="709"/>
      <c r="AZ107" s="709"/>
      <c r="BA107" s="709"/>
      <c r="BB107" s="709"/>
      <c r="BC107" s="709"/>
      <c r="BD107" s="709"/>
      <c r="BE107" s="709"/>
      <c r="BF107" s="709"/>
      <c r="BG107" s="709"/>
    </row>
    <row r="108" spans="1:59" x14ac:dyDescent="0.2">
      <c r="A108" s="464" t="s">
        <v>45</v>
      </c>
      <c r="B108" s="694" t="s">
        <v>38</v>
      </c>
      <c r="C108" s="694"/>
      <c r="D108" s="694"/>
      <c r="E108" s="694"/>
      <c r="F108" s="694"/>
      <c r="G108" s="694"/>
      <c r="H108" s="694"/>
      <c r="I108" s="694"/>
      <c r="J108" s="694"/>
      <c r="K108" s="694"/>
      <c r="L108" s="694"/>
      <c r="M108" s="694"/>
      <c r="N108" s="694"/>
      <c r="O108" s="694"/>
      <c r="P108" s="694"/>
      <c r="Q108" s="694"/>
      <c r="R108" s="694"/>
      <c r="S108" s="694"/>
      <c r="T108" s="694"/>
      <c r="U108" s="694"/>
      <c r="V108" s="694"/>
      <c r="W108" s="694"/>
      <c r="X108" s="694"/>
      <c r="Y108" s="694"/>
      <c r="Z108" s="694"/>
      <c r="AA108" s="694"/>
      <c r="AB108" s="694"/>
      <c r="AC108" s="694"/>
      <c r="AE108" s="469"/>
      <c r="AF108" s="709"/>
      <c r="AG108" s="709"/>
      <c r="AH108" s="709"/>
      <c r="AI108" s="709"/>
      <c r="AJ108" s="709"/>
      <c r="AK108" s="709"/>
      <c r="AL108" s="709"/>
      <c r="AM108" s="709"/>
      <c r="AN108" s="709"/>
      <c r="AO108" s="709"/>
      <c r="AP108" s="709"/>
      <c r="AQ108" s="709"/>
      <c r="AR108" s="709"/>
      <c r="AS108" s="709"/>
      <c r="AT108" s="709"/>
      <c r="AU108" s="709"/>
      <c r="AV108" s="709"/>
      <c r="AW108" s="709"/>
      <c r="AX108" s="709"/>
      <c r="AY108" s="709"/>
      <c r="AZ108" s="709"/>
      <c r="BA108" s="709"/>
      <c r="BB108" s="709"/>
      <c r="BC108" s="709"/>
      <c r="BD108" s="709"/>
      <c r="BE108" s="709"/>
      <c r="BF108" s="709"/>
      <c r="BG108" s="709"/>
    </row>
    <row r="109" spans="1:59" x14ac:dyDescent="0.2">
      <c r="B109" s="694"/>
      <c r="C109" s="694"/>
      <c r="D109" s="694"/>
      <c r="E109" s="694"/>
      <c r="F109" s="694"/>
      <c r="G109" s="694"/>
      <c r="H109" s="694"/>
      <c r="I109" s="694"/>
      <c r="J109" s="694"/>
      <c r="K109" s="694"/>
      <c r="L109" s="694"/>
      <c r="M109" s="694"/>
      <c r="N109" s="694"/>
      <c r="O109" s="694"/>
      <c r="P109" s="694"/>
      <c r="Q109" s="694"/>
      <c r="R109" s="694"/>
      <c r="S109" s="694"/>
      <c r="T109" s="694"/>
      <c r="U109" s="694"/>
      <c r="V109" s="694"/>
      <c r="W109" s="694"/>
      <c r="X109" s="694"/>
      <c r="Y109" s="694"/>
      <c r="Z109" s="694"/>
      <c r="AA109" s="694"/>
      <c r="AB109" s="694"/>
      <c r="AC109" s="694"/>
      <c r="AE109" s="695" t="s">
        <v>649</v>
      </c>
      <c r="AF109" s="695"/>
      <c r="AG109" s="695"/>
      <c r="AH109" s="695"/>
      <c r="AI109" s="695"/>
      <c r="AJ109" s="695"/>
      <c r="AK109" s="695"/>
      <c r="AL109" s="695"/>
      <c r="AM109" s="695"/>
      <c r="AN109" s="695"/>
      <c r="AO109" s="695"/>
      <c r="AP109" s="695"/>
      <c r="AQ109" s="695"/>
      <c r="AR109" s="695"/>
      <c r="AS109" s="695"/>
      <c r="AT109" s="695"/>
      <c r="AU109" s="695"/>
      <c r="AV109" s="695"/>
      <c r="AW109" s="695"/>
      <c r="AX109" s="695"/>
      <c r="AY109" s="695"/>
      <c r="AZ109" s="695"/>
      <c r="BA109" s="695"/>
      <c r="BB109" s="695"/>
      <c r="BC109" s="695"/>
      <c r="BD109" s="695"/>
      <c r="BE109" s="695"/>
      <c r="BF109" s="695"/>
      <c r="BG109" s="695"/>
    </row>
    <row r="110" spans="1:59" ht="11.25" customHeight="1" x14ac:dyDescent="0.2">
      <c r="B110" s="694"/>
      <c r="C110" s="694"/>
      <c r="D110" s="694"/>
      <c r="E110" s="694"/>
      <c r="F110" s="694"/>
      <c r="G110" s="694"/>
      <c r="H110" s="694"/>
      <c r="I110" s="694"/>
      <c r="J110" s="694"/>
      <c r="K110" s="694"/>
      <c r="L110" s="694"/>
      <c r="M110" s="694"/>
      <c r="N110" s="694"/>
      <c r="O110" s="694"/>
      <c r="P110" s="694"/>
      <c r="Q110" s="694"/>
      <c r="R110" s="694"/>
      <c r="S110" s="694"/>
      <c r="T110" s="694"/>
      <c r="U110" s="694"/>
      <c r="V110" s="694"/>
      <c r="W110" s="694"/>
      <c r="X110" s="694"/>
      <c r="Y110" s="694"/>
      <c r="Z110" s="694"/>
      <c r="AA110" s="694"/>
      <c r="AB110" s="694"/>
      <c r="AC110" s="694"/>
      <c r="AE110" s="456"/>
      <c r="AF110" s="456"/>
      <c r="AG110" s="456"/>
      <c r="AH110" s="456"/>
      <c r="AI110" s="456"/>
      <c r="AJ110" s="456"/>
      <c r="AK110" s="456"/>
      <c r="AL110" s="456"/>
      <c r="AM110" s="456"/>
      <c r="AN110" s="456"/>
      <c r="AO110" s="456"/>
      <c r="AP110" s="456"/>
      <c r="AQ110" s="456"/>
      <c r="AR110" s="456"/>
      <c r="AS110" s="456"/>
      <c r="AT110" s="456"/>
      <c r="AU110" s="456"/>
      <c r="AV110" s="456"/>
      <c r="AW110" s="456"/>
      <c r="AX110" s="456"/>
      <c r="AY110" s="456"/>
      <c r="AZ110" s="456"/>
      <c r="BA110" s="456"/>
      <c r="BB110" s="456"/>
      <c r="BC110" s="456"/>
      <c r="BD110" s="456"/>
      <c r="BE110" s="456"/>
      <c r="BF110" s="456"/>
      <c r="BG110" s="456"/>
    </row>
    <row r="111" spans="1:59" x14ac:dyDescent="0.2">
      <c r="A111" s="464" t="s">
        <v>44</v>
      </c>
      <c r="B111" s="694" t="s">
        <v>642</v>
      </c>
      <c r="C111" s="694"/>
      <c r="D111" s="694"/>
      <c r="E111" s="694"/>
      <c r="F111" s="694"/>
      <c r="G111" s="694"/>
      <c r="H111" s="694"/>
      <c r="I111" s="694"/>
      <c r="J111" s="694"/>
      <c r="K111" s="694"/>
      <c r="L111" s="694"/>
      <c r="M111" s="694"/>
      <c r="N111" s="694"/>
      <c r="O111" s="694"/>
      <c r="P111" s="694"/>
      <c r="Q111" s="694"/>
      <c r="R111" s="694"/>
      <c r="S111" s="694"/>
      <c r="T111" s="694"/>
      <c r="U111" s="694"/>
      <c r="V111" s="694"/>
      <c r="W111" s="694"/>
      <c r="X111" s="694"/>
      <c r="Y111" s="694"/>
      <c r="Z111" s="694"/>
      <c r="AA111" s="694"/>
      <c r="AB111" s="694"/>
      <c r="AC111" s="694"/>
      <c r="AE111" s="460" t="s">
        <v>650</v>
      </c>
      <c r="AF111" s="694" t="str">
        <f>"Bu müqavilənin məqsədlərinin həyata keçirilməsi ilə bağlı tərəflər arasında yaranan bütün mübahisələr Azərbaycan Respublikasının qanunvericiliyi ilə tənzimlənir. Bu zaman tərəflər "&amp;"arasında yaranan mübahisələr qanunvericiliklə tənzim edilə bilmədikdə bu sahədə təşəkkül tapan və geniş tətbiq edilən işgüzar adətlər tətbiq edilir."</f>
        <v>Bu müqavilənin məqsədlərinin həyata keçirilməsi ilə bağlı tərəflər arasında yaranan bütün mübahisələr Azərbaycan Respublikasının qanunvericiliyi ilə tənzimlənir. Bu zaman tərəflər arasında yaranan mübahisələr qanunvericiliklə tənzim edilə bilmədikdə bu sahədə təşəkkül tapan və geniş tətbiq edilən işgüzar adətlər tətbiq edilir.</v>
      </c>
      <c r="AG111" s="694"/>
      <c r="AH111" s="694"/>
      <c r="AI111" s="694"/>
      <c r="AJ111" s="694"/>
      <c r="AK111" s="694"/>
      <c r="AL111" s="694"/>
      <c r="AM111" s="694"/>
      <c r="AN111" s="694"/>
      <c r="AO111" s="694"/>
      <c r="AP111" s="694"/>
      <c r="AQ111" s="694"/>
      <c r="AR111" s="694"/>
      <c r="AS111" s="694"/>
      <c r="AT111" s="694"/>
      <c r="AU111" s="694"/>
      <c r="AV111" s="694"/>
      <c r="AW111" s="694"/>
      <c r="AX111" s="694"/>
      <c r="AY111" s="694"/>
      <c r="AZ111" s="694"/>
      <c r="BA111" s="694"/>
      <c r="BB111" s="694"/>
      <c r="BC111" s="694"/>
      <c r="BD111" s="694"/>
      <c r="BE111" s="694"/>
      <c r="BF111" s="694"/>
      <c r="BG111" s="694"/>
    </row>
    <row r="112" spans="1:59" x14ac:dyDescent="0.2">
      <c r="A112" s="95"/>
      <c r="B112" s="694"/>
      <c r="C112" s="694"/>
      <c r="D112" s="694"/>
      <c r="E112" s="694"/>
      <c r="F112" s="694"/>
      <c r="G112" s="694"/>
      <c r="H112" s="694"/>
      <c r="I112" s="694"/>
      <c r="J112" s="694"/>
      <c r="K112" s="694"/>
      <c r="L112" s="694"/>
      <c r="M112" s="694"/>
      <c r="N112" s="694"/>
      <c r="O112" s="694"/>
      <c r="P112" s="694"/>
      <c r="Q112" s="694"/>
      <c r="R112" s="694"/>
      <c r="S112" s="694"/>
      <c r="T112" s="694"/>
      <c r="U112" s="694"/>
      <c r="V112" s="694"/>
      <c r="W112" s="694"/>
      <c r="X112" s="694"/>
      <c r="Y112" s="694"/>
      <c r="Z112" s="694"/>
      <c r="AA112" s="694"/>
      <c r="AB112" s="694"/>
      <c r="AC112" s="694"/>
      <c r="AE112" s="460"/>
      <c r="AF112" s="694"/>
      <c r="AG112" s="694"/>
      <c r="AH112" s="694"/>
      <c r="AI112" s="694"/>
      <c r="AJ112" s="694"/>
      <c r="AK112" s="694"/>
      <c r="AL112" s="694"/>
      <c r="AM112" s="694"/>
      <c r="AN112" s="694"/>
      <c r="AO112" s="694"/>
      <c r="AP112" s="694"/>
      <c r="AQ112" s="694"/>
      <c r="AR112" s="694"/>
      <c r="AS112" s="694"/>
      <c r="AT112" s="694"/>
      <c r="AU112" s="694"/>
      <c r="AV112" s="694"/>
      <c r="AW112" s="694"/>
      <c r="AX112" s="694"/>
      <c r="AY112" s="694"/>
      <c r="AZ112" s="694"/>
      <c r="BA112" s="694"/>
      <c r="BB112" s="694"/>
      <c r="BC112" s="694"/>
      <c r="BD112" s="694"/>
      <c r="BE112" s="694"/>
      <c r="BF112" s="694"/>
      <c r="BG112" s="694"/>
    </row>
    <row r="113" spans="1:59" x14ac:dyDescent="0.2">
      <c r="A113" s="464" t="s">
        <v>644</v>
      </c>
      <c r="B113" s="694" t="str">
        <f>"«Borc alan» iş və ya ev ünvanını, şəxsiyyət vəsiqəsi məlumatlarını və ya şəxsiyyət vəsiqəsini, məşğul olduğu fəaliyyət sahəsini və ya iş yerini dəyişdiyi hallarda 10 (on) gün müddətinə  «Borc verən»ə yazılı şəkildə məlumat v"&amp;"erməlidir. Müqavilənin  bu tələbinə riayət edilməməsinə görə, habelə «Borc alan»ın biznesinin mahiyyəti mühüm dərəcədə dəyişdikdə  «Borc verən»  vurulmuş ziyanın öd"&amp;"ənilməsi  tələbi ilə çıxış etməklə bərabər, müqaviləyə xitam verməklə əsas  borcu, hesablanmış faizləri və bu müqavilə üzrə digər ödənişləri qabaqcadan vaxtından əvvəl geri tə"&amp;"ləb etmək hüququna malikdir."</f>
        <v>«Borc alan» iş və ya ev ünvanını, şəxsiyyət vəsiqəsi məlumatlarını və ya şəxsiyyət vəsiqəsini, məşğul olduğu fəaliyyət sahəsini və ya iş yerini dəyişdiyi hallarda 10 (on) gün müddətinə  «Borc verən»ə yazılı şəkildə məlumat verməlidir. Müqavilənin  bu tələbinə riayət edilməməsinə görə, habelə «Borc alan»ın biznesinin mahiyyəti mühüm dərəcədə dəyişdikdə  «Borc verən»  vurulmuş ziyanın ödənilməsi  tələbi ilə çıxış etməklə bərabər, müqaviləyə xitam verməklə əsas  borcu, hesablanmış faizləri və bu müqavilə üzrə digər ödənişləri qabaqcadan vaxtından əvvəl geri tələb etmək hüququna malikdir.</v>
      </c>
      <c r="C113" s="694"/>
      <c r="D113" s="694"/>
      <c r="E113" s="694"/>
      <c r="F113" s="694"/>
      <c r="G113" s="694"/>
      <c r="H113" s="694"/>
      <c r="I113" s="694"/>
      <c r="J113" s="694"/>
      <c r="K113" s="694"/>
      <c r="L113" s="694"/>
      <c r="M113" s="694"/>
      <c r="N113" s="694"/>
      <c r="O113" s="694"/>
      <c r="P113" s="694"/>
      <c r="Q113" s="694"/>
      <c r="R113" s="694"/>
      <c r="S113" s="694"/>
      <c r="T113" s="694"/>
      <c r="U113" s="694"/>
      <c r="V113" s="694"/>
      <c r="W113" s="694"/>
      <c r="X113" s="694"/>
      <c r="Y113" s="694"/>
      <c r="Z113" s="694"/>
      <c r="AA113" s="694"/>
      <c r="AB113" s="694"/>
      <c r="AC113" s="694"/>
      <c r="AF113" s="694"/>
      <c r="AG113" s="694"/>
      <c r="AH113" s="694"/>
      <c r="AI113" s="694"/>
      <c r="AJ113" s="694"/>
      <c r="AK113" s="694"/>
      <c r="AL113" s="694"/>
      <c r="AM113" s="694"/>
      <c r="AN113" s="694"/>
      <c r="AO113" s="694"/>
      <c r="AP113" s="694"/>
      <c r="AQ113" s="694"/>
      <c r="AR113" s="694"/>
      <c r="AS113" s="694"/>
      <c r="AT113" s="694"/>
      <c r="AU113" s="694"/>
      <c r="AV113" s="694"/>
      <c r="AW113" s="694"/>
      <c r="AX113" s="694"/>
      <c r="AY113" s="694"/>
      <c r="AZ113" s="694"/>
      <c r="BA113" s="694"/>
      <c r="BB113" s="694"/>
      <c r="BC113" s="694"/>
      <c r="BD113" s="694"/>
      <c r="BE113" s="694"/>
      <c r="BF113" s="694"/>
      <c r="BG113" s="694"/>
    </row>
    <row r="114" spans="1:59" x14ac:dyDescent="0.2">
      <c r="B114" s="694"/>
      <c r="C114" s="694"/>
      <c r="D114" s="694"/>
      <c r="E114" s="694"/>
      <c r="F114" s="694"/>
      <c r="G114" s="694"/>
      <c r="H114" s="694"/>
      <c r="I114" s="694"/>
      <c r="J114" s="694"/>
      <c r="K114" s="694"/>
      <c r="L114" s="694"/>
      <c r="M114" s="694"/>
      <c r="N114" s="694"/>
      <c r="O114" s="694"/>
      <c r="P114" s="694"/>
      <c r="Q114" s="694"/>
      <c r="R114" s="694"/>
      <c r="S114" s="694"/>
      <c r="T114" s="694"/>
      <c r="U114" s="694"/>
      <c r="V114" s="694"/>
      <c r="W114" s="694"/>
      <c r="X114" s="694"/>
      <c r="Y114" s="694"/>
      <c r="Z114" s="694"/>
      <c r="AA114" s="694"/>
      <c r="AB114" s="694"/>
      <c r="AC114" s="694"/>
      <c r="AF114" s="694"/>
      <c r="AG114" s="694"/>
      <c r="AH114" s="694"/>
      <c r="AI114" s="694"/>
      <c r="AJ114" s="694"/>
      <c r="AK114" s="694"/>
      <c r="AL114" s="694"/>
      <c r="AM114" s="694"/>
      <c r="AN114" s="694"/>
      <c r="AO114" s="694"/>
      <c r="AP114" s="694"/>
      <c r="AQ114" s="694"/>
      <c r="AR114" s="694"/>
      <c r="AS114" s="694"/>
      <c r="AT114" s="694"/>
      <c r="AU114" s="694"/>
      <c r="AV114" s="694"/>
      <c r="AW114" s="694"/>
      <c r="AX114" s="694"/>
      <c r="AY114" s="694"/>
      <c r="AZ114" s="694"/>
      <c r="BA114" s="694"/>
      <c r="BB114" s="694"/>
      <c r="BC114" s="694"/>
      <c r="BD114" s="694"/>
      <c r="BE114" s="694"/>
      <c r="BF114" s="694"/>
      <c r="BG114" s="694"/>
    </row>
    <row r="115" spans="1:59" ht="11.25" customHeight="1" x14ac:dyDescent="0.2">
      <c r="B115" s="694"/>
      <c r="C115" s="694"/>
      <c r="D115" s="694"/>
      <c r="E115" s="694"/>
      <c r="F115" s="694"/>
      <c r="G115" s="694"/>
      <c r="H115" s="694"/>
      <c r="I115" s="694"/>
      <c r="J115" s="694"/>
      <c r="K115" s="694"/>
      <c r="L115" s="694"/>
      <c r="M115" s="694"/>
      <c r="N115" s="694"/>
      <c r="O115" s="694"/>
      <c r="P115" s="694"/>
      <c r="Q115" s="694"/>
      <c r="R115" s="694"/>
      <c r="S115" s="694"/>
      <c r="T115" s="694"/>
      <c r="U115" s="694"/>
      <c r="V115" s="694"/>
      <c r="W115" s="694"/>
      <c r="X115" s="694"/>
      <c r="Y115" s="694"/>
      <c r="Z115" s="694"/>
      <c r="AA115" s="694"/>
      <c r="AB115" s="694"/>
      <c r="AC115" s="694"/>
      <c r="AF115" s="694"/>
      <c r="AG115" s="694"/>
      <c r="AH115" s="694"/>
      <c r="AI115" s="694"/>
      <c r="AJ115" s="694"/>
      <c r="AK115" s="694"/>
      <c r="AL115" s="694"/>
      <c r="AM115" s="694"/>
      <c r="AN115" s="694"/>
      <c r="AO115" s="694"/>
      <c r="AP115" s="694"/>
      <c r="AQ115" s="694"/>
      <c r="AR115" s="694"/>
      <c r="AS115" s="694"/>
      <c r="AT115" s="694"/>
      <c r="AU115" s="694"/>
      <c r="AV115" s="694"/>
      <c r="AW115" s="694"/>
      <c r="AX115" s="694"/>
      <c r="AY115" s="694"/>
      <c r="AZ115" s="694"/>
      <c r="BA115" s="694"/>
      <c r="BB115" s="694"/>
      <c r="BC115" s="694"/>
      <c r="BD115" s="694"/>
      <c r="BE115" s="694"/>
      <c r="BF115" s="694"/>
      <c r="BG115" s="694"/>
    </row>
    <row r="116" spans="1:59" ht="11.25" customHeight="1" x14ac:dyDescent="0.2">
      <c r="B116" s="694"/>
      <c r="C116" s="694"/>
      <c r="D116" s="694"/>
      <c r="E116" s="694"/>
      <c r="F116" s="694"/>
      <c r="G116" s="694"/>
      <c r="H116" s="694"/>
      <c r="I116" s="694"/>
      <c r="J116" s="694"/>
      <c r="K116" s="694"/>
      <c r="L116" s="694"/>
      <c r="M116" s="694"/>
      <c r="N116" s="694"/>
      <c r="O116" s="694"/>
      <c r="P116" s="694"/>
      <c r="Q116" s="694"/>
      <c r="R116" s="694"/>
      <c r="S116" s="694"/>
      <c r="T116" s="694"/>
      <c r="U116" s="694"/>
      <c r="V116" s="694"/>
      <c r="W116" s="694"/>
      <c r="X116" s="694"/>
      <c r="Y116" s="694"/>
      <c r="Z116" s="694"/>
      <c r="AA116" s="694"/>
      <c r="AB116" s="694"/>
      <c r="AC116" s="694"/>
      <c r="AE116" s="460" t="s">
        <v>40</v>
      </c>
      <c r="AF116" s="694" t="str">
        <f>"Tərəflər arasında bu müqavilənin icrası ilə bağlı yarana biləcək hər hansı fikir ayrılığı tərəflərin qarşılıqlı razılığı əsasında, belə razılıq əldə edilmədikdə isə Azərbaycan "&amp;"Respublikasının qanunvericiliyinə müvafiq qaydada aidiyyatı məhkəmələr tərəfindən həll edilir."</f>
        <v>Tərəflər arasında bu müqavilənin icrası ilə bağlı yarana biləcək hər hansı fikir ayrılığı tərəflərin qarşılıqlı razılığı əsasında, belə razılıq əldə edilmədikdə isə Azərbaycan Respublikasının qanunvericiliyinə müvafiq qaydada aidiyyatı məhkəmələr tərəfindən həll edilir.</v>
      </c>
      <c r="AG116" s="694"/>
      <c r="AH116" s="694"/>
      <c r="AI116" s="694"/>
      <c r="AJ116" s="694"/>
      <c r="AK116" s="694"/>
      <c r="AL116" s="694"/>
      <c r="AM116" s="694"/>
      <c r="AN116" s="694"/>
      <c r="AO116" s="694"/>
      <c r="AP116" s="694"/>
      <c r="AQ116" s="694"/>
      <c r="AR116" s="694"/>
      <c r="AS116" s="694"/>
      <c r="AT116" s="694"/>
      <c r="AU116" s="694"/>
      <c r="AV116" s="694"/>
      <c r="AW116" s="694"/>
      <c r="AX116" s="694"/>
      <c r="AY116" s="694"/>
      <c r="AZ116" s="694"/>
      <c r="BA116" s="694"/>
      <c r="BB116" s="694"/>
      <c r="BC116" s="694"/>
      <c r="BD116" s="694"/>
      <c r="BE116" s="694"/>
      <c r="BF116" s="694"/>
      <c r="BG116" s="694"/>
    </row>
    <row r="117" spans="1:59" x14ac:dyDescent="0.2">
      <c r="B117" s="694"/>
      <c r="C117" s="694"/>
      <c r="D117" s="694"/>
      <c r="E117" s="694"/>
      <c r="F117" s="694"/>
      <c r="G117" s="694"/>
      <c r="H117" s="694"/>
      <c r="I117" s="694"/>
      <c r="J117" s="694"/>
      <c r="K117" s="694"/>
      <c r="L117" s="694"/>
      <c r="M117" s="694"/>
      <c r="N117" s="694"/>
      <c r="O117" s="694"/>
      <c r="P117" s="694"/>
      <c r="Q117" s="694"/>
      <c r="R117" s="694"/>
      <c r="S117" s="694"/>
      <c r="T117" s="694"/>
      <c r="U117" s="694"/>
      <c r="V117" s="694"/>
      <c r="W117" s="694"/>
      <c r="X117" s="694"/>
      <c r="Y117" s="694"/>
      <c r="Z117" s="694"/>
      <c r="AA117" s="694"/>
      <c r="AB117" s="694"/>
      <c r="AC117" s="694"/>
      <c r="AF117" s="694"/>
      <c r="AG117" s="694"/>
      <c r="AH117" s="694"/>
      <c r="AI117" s="694"/>
      <c r="AJ117" s="694"/>
      <c r="AK117" s="694"/>
      <c r="AL117" s="694"/>
      <c r="AM117" s="694"/>
      <c r="AN117" s="694"/>
      <c r="AO117" s="694"/>
      <c r="AP117" s="694"/>
      <c r="AQ117" s="694"/>
      <c r="AR117" s="694"/>
      <c r="AS117" s="694"/>
      <c r="AT117" s="694"/>
      <c r="AU117" s="694"/>
      <c r="AV117" s="694"/>
      <c r="AW117" s="694"/>
      <c r="AX117" s="694"/>
      <c r="AY117" s="694"/>
      <c r="AZ117" s="694"/>
      <c r="BA117" s="694"/>
      <c r="BB117" s="694"/>
      <c r="BC117" s="694"/>
      <c r="BD117" s="694"/>
      <c r="BE117" s="694"/>
      <c r="BF117" s="694"/>
      <c r="BG117" s="694"/>
    </row>
    <row r="118" spans="1:59" x14ac:dyDescent="0.2">
      <c r="B118" s="694"/>
      <c r="C118" s="694"/>
      <c r="D118" s="694"/>
      <c r="E118" s="694"/>
      <c r="F118" s="694"/>
      <c r="G118" s="694"/>
      <c r="H118" s="694"/>
      <c r="I118" s="694"/>
      <c r="J118" s="694"/>
      <c r="K118" s="694"/>
      <c r="L118" s="694"/>
      <c r="M118" s="694"/>
      <c r="N118" s="694"/>
      <c r="O118" s="694"/>
      <c r="P118" s="694"/>
      <c r="Q118" s="694"/>
      <c r="R118" s="694"/>
      <c r="S118" s="694"/>
      <c r="T118" s="694"/>
      <c r="U118" s="694"/>
      <c r="V118" s="694"/>
      <c r="W118" s="694"/>
      <c r="X118" s="694"/>
      <c r="Y118" s="694"/>
      <c r="Z118" s="694"/>
      <c r="AA118" s="694"/>
      <c r="AB118" s="694"/>
      <c r="AC118" s="694"/>
      <c r="AF118" s="694"/>
      <c r="AG118" s="694"/>
      <c r="AH118" s="694"/>
      <c r="AI118" s="694"/>
      <c r="AJ118" s="694"/>
      <c r="AK118" s="694"/>
      <c r="AL118" s="694"/>
      <c r="AM118" s="694"/>
      <c r="AN118" s="694"/>
      <c r="AO118" s="694"/>
      <c r="AP118" s="694"/>
      <c r="AQ118" s="694"/>
      <c r="AR118" s="694"/>
      <c r="AS118" s="694"/>
      <c r="AT118" s="694"/>
      <c r="AU118" s="694"/>
      <c r="AV118" s="694"/>
      <c r="AW118" s="694"/>
      <c r="AX118" s="694"/>
      <c r="AY118" s="694"/>
      <c r="AZ118" s="694"/>
      <c r="BA118" s="694"/>
      <c r="BB118" s="694"/>
      <c r="BC118" s="694"/>
      <c r="BD118" s="694"/>
      <c r="BE118" s="694"/>
      <c r="BF118" s="694"/>
      <c r="BG118" s="694"/>
    </row>
    <row r="119" spans="1:59" x14ac:dyDescent="0.2">
      <c r="B119" s="694"/>
      <c r="C119" s="694"/>
      <c r="D119" s="694"/>
      <c r="E119" s="694"/>
      <c r="F119" s="694"/>
      <c r="G119" s="694"/>
      <c r="H119" s="694"/>
      <c r="I119" s="694"/>
      <c r="J119" s="694"/>
      <c r="K119" s="694"/>
      <c r="L119" s="694"/>
      <c r="M119" s="694"/>
      <c r="N119" s="694"/>
      <c r="O119" s="694"/>
      <c r="P119" s="694"/>
      <c r="Q119" s="694"/>
      <c r="R119" s="694"/>
      <c r="S119" s="694"/>
      <c r="T119" s="694"/>
      <c r="U119" s="694"/>
      <c r="V119" s="694"/>
      <c r="W119" s="694"/>
      <c r="X119" s="694"/>
      <c r="Y119" s="694"/>
      <c r="Z119" s="694"/>
      <c r="AA119" s="694"/>
      <c r="AB119" s="694"/>
      <c r="AC119" s="694"/>
      <c r="AF119" s="694"/>
      <c r="AG119" s="694"/>
      <c r="AH119" s="694"/>
      <c r="AI119" s="694"/>
      <c r="AJ119" s="694"/>
      <c r="AK119" s="694"/>
      <c r="AL119" s="694"/>
      <c r="AM119" s="694"/>
      <c r="AN119" s="694"/>
      <c r="AO119" s="694"/>
      <c r="AP119" s="694"/>
      <c r="AQ119" s="694"/>
      <c r="AR119" s="694"/>
      <c r="AS119" s="694"/>
      <c r="AT119" s="694"/>
      <c r="AU119" s="694"/>
      <c r="AV119" s="694"/>
      <c r="AW119" s="694"/>
      <c r="AX119" s="694"/>
      <c r="AY119" s="694"/>
      <c r="AZ119" s="694"/>
      <c r="BA119" s="694"/>
      <c r="BB119" s="694"/>
      <c r="BC119" s="694"/>
      <c r="BD119" s="694"/>
      <c r="BE119" s="694"/>
      <c r="BF119" s="694"/>
      <c r="BG119" s="694"/>
    </row>
    <row r="120" spans="1:59" x14ac:dyDescent="0.2">
      <c r="B120" s="694"/>
      <c r="C120" s="694"/>
      <c r="D120" s="694"/>
      <c r="E120" s="694"/>
      <c r="F120" s="694"/>
      <c r="G120" s="694"/>
      <c r="H120" s="694"/>
      <c r="I120" s="694"/>
      <c r="J120" s="694"/>
      <c r="K120" s="694"/>
      <c r="L120" s="694"/>
      <c r="M120" s="694"/>
      <c r="N120" s="694"/>
      <c r="O120" s="694"/>
      <c r="P120" s="694"/>
      <c r="Q120" s="694"/>
      <c r="R120" s="694"/>
      <c r="S120" s="694"/>
      <c r="T120" s="694"/>
      <c r="U120" s="694"/>
      <c r="V120" s="694"/>
      <c r="W120" s="694"/>
      <c r="X120" s="694"/>
      <c r="Y120" s="694"/>
      <c r="Z120" s="694"/>
      <c r="AA120" s="694"/>
      <c r="AB120" s="694"/>
      <c r="AC120" s="694"/>
      <c r="AF120" s="694"/>
      <c r="AG120" s="694"/>
      <c r="AH120" s="694"/>
      <c r="AI120" s="694"/>
      <c r="AJ120" s="694"/>
      <c r="AK120" s="694"/>
      <c r="AL120" s="694"/>
      <c r="AM120" s="694"/>
      <c r="AN120" s="694"/>
      <c r="AO120" s="694"/>
      <c r="AP120" s="694"/>
      <c r="AQ120" s="694"/>
      <c r="AR120" s="694"/>
      <c r="AS120" s="694"/>
      <c r="AT120" s="694"/>
      <c r="AU120" s="694"/>
      <c r="AV120" s="694"/>
      <c r="AW120" s="694"/>
      <c r="AX120" s="694"/>
      <c r="AY120" s="694"/>
      <c r="AZ120" s="694"/>
      <c r="BA120" s="694"/>
      <c r="BB120" s="694"/>
      <c r="BC120" s="694"/>
      <c r="BD120" s="694"/>
      <c r="BE120" s="694"/>
      <c r="BF120" s="694"/>
      <c r="BG120" s="694"/>
    </row>
    <row r="121" spans="1:59" x14ac:dyDescent="0.2">
      <c r="B121" s="694"/>
      <c r="C121" s="694"/>
      <c r="D121" s="694"/>
      <c r="E121" s="694"/>
      <c r="F121" s="694"/>
      <c r="G121" s="694"/>
      <c r="H121" s="694"/>
      <c r="I121" s="694"/>
      <c r="J121" s="694"/>
      <c r="K121" s="694"/>
      <c r="L121" s="694"/>
      <c r="M121" s="694"/>
      <c r="N121" s="694"/>
      <c r="O121" s="694"/>
      <c r="P121" s="694"/>
      <c r="Q121" s="694"/>
      <c r="R121" s="694"/>
      <c r="S121" s="694"/>
      <c r="T121" s="694"/>
      <c r="U121" s="694"/>
      <c r="V121" s="694"/>
      <c r="W121" s="694"/>
      <c r="X121" s="694"/>
      <c r="Y121" s="694"/>
      <c r="Z121" s="694"/>
      <c r="AA121" s="694"/>
      <c r="AB121" s="694"/>
      <c r="AC121" s="694"/>
      <c r="AE121" s="695" t="s">
        <v>854</v>
      </c>
      <c r="AF121" s="695"/>
      <c r="AG121" s="695"/>
      <c r="AH121" s="695"/>
      <c r="AI121" s="695"/>
      <c r="AJ121" s="695"/>
      <c r="AK121" s="695"/>
      <c r="AL121" s="695"/>
      <c r="AM121" s="695"/>
      <c r="AN121" s="695"/>
      <c r="AO121" s="695"/>
      <c r="AP121" s="695"/>
      <c r="AQ121" s="695"/>
      <c r="AR121" s="695"/>
      <c r="AS121" s="695"/>
      <c r="AT121" s="695"/>
      <c r="AU121" s="695"/>
      <c r="AV121" s="695"/>
      <c r="AW121" s="695"/>
      <c r="AX121" s="695"/>
      <c r="AY121" s="695"/>
      <c r="AZ121" s="695"/>
      <c r="BA121" s="695"/>
      <c r="BB121" s="695"/>
      <c r="BC121" s="695"/>
      <c r="BD121" s="695"/>
      <c r="BE121" s="695"/>
      <c r="BF121" s="695"/>
      <c r="BG121" s="455"/>
    </row>
    <row r="122" spans="1:59" ht="14.25" customHeight="1" x14ac:dyDescent="0.2">
      <c r="A122" s="456" t="s">
        <v>645</v>
      </c>
      <c r="B122" s="694" t="s">
        <v>446</v>
      </c>
      <c r="C122" s="694"/>
      <c r="D122" s="694"/>
      <c r="E122" s="694"/>
      <c r="F122" s="694"/>
      <c r="G122" s="694"/>
      <c r="H122" s="694"/>
      <c r="I122" s="694"/>
      <c r="J122" s="694"/>
      <c r="K122" s="694"/>
      <c r="L122" s="694"/>
      <c r="M122" s="694"/>
      <c r="N122" s="694"/>
      <c r="O122" s="694"/>
      <c r="P122" s="694"/>
      <c r="Q122" s="694"/>
      <c r="R122" s="694"/>
      <c r="S122" s="694"/>
      <c r="T122" s="694"/>
      <c r="U122" s="694"/>
      <c r="V122" s="694"/>
      <c r="W122" s="694"/>
      <c r="X122" s="694"/>
      <c r="Y122" s="694"/>
      <c r="Z122" s="694"/>
      <c r="AA122" s="694"/>
      <c r="AB122" s="694"/>
      <c r="AC122" s="694"/>
      <c r="AE122" s="456"/>
      <c r="AF122" s="456"/>
      <c r="AG122" s="456"/>
      <c r="AH122" s="456"/>
      <c r="AI122" s="456"/>
      <c r="AJ122" s="456"/>
      <c r="AK122" s="456"/>
      <c r="AL122" s="456"/>
      <c r="AM122" s="456"/>
      <c r="AN122" s="456"/>
      <c r="AO122" s="456"/>
      <c r="AP122" s="456"/>
      <c r="AQ122" s="456"/>
      <c r="AR122" s="456"/>
      <c r="AS122" s="456"/>
      <c r="AT122" s="456"/>
      <c r="AU122" s="456"/>
      <c r="AV122" s="456"/>
      <c r="AW122" s="456"/>
      <c r="AX122" s="456"/>
      <c r="AY122" s="456"/>
      <c r="AZ122" s="456"/>
      <c r="BA122" s="456"/>
      <c r="BB122" s="456"/>
      <c r="BC122" s="456"/>
      <c r="BD122" s="456"/>
      <c r="BE122" s="456"/>
      <c r="BF122" s="456"/>
      <c r="BG122" s="455"/>
    </row>
    <row r="123" spans="1:59" x14ac:dyDescent="0.2">
      <c r="B123" s="694"/>
      <c r="C123" s="694"/>
      <c r="D123" s="694"/>
      <c r="E123" s="694"/>
      <c r="F123" s="694"/>
      <c r="G123" s="694"/>
      <c r="H123" s="694"/>
      <c r="I123" s="694"/>
      <c r="J123" s="694"/>
      <c r="K123" s="694"/>
      <c r="L123" s="694"/>
      <c r="M123" s="694"/>
      <c r="N123" s="694"/>
      <c r="O123" s="694"/>
      <c r="P123" s="694"/>
      <c r="Q123" s="694"/>
      <c r="R123" s="694"/>
      <c r="S123" s="694"/>
      <c r="T123" s="694"/>
      <c r="U123" s="694"/>
      <c r="V123" s="694"/>
      <c r="W123" s="694"/>
      <c r="X123" s="694"/>
      <c r="Y123" s="694"/>
      <c r="Z123" s="694"/>
      <c r="AA123" s="694"/>
      <c r="AB123" s="694"/>
      <c r="AC123" s="694"/>
      <c r="AE123" s="460" t="s">
        <v>855</v>
      </c>
      <c r="AF123" s="694" t="s">
        <v>447</v>
      </c>
      <c r="AG123" s="694"/>
      <c r="AH123" s="694"/>
      <c r="AI123" s="694"/>
      <c r="AJ123" s="694"/>
      <c r="AK123" s="694"/>
      <c r="AL123" s="694"/>
      <c r="AM123" s="694"/>
      <c r="AN123" s="694"/>
      <c r="AO123" s="694"/>
      <c r="AP123" s="694"/>
      <c r="AQ123" s="694"/>
      <c r="AR123" s="694"/>
      <c r="AS123" s="694"/>
      <c r="AT123" s="694"/>
      <c r="AU123" s="694"/>
      <c r="AV123" s="694"/>
      <c r="AW123" s="694"/>
      <c r="AX123" s="694"/>
      <c r="AY123" s="694"/>
      <c r="AZ123" s="694"/>
      <c r="BA123" s="694"/>
      <c r="BB123" s="694"/>
      <c r="BC123" s="694"/>
      <c r="BD123" s="694"/>
      <c r="BE123" s="694"/>
      <c r="BF123" s="694"/>
      <c r="BG123" s="694"/>
    </row>
    <row r="124" spans="1:59" x14ac:dyDescent="0.2">
      <c r="A124" s="456" t="s">
        <v>41</v>
      </c>
      <c r="B124" s="694" t="str">
        <f>"Tərəflər razılaşırlar ki, «Borc alan» tərəfindən yubatma və ya krediti qaytarmaqdan imtina ilə əlaqədar  «Borc verən» tərəfindən çəkilən  bütün xərclər «Borc alan» tərəfindən"&amp;" ödənilməlidir. Bu xərclərə məhkəməyə müraciət etmək üçün ödənilən dövlət rüsumu, nümayəndəlik xərcləri, o cümlədən  «Borc verən»in nümayəndəsi ilə bağlı olan ezamiyyə, nəqliyyat və digər xərclər, məhkəmə qərarlarının icrası ilə bağlı bütün "&amp;"xərclər, «Borc alan»la yazışmaya sərf edilən poçt xərcləri, tələbin müqavilə üzrə nəzərdə tutulan hər hansı bir təminata yönəldilməsi ilə ə"&amp;"laqədar meydana çıxan bütün xərclər də daxildir, lakin xərclər bununla məhdudlaşmır."</f>
        <v>Tərəflər razılaşırlar ki, «Borc alan» tərəfindən yubatma və ya krediti qaytarmaqdan imtina ilə əlaqədar  «Borc verən» tərəfindən çəkilən  bütün xərclər «Borc alan» tərəfindən ödənilməlidir. Bu xərclərə məhkəməyə müraciət etmək üçün ödənilən dövlət rüsumu, nümayəndəlik xərcləri, o cümlədən  «Borc verən»in nümayəndəsi ilə bağlı olan ezamiyyə, nəqliyyat və digər xərclər, məhkəmə qərarlarının icrası ilə bağlı bütün xərclər, «Borc alan»la yazışmaya sərf edilən poçt xərcləri, tələbin müqavilə üzrə nəzərdə tutulan hər hansı bir təminata yönəldilməsi ilə əlaqədar meydana çıxan bütün xərclər də daxildir, lakin xərclər bununla məhdudlaşmır.</v>
      </c>
      <c r="C124" s="694"/>
      <c r="D124" s="694"/>
      <c r="E124" s="694"/>
      <c r="F124" s="694"/>
      <c r="G124" s="694"/>
      <c r="H124" s="694"/>
      <c r="I124" s="694"/>
      <c r="J124" s="694"/>
      <c r="K124" s="694"/>
      <c r="L124" s="694"/>
      <c r="M124" s="694"/>
      <c r="N124" s="694"/>
      <c r="O124" s="694"/>
      <c r="P124" s="694"/>
      <c r="Q124" s="694"/>
      <c r="R124" s="694"/>
      <c r="S124" s="694"/>
      <c r="T124" s="694"/>
      <c r="U124" s="694"/>
      <c r="V124" s="694"/>
      <c r="W124" s="694"/>
      <c r="X124" s="694"/>
      <c r="Y124" s="694"/>
      <c r="Z124" s="694"/>
      <c r="AA124" s="694"/>
      <c r="AB124" s="694"/>
      <c r="AC124" s="694"/>
      <c r="AF124" s="694"/>
      <c r="AG124" s="694"/>
      <c r="AH124" s="694"/>
      <c r="AI124" s="694"/>
      <c r="AJ124" s="694"/>
      <c r="AK124" s="694"/>
      <c r="AL124" s="694"/>
      <c r="AM124" s="694"/>
      <c r="AN124" s="694"/>
      <c r="AO124" s="694"/>
      <c r="AP124" s="694"/>
      <c r="AQ124" s="694"/>
      <c r="AR124" s="694"/>
      <c r="AS124" s="694"/>
      <c r="AT124" s="694"/>
      <c r="AU124" s="694"/>
      <c r="AV124" s="694"/>
      <c r="AW124" s="694"/>
      <c r="AX124" s="694"/>
      <c r="AY124" s="694"/>
      <c r="AZ124" s="694"/>
      <c r="BA124" s="694"/>
      <c r="BB124" s="694"/>
      <c r="BC124" s="694"/>
      <c r="BD124" s="694"/>
      <c r="BE124" s="694"/>
      <c r="BF124" s="694"/>
      <c r="BG124" s="694"/>
    </row>
    <row r="125" spans="1:59" x14ac:dyDescent="0.2">
      <c r="B125" s="694"/>
      <c r="C125" s="694"/>
      <c r="D125" s="694"/>
      <c r="E125" s="694"/>
      <c r="F125" s="694"/>
      <c r="G125" s="694"/>
      <c r="H125" s="694"/>
      <c r="I125" s="694"/>
      <c r="J125" s="694"/>
      <c r="K125" s="694"/>
      <c r="L125" s="694"/>
      <c r="M125" s="694"/>
      <c r="N125" s="694"/>
      <c r="O125" s="694"/>
      <c r="P125" s="694"/>
      <c r="Q125" s="694"/>
      <c r="R125" s="694"/>
      <c r="S125" s="694"/>
      <c r="T125" s="694"/>
      <c r="U125" s="694"/>
      <c r="V125" s="694"/>
      <c r="W125" s="694"/>
      <c r="X125" s="694"/>
      <c r="Y125" s="694"/>
      <c r="Z125" s="694"/>
      <c r="AA125" s="694"/>
      <c r="AB125" s="694"/>
      <c r="AC125" s="694"/>
      <c r="AE125" s="95"/>
      <c r="AF125" s="694"/>
      <c r="AG125" s="694"/>
      <c r="AH125" s="694"/>
      <c r="AI125" s="694"/>
      <c r="AJ125" s="694"/>
      <c r="AK125" s="694"/>
      <c r="AL125" s="694"/>
      <c r="AM125" s="694"/>
      <c r="AN125" s="694"/>
      <c r="AO125" s="694"/>
      <c r="AP125" s="694"/>
      <c r="AQ125" s="694"/>
      <c r="AR125" s="694"/>
      <c r="AS125" s="694"/>
      <c r="AT125" s="694"/>
      <c r="AU125" s="694"/>
      <c r="AV125" s="694"/>
      <c r="AW125" s="694"/>
      <c r="AX125" s="694"/>
      <c r="AY125" s="694"/>
      <c r="AZ125" s="694"/>
      <c r="BA125" s="694"/>
      <c r="BB125" s="694"/>
      <c r="BC125" s="694"/>
      <c r="BD125" s="694"/>
      <c r="BE125" s="694"/>
      <c r="BF125" s="694"/>
      <c r="BG125" s="694"/>
    </row>
    <row r="126" spans="1:59" x14ac:dyDescent="0.2">
      <c r="B126" s="694"/>
      <c r="C126" s="694"/>
      <c r="D126" s="694"/>
      <c r="E126" s="694"/>
      <c r="F126" s="694"/>
      <c r="G126" s="694"/>
      <c r="H126" s="694"/>
      <c r="I126" s="694"/>
      <c r="J126" s="694"/>
      <c r="K126" s="694"/>
      <c r="L126" s="694"/>
      <c r="M126" s="694"/>
      <c r="N126" s="694"/>
      <c r="O126" s="694"/>
      <c r="P126" s="694"/>
      <c r="Q126" s="694"/>
      <c r="R126" s="694"/>
      <c r="S126" s="694"/>
      <c r="T126" s="694"/>
      <c r="U126" s="694"/>
      <c r="V126" s="694"/>
      <c r="W126" s="694"/>
      <c r="X126" s="694"/>
      <c r="Y126" s="694"/>
      <c r="Z126" s="694"/>
      <c r="AA126" s="694"/>
      <c r="AB126" s="694"/>
      <c r="AC126" s="694"/>
      <c r="AE126" s="460" t="s">
        <v>856</v>
      </c>
      <c r="AF126" s="694" t="s">
        <v>36</v>
      </c>
      <c r="AG126" s="694"/>
      <c r="AH126" s="694"/>
      <c r="AI126" s="694"/>
      <c r="AJ126" s="694"/>
      <c r="AK126" s="694"/>
      <c r="AL126" s="694"/>
      <c r="AM126" s="694"/>
      <c r="AN126" s="694"/>
      <c r="AO126" s="694"/>
      <c r="AP126" s="694"/>
      <c r="AQ126" s="694"/>
      <c r="AR126" s="694"/>
      <c r="AS126" s="694"/>
      <c r="AT126" s="694"/>
      <c r="AU126" s="694"/>
      <c r="AV126" s="694"/>
      <c r="AW126" s="694"/>
      <c r="AX126" s="694"/>
      <c r="AY126" s="694"/>
      <c r="AZ126" s="694"/>
      <c r="BA126" s="694"/>
      <c r="BB126" s="694"/>
      <c r="BC126" s="694"/>
      <c r="BD126" s="694"/>
      <c r="BE126" s="694"/>
      <c r="BF126" s="694"/>
      <c r="BG126" s="694"/>
    </row>
    <row r="127" spans="1:59" ht="11.25" customHeight="1" x14ac:dyDescent="0.2">
      <c r="B127" s="694"/>
      <c r="C127" s="694"/>
      <c r="D127" s="694"/>
      <c r="E127" s="694"/>
      <c r="F127" s="694"/>
      <c r="G127" s="694"/>
      <c r="H127" s="694"/>
      <c r="I127" s="694"/>
      <c r="J127" s="694"/>
      <c r="K127" s="694"/>
      <c r="L127" s="694"/>
      <c r="M127" s="694"/>
      <c r="N127" s="694"/>
      <c r="O127" s="694"/>
      <c r="P127" s="694"/>
      <c r="Q127" s="694"/>
      <c r="R127" s="694"/>
      <c r="S127" s="694"/>
      <c r="T127" s="694"/>
      <c r="U127" s="694"/>
      <c r="V127" s="694"/>
      <c r="W127" s="694"/>
      <c r="X127" s="694"/>
      <c r="Y127" s="694"/>
      <c r="Z127" s="694"/>
      <c r="AA127" s="694"/>
      <c r="AB127" s="694"/>
      <c r="AC127" s="694"/>
      <c r="AE127" s="460"/>
      <c r="AF127" s="694"/>
      <c r="AG127" s="694"/>
      <c r="AH127" s="694"/>
      <c r="AI127" s="694"/>
      <c r="AJ127" s="694"/>
      <c r="AK127" s="694"/>
      <c r="AL127" s="694"/>
      <c r="AM127" s="694"/>
      <c r="AN127" s="694"/>
      <c r="AO127" s="694"/>
      <c r="AP127" s="694"/>
      <c r="AQ127" s="694"/>
      <c r="AR127" s="694"/>
      <c r="AS127" s="694"/>
      <c r="AT127" s="694"/>
      <c r="AU127" s="694"/>
      <c r="AV127" s="694"/>
      <c r="AW127" s="694"/>
      <c r="AX127" s="694"/>
      <c r="AY127" s="694"/>
      <c r="AZ127" s="694"/>
      <c r="BA127" s="694"/>
      <c r="BB127" s="694"/>
      <c r="BC127" s="694"/>
      <c r="BD127" s="694"/>
      <c r="BE127" s="694"/>
      <c r="BF127" s="694"/>
      <c r="BG127" s="694"/>
    </row>
    <row r="128" spans="1:59" x14ac:dyDescent="0.2">
      <c r="B128" s="694"/>
      <c r="C128" s="694"/>
      <c r="D128" s="694"/>
      <c r="E128" s="694"/>
      <c r="F128" s="694"/>
      <c r="G128" s="694"/>
      <c r="H128" s="694"/>
      <c r="I128" s="694"/>
      <c r="J128" s="694"/>
      <c r="K128" s="694"/>
      <c r="L128" s="694"/>
      <c r="M128" s="694"/>
      <c r="N128" s="694"/>
      <c r="O128" s="694"/>
      <c r="P128" s="694"/>
      <c r="Q128" s="694"/>
      <c r="R128" s="694"/>
      <c r="S128" s="694"/>
      <c r="T128" s="694"/>
      <c r="U128" s="694"/>
      <c r="V128" s="694"/>
      <c r="W128" s="694"/>
      <c r="X128" s="694"/>
      <c r="Y128" s="694"/>
      <c r="Z128" s="694"/>
      <c r="AA128" s="694"/>
      <c r="AB128" s="694"/>
      <c r="AC128" s="694"/>
      <c r="AF128" s="694"/>
      <c r="AG128" s="694"/>
      <c r="AH128" s="694"/>
      <c r="AI128" s="694"/>
      <c r="AJ128" s="694"/>
      <c r="AK128" s="694"/>
      <c r="AL128" s="694"/>
      <c r="AM128" s="694"/>
      <c r="AN128" s="694"/>
      <c r="AO128" s="694"/>
      <c r="AP128" s="694"/>
      <c r="AQ128" s="694"/>
      <c r="AR128" s="694"/>
      <c r="AS128" s="694"/>
      <c r="AT128" s="694"/>
      <c r="AU128" s="694"/>
      <c r="AV128" s="694"/>
      <c r="AW128" s="694"/>
      <c r="AX128" s="694"/>
      <c r="AY128" s="694"/>
      <c r="AZ128" s="694"/>
      <c r="BA128" s="694"/>
      <c r="BB128" s="694"/>
      <c r="BC128" s="694"/>
      <c r="BD128" s="694"/>
      <c r="BE128" s="694"/>
      <c r="BF128" s="694"/>
      <c r="BG128" s="694"/>
    </row>
    <row r="129" spans="1:59" x14ac:dyDescent="0.2">
      <c r="B129" s="694"/>
      <c r="C129" s="694"/>
      <c r="D129" s="694"/>
      <c r="E129" s="694"/>
      <c r="F129" s="694"/>
      <c r="G129" s="694"/>
      <c r="H129" s="694"/>
      <c r="I129" s="694"/>
      <c r="J129" s="694"/>
      <c r="K129" s="694"/>
      <c r="L129" s="694"/>
      <c r="M129" s="694"/>
      <c r="N129" s="694"/>
      <c r="O129" s="694"/>
      <c r="P129" s="694"/>
      <c r="Q129" s="694"/>
      <c r="R129" s="694"/>
      <c r="S129" s="694"/>
      <c r="T129" s="694"/>
      <c r="U129" s="694"/>
      <c r="V129" s="694"/>
      <c r="W129" s="694"/>
      <c r="X129" s="694"/>
      <c r="Y129" s="694"/>
      <c r="Z129" s="694"/>
      <c r="AA129" s="694"/>
      <c r="AB129" s="694"/>
      <c r="AC129" s="694"/>
      <c r="AF129" s="694"/>
      <c r="AG129" s="694"/>
      <c r="AH129" s="694"/>
      <c r="AI129" s="694"/>
      <c r="AJ129" s="694"/>
      <c r="AK129" s="694"/>
      <c r="AL129" s="694"/>
      <c r="AM129" s="694"/>
      <c r="AN129" s="694"/>
      <c r="AO129" s="694"/>
      <c r="AP129" s="694"/>
      <c r="AQ129" s="694"/>
      <c r="AR129" s="694"/>
      <c r="AS129" s="694"/>
      <c r="AT129" s="694"/>
      <c r="AU129" s="694"/>
      <c r="AV129" s="694"/>
      <c r="AW129" s="694"/>
      <c r="AX129" s="694"/>
      <c r="AY129" s="694"/>
      <c r="AZ129" s="694"/>
      <c r="BA129" s="694"/>
      <c r="BB129" s="694"/>
      <c r="BC129" s="694"/>
      <c r="BD129" s="694"/>
      <c r="BE129" s="694"/>
      <c r="BF129" s="694"/>
      <c r="BG129" s="694"/>
    </row>
    <row r="130" spans="1:59" ht="11.25" customHeight="1" x14ac:dyDescent="0.2">
      <c r="B130" s="694"/>
      <c r="C130" s="694"/>
      <c r="D130" s="694"/>
      <c r="E130" s="694"/>
      <c r="F130" s="694"/>
      <c r="G130" s="694"/>
      <c r="H130" s="694"/>
      <c r="I130" s="694"/>
      <c r="J130" s="694"/>
      <c r="K130" s="694"/>
      <c r="L130" s="694"/>
      <c r="M130" s="694"/>
      <c r="N130" s="694"/>
      <c r="O130" s="694"/>
      <c r="P130" s="694"/>
      <c r="Q130" s="694"/>
      <c r="R130" s="694"/>
      <c r="S130" s="694"/>
      <c r="T130" s="694"/>
      <c r="U130" s="694"/>
      <c r="V130" s="694"/>
      <c r="W130" s="694"/>
      <c r="X130" s="694"/>
      <c r="Y130" s="694"/>
      <c r="Z130" s="694"/>
      <c r="AA130" s="694"/>
      <c r="AB130" s="694"/>
      <c r="AC130" s="694"/>
      <c r="AE130" s="92" t="s">
        <v>857</v>
      </c>
      <c r="AF130" s="694" t="s">
        <v>417</v>
      </c>
      <c r="AG130" s="694"/>
      <c r="AH130" s="694"/>
      <c r="AI130" s="694"/>
      <c r="AJ130" s="694"/>
      <c r="AK130" s="694"/>
      <c r="AL130" s="694"/>
      <c r="AM130" s="694"/>
      <c r="AN130" s="694"/>
      <c r="AO130" s="694"/>
      <c r="AP130" s="694"/>
      <c r="AQ130" s="694"/>
      <c r="AR130" s="694"/>
      <c r="AS130" s="694"/>
      <c r="AT130" s="694"/>
      <c r="AU130" s="694"/>
      <c r="AV130" s="694"/>
      <c r="AW130" s="694"/>
      <c r="AX130" s="694"/>
      <c r="AY130" s="694"/>
      <c r="AZ130" s="694"/>
      <c r="BA130" s="694"/>
      <c r="BB130" s="694"/>
      <c r="BC130" s="694"/>
      <c r="BD130" s="694"/>
      <c r="BE130" s="694"/>
      <c r="BF130" s="694"/>
      <c r="BG130" s="694"/>
    </row>
    <row r="131" spans="1:59" x14ac:dyDescent="0.2">
      <c r="B131" s="694"/>
      <c r="C131" s="694"/>
      <c r="D131" s="694"/>
      <c r="E131" s="694"/>
      <c r="F131" s="694"/>
      <c r="G131" s="694"/>
      <c r="H131" s="694"/>
      <c r="I131" s="694"/>
      <c r="J131" s="694"/>
      <c r="K131" s="694"/>
      <c r="L131" s="694"/>
      <c r="M131" s="694"/>
      <c r="N131" s="694"/>
      <c r="O131" s="694"/>
      <c r="P131" s="694"/>
      <c r="Q131" s="694"/>
      <c r="R131" s="694"/>
      <c r="S131" s="694"/>
      <c r="T131" s="694"/>
      <c r="U131" s="694"/>
      <c r="V131" s="694"/>
      <c r="W131" s="694"/>
      <c r="X131" s="694"/>
      <c r="Y131" s="694"/>
      <c r="Z131" s="694"/>
      <c r="AA131" s="694"/>
      <c r="AB131" s="694"/>
      <c r="AC131" s="694"/>
      <c r="AE131" s="92"/>
      <c r="AF131" s="694"/>
      <c r="AG131" s="694"/>
      <c r="AH131" s="694"/>
      <c r="AI131" s="694"/>
      <c r="AJ131" s="694"/>
      <c r="AK131" s="694"/>
      <c r="AL131" s="694"/>
      <c r="AM131" s="694"/>
      <c r="AN131" s="694"/>
      <c r="AO131" s="694"/>
      <c r="AP131" s="694"/>
      <c r="AQ131" s="694"/>
      <c r="AR131" s="694"/>
      <c r="AS131" s="694"/>
      <c r="AT131" s="694"/>
      <c r="AU131" s="694"/>
      <c r="AV131" s="694"/>
      <c r="AW131" s="694"/>
      <c r="AX131" s="694"/>
      <c r="AY131" s="694"/>
      <c r="AZ131" s="694"/>
      <c r="BA131" s="694"/>
      <c r="BB131" s="694"/>
      <c r="BC131" s="694"/>
      <c r="BD131" s="694"/>
      <c r="BE131" s="694"/>
      <c r="BF131" s="694"/>
      <c r="BG131" s="694"/>
    </row>
    <row r="132" spans="1:59" x14ac:dyDescent="0.2">
      <c r="B132" s="694"/>
      <c r="C132" s="694"/>
      <c r="D132" s="694"/>
      <c r="E132" s="694"/>
      <c r="F132" s="694"/>
      <c r="G132" s="694"/>
      <c r="H132" s="694"/>
      <c r="I132" s="694"/>
      <c r="J132" s="694"/>
      <c r="K132" s="694"/>
      <c r="L132" s="694"/>
      <c r="M132" s="694"/>
      <c r="N132" s="694"/>
      <c r="O132" s="694"/>
      <c r="P132" s="694"/>
      <c r="Q132" s="694"/>
      <c r="R132" s="694"/>
      <c r="S132" s="694"/>
      <c r="T132" s="694"/>
      <c r="U132" s="694"/>
      <c r="V132" s="694"/>
      <c r="W132" s="694"/>
      <c r="X132" s="694"/>
      <c r="Y132" s="694"/>
      <c r="Z132" s="694"/>
      <c r="AA132" s="694"/>
      <c r="AB132" s="694"/>
      <c r="AC132" s="694"/>
      <c r="AF132" s="694"/>
      <c r="AG132" s="694"/>
      <c r="AH132" s="694"/>
      <c r="AI132" s="694"/>
      <c r="AJ132" s="694"/>
      <c r="AK132" s="694"/>
      <c r="AL132" s="694"/>
      <c r="AM132" s="694"/>
      <c r="AN132" s="694"/>
      <c r="AO132" s="694"/>
      <c r="AP132" s="694"/>
      <c r="AQ132" s="694"/>
      <c r="AR132" s="694"/>
      <c r="AS132" s="694"/>
      <c r="AT132" s="694"/>
      <c r="AU132" s="694"/>
      <c r="AV132" s="694"/>
      <c r="AW132" s="694"/>
      <c r="AX132" s="694"/>
      <c r="AY132" s="694"/>
      <c r="AZ132" s="694"/>
      <c r="BA132" s="694"/>
      <c r="BB132" s="694"/>
      <c r="BC132" s="694"/>
      <c r="BD132" s="694"/>
      <c r="BE132" s="694"/>
      <c r="BF132" s="694"/>
      <c r="BG132" s="694"/>
    </row>
    <row r="133" spans="1:59" x14ac:dyDescent="0.2">
      <c r="AD133" s="87"/>
      <c r="AF133" s="694"/>
      <c r="AG133" s="694"/>
      <c r="AH133" s="694"/>
      <c r="AI133" s="694"/>
      <c r="AJ133" s="694"/>
      <c r="AK133" s="694"/>
      <c r="AL133" s="694"/>
      <c r="AM133" s="694"/>
      <c r="AN133" s="694"/>
      <c r="AO133" s="694"/>
      <c r="AP133" s="694"/>
      <c r="AQ133" s="694"/>
      <c r="AR133" s="694"/>
      <c r="AS133" s="694"/>
      <c r="AT133" s="694"/>
      <c r="AU133" s="694"/>
      <c r="AV133" s="694"/>
      <c r="AW133" s="694"/>
      <c r="AX133" s="694"/>
      <c r="AY133" s="694"/>
      <c r="AZ133" s="694"/>
      <c r="BA133" s="694"/>
      <c r="BB133" s="694"/>
      <c r="BC133" s="694"/>
      <c r="BD133" s="694"/>
      <c r="BE133" s="694"/>
      <c r="BF133" s="694"/>
      <c r="BG133" s="694"/>
    </row>
    <row r="134" spans="1:59" ht="11.25" customHeight="1" x14ac:dyDescent="0.2">
      <c r="AD134" s="87"/>
      <c r="AF134" s="468"/>
      <c r="AG134" s="468"/>
    </row>
    <row r="135" spans="1:59" ht="11.25" customHeight="1" x14ac:dyDescent="0.2">
      <c r="A135" s="720" t="s">
        <v>35</v>
      </c>
      <c r="B135" s="720"/>
      <c r="C135" s="720"/>
      <c r="D135" s="720"/>
      <c r="E135" s="720"/>
      <c r="F135" s="720"/>
      <c r="G135" s="720"/>
      <c r="H135" s="720"/>
      <c r="I135" s="720"/>
      <c r="J135" s="720"/>
      <c r="K135" s="720"/>
      <c r="L135" s="720"/>
      <c r="M135" s="720"/>
      <c r="N135" s="720"/>
      <c r="O135" s="720"/>
      <c r="P135" s="720"/>
      <c r="Q135" s="720"/>
      <c r="R135" s="720"/>
      <c r="S135" s="720"/>
      <c r="T135" s="720"/>
      <c r="U135" s="720"/>
      <c r="V135" s="720"/>
      <c r="W135" s="720"/>
      <c r="X135" s="720"/>
      <c r="Y135" s="720"/>
      <c r="Z135" s="720"/>
      <c r="AA135" s="720"/>
      <c r="AB135" s="720"/>
      <c r="AC135" s="720"/>
      <c r="AD135" s="720"/>
      <c r="AE135" s="720"/>
      <c r="AF135" s="720"/>
      <c r="AG135" s="720"/>
      <c r="AH135" s="720"/>
      <c r="AI135" s="720"/>
      <c r="AJ135" s="720"/>
      <c r="AK135" s="720"/>
      <c r="AL135" s="720"/>
      <c r="AM135" s="720"/>
      <c r="AN135" s="720"/>
      <c r="AO135" s="720"/>
      <c r="AP135" s="720"/>
      <c r="AQ135" s="720"/>
      <c r="AR135" s="720"/>
      <c r="AS135" s="720"/>
      <c r="AT135" s="720"/>
      <c r="AU135" s="720"/>
      <c r="AV135" s="720"/>
      <c r="AW135" s="720"/>
      <c r="AX135" s="720"/>
      <c r="AY135" s="720"/>
      <c r="AZ135" s="720"/>
      <c r="BA135" s="720"/>
      <c r="BB135" s="720"/>
      <c r="BC135" s="720"/>
      <c r="BD135" s="720"/>
      <c r="BE135" s="720"/>
      <c r="BF135" s="720"/>
      <c r="BG135" s="720"/>
    </row>
    <row r="136" spans="1:59" x14ac:dyDescent="0.2">
      <c r="A136" s="471"/>
      <c r="B136" s="471"/>
      <c r="C136" s="471"/>
      <c r="D136" s="471"/>
      <c r="E136" s="471"/>
      <c r="F136" s="471"/>
      <c r="G136" s="471"/>
      <c r="H136" s="471"/>
      <c r="I136" s="471"/>
      <c r="J136" s="471"/>
      <c r="K136" s="471"/>
      <c r="L136" s="471"/>
      <c r="M136" s="471"/>
      <c r="N136" s="471"/>
      <c r="O136" s="471"/>
      <c r="P136" s="471"/>
      <c r="Q136" s="471"/>
      <c r="R136" s="471"/>
      <c r="S136" s="471"/>
      <c r="T136" s="471"/>
      <c r="U136" s="471"/>
      <c r="V136" s="471"/>
      <c r="W136" s="471"/>
      <c r="X136" s="471"/>
      <c r="Y136" s="471"/>
      <c r="Z136" s="471"/>
      <c r="AA136" s="471"/>
      <c r="AB136" s="471"/>
      <c r="AC136" s="471"/>
      <c r="AD136" s="471"/>
      <c r="AE136" s="471"/>
      <c r="AF136" s="471"/>
      <c r="AG136" s="471"/>
      <c r="AH136" s="471"/>
      <c r="AI136" s="471"/>
      <c r="AJ136" s="471"/>
      <c r="AK136" s="471"/>
      <c r="AL136" s="471"/>
      <c r="AM136" s="471"/>
      <c r="AN136" s="471"/>
      <c r="AO136" s="471"/>
      <c r="AP136" s="471"/>
      <c r="AQ136" s="471"/>
      <c r="AR136" s="471"/>
      <c r="AS136" s="471"/>
      <c r="AT136" s="471"/>
      <c r="AU136" s="471"/>
      <c r="AV136" s="471"/>
      <c r="AW136" s="471"/>
      <c r="AX136" s="471"/>
      <c r="AY136" s="471"/>
      <c r="AZ136" s="471"/>
      <c r="BA136" s="471"/>
      <c r="BB136" s="471"/>
      <c r="BC136" s="471"/>
      <c r="BD136" s="471"/>
      <c r="BE136" s="471"/>
      <c r="BF136" s="471"/>
      <c r="BG136" s="471"/>
    </row>
    <row r="137" spans="1:59" x14ac:dyDescent="0.2">
      <c r="A137" s="721" t="s">
        <v>867</v>
      </c>
      <c r="B137" s="722"/>
      <c r="C137" s="722"/>
      <c r="D137" s="722"/>
      <c r="E137" s="722"/>
      <c r="F137" s="722"/>
      <c r="G137" s="722"/>
      <c r="H137" s="722"/>
      <c r="I137" s="722"/>
      <c r="J137" s="722"/>
      <c r="K137" s="722"/>
      <c r="L137" s="722"/>
      <c r="M137" s="722"/>
      <c r="N137" s="722"/>
      <c r="O137" s="722"/>
      <c r="P137" s="722"/>
      <c r="Q137" s="722"/>
      <c r="R137" s="722"/>
      <c r="S137" s="722"/>
      <c r="T137" s="722"/>
      <c r="U137" s="722"/>
      <c r="V137" s="722"/>
      <c r="W137" s="722"/>
      <c r="X137" s="722"/>
      <c r="Y137" s="722"/>
      <c r="Z137" s="722"/>
      <c r="AA137" s="722"/>
      <c r="AB137" s="722"/>
      <c r="AC137" s="722"/>
      <c r="AD137" s="723"/>
      <c r="AE137" s="721" t="s">
        <v>861</v>
      </c>
      <c r="AF137" s="722"/>
      <c r="AG137" s="722"/>
      <c r="AH137" s="722"/>
      <c r="AI137" s="722"/>
      <c r="AJ137" s="722"/>
      <c r="AK137" s="722"/>
      <c r="AL137" s="722"/>
      <c r="AM137" s="722"/>
      <c r="AN137" s="722"/>
      <c r="AO137" s="722"/>
      <c r="AP137" s="722"/>
      <c r="AQ137" s="722"/>
      <c r="AR137" s="722"/>
      <c r="AS137" s="722"/>
      <c r="AT137" s="722"/>
      <c r="AU137" s="722"/>
      <c r="AV137" s="722"/>
      <c r="AW137" s="722"/>
      <c r="AX137" s="722"/>
      <c r="AY137" s="722"/>
      <c r="AZ137" s="722"/>
      <c r="BA137" s="722"/>
      <c r="BB137" s="722"/>
      <c r="BC137" s="722"/>
      <c r="BD137" s="722"/>
      <c r="BE137" s="722"/>
      <c r="BF137" s="722"/>
      <c r="BG137" s="723"/>
    </row>
    <row r="138" spans="1:59" x14ac:dyDescent="0.2">
      <c r="A138" s="103"/>
      <c r="B138" s="459"/>
      <c r="C138" s="459"/>
      <c r="D138" s="459"/>
      <c r="E138" s="459"/>
      <c r="F138" s="459"/>
      <c r="G138" s="459"/>
      <c r="H138" s="459"/>
      <c r="I138" s="715"/>
      <c r="J138" s="715"/>
      <c r="K138" s="715"/>
      <c r="L138" s="715"/>
      <c r="M138" s="715"/>
      <c r="N138" s="715"/>
      <c r="O138" s="715"/>
      <c r="P138" s="715"/>
      <c r="Q138" s="715"/>
      <c r="R138" s="715"/>
      <c r="S138" s="715"/>
      <c r="T138" s="715"/>
      <c r="U138" s="715"/>
      <c r="V138" s="715"/>
      <c r="W138" s="715"/>
      <c r="X138" s="715"/>
      <c r="Y138" s="92"/>
      <c r="Z138" s="92"/>
      <c r="AA138" s="92"/>
      <c r="AB138" s="92"/>
      <c r="AC138" s="92"/>
      <c r="AD138" s="92"/>
      <c r="AE138" s="473"/>
      <c r="AF138" s="474"/>
      <c r="AG138" s="474"/>
      <c r="AH138" s="474"/>
      <c r="AI138" s="474"/>
      <c r="AJ138" s="474"/>
      <c r="AK138" s="474"/>
      <c r="AL138" s="474"/>
      <c r="AM138" s="474"/>
      <c r="AN138" s="474"/>
      <c r="AO138" s="474"/>
      <c r="AP138" s="474"/>
      <c r="AQ138" s="474"/>
      <c r="AR138" s="474"/>
      <c r="AS138" s="474"/>
      <c r="AT138" s="474"/>
      <c r="AU138" s="474"/>
      <c r="AV138" s="474"/>
      <c r="AW138" s="475"/>
      <c r="AX138" s="475"/>
      <c r="AY138" s="475"/>
      <c r="AZ138" s="475"/>
      <c r="BA138" s="475"/>
      <c r="BB138" s="475"/>
      <c r="BC138" s="475"/>
      <c r="BD138" s="476"/>
      <c r="BE138" s="476"/>
      <c r="BF138" s="476"/>
      <c r="BG138" s="477"/>
    </row>
    <row r="139" spans="1:59" x14ac:dyDescent="0.2">
      <c r="A139" s="105"/>
      <c r="B139" s="102"/>
      <c r="C139" s="102"/>
      <c r="D139" s="715" t="s">
        <v>868</v>
      </c>
      <c r="E139" s="715"/>
      <c r="F139" s="715"/>
      <c r="G139" s="715"/>
      <c r="H139" s="715"/>
      <c r="I139" s="715"/>
      <c r="J139" s="715"/>
      <c r="K139" s="715"/>
      <c r="L139" s="715"/>
      <c r="M139" s="715"/>
      <c r="N139" s="715"/>
      <c r="O139" s="715"/>
      <c r="P139" s="715"/>
      <c r="Q139" s="715"/>
      <c r="R139" s="715"/>
      <c r="S139" s="715"/>
      <c r="T139" s="715"/>
      <c r="U139" s="715"/>
      <c r="V139" s="715"/>
      <c r="W139" s="715"/>
      <c r="X139" s="715"/>
      <c r="Y139" s="715"/>
      <c r="Z139" s="715"/>
      <c r="AA139" s="715"/>
      <c r="AB139" s="715"/>
      <c r="AC139" s="106"/>
      <c r="AD139" s="106"/>
      <c r="AE139" s="107"/>
      <c r="AF139" s="457"/>
      <c r="AG139" s="102"/>
      <c r="AH139" s="102"/>
      <c r="AI139" s="457"/>
      <c r="AJ139" s="457"/>
      <c r="AK139" s="457"/>
      <c r="AL139" s="457"/>
      <c r="AM139" s="457"/>
      <c r="AN139" s="457"/>
      <c r="AO139" s="457"/>
      <c r="AP139" s="716" t="str">
        <f>SURNAME_KREDITOR&amp;" "&amp;NAME_KREDITOR&amp;" "&amp;FATHERNAME_KREDITOR&amp;" "&amp;G_KREDITOR</f>
        <v>Həsənov Kənan Asdan qızı</v>
      </c>
      <c r="AQ139" s="716"/>
      <c r="AR139" s="716"/>
      <c r="AS139" s="716"/>
      <c r="AT139" s="716"/>
      <c r="AU139" s="716"/>
      <c r="AV139" s="716"/>
      <c r="AW139" s="716"/>
      <c r="AX139" s="716"/>
      <c r="AY139" s="716"/>
      <c r="AZ139" s="716"/>
      <c r="BA139" s="716"/>
      <c r="BB139" s="716"/>
      <c r="BC139" s="716"/>
      <c r="BD139" s="716"/>
      <c r="BE139" s="716"/>
      <c r="BF139" s="457"/>
      <c r="BG139" s="104"/>
    </row>
    <row r="140" spans="1:59" ht="11.25" customHeight="1" x14ac:dyDescent="0.2">
      <c r="A140" s="105"/>
      <c r="B140" s="106"/>
      <c r="C140" s="106"/>
      <c r="D140" s="106"/>
      <c r="E140" s="715" t="str">
        <f>NAME_BRANCH&amp;" "&amp;POSITION_MENEGER_BRANCH&amp;"
 "&amp;SURNAME_MENEGER_BRANCH&amp;" "&amp;NAME_MENEGER_BRANCH&amp;" "&amp;FATHERNAME_MENEGER_BRANCH&amp;" "&amp;G_MENEGER_BRANCH</f>
        <v>Ağcabədi  Filialının kredit meneceri
 Əhmədov  Bəhruz  Tofiq  oğlu</v>
      </c>
      <c r="F140" s="715"/>
      <c r="G140" s="715"/>
      <c r="H140" s="715"/>
      <c r="I140" s="715"/>
      <c r="J140" s="715"/>
      <c r="K140" s="715"/>
      <c r="L140" s="715"/>
      <c r="M140" s="715"/>
      <c r="N140" s="715"/>
      <c r="O140" s="715"/>
      <c r="P140" s="715"/>
      <c r="Q140" s="715"/>
      <c r="R140" s="715"/>
      <c r="S140" s="715"/>
      <c r="T140" s="715"/>
      <c r="U140" s="715"/>
      <c r="V140" s="715"/>
      <c r="W140" s="715"/>
      <c r="X140" s="715"/>
      <c r="Y140" s="715"/>
      <c r="Z140" s="715"/>
      <c r="AA140" s="715"/>
      <c r="AB140" s="457"/>
      <c r="AC140" s="457"/>
      <c r="AD140" s="457"/>
      <c r="AE140" s="105"/>
      <c r="AF140" s="719" t="str">
        <f>IF(OR(AP140=0,AP140=""),"","Şəxsiyyət vəsiqəsi: ")</f>
        <v xml:space="preserve">Şəxsiyyət vəsiqəsi: </v>
      </c>
      <c r="AG140" s="719"/>
      <c r="AH140" s="719"/>
      <c r="AI140" s="719"/>
      <c r="AJ140" s="719"/>
      <c r="AK140" s="719"/>
      <c r="AL140" s="719"/>
      <c r="AM140" s="719"/>
      <c r="AN140" s="719"/>
      <c r="AO140" s="719"/>
      <c r="AP140" s="698" t="str">
        <f>IF(OR(SHV_SN_KREDITOR=0,SHV_D_KREDITOR=0,SHV_R_KREDITOR=0,SHV_SN_KREDITOR="",SHV_D_KREDITOR="",SHV_R_KREDITOR=""),"",SHV_SN_KREDITOR&amp;"  "&amp;SHV_D_KREDITOR_SOZLE&amp;" "&amp;SHV_R_KREDITOR&amp;" tərəfindən verilmişdir.")</f>
        <v>AZE № 14577224  «27» May 2014-cü il Mingəçevir ŞPŞ tərəfindən verilmişdir.</v>
      </c>
      <c r="AQ140" s="698"/>
      <c r="AR140" s="698"/>
      <c r="AS140" s="698"/>
      <c r="AT140" s="698"/>
      <c r="AU140" s="698"/>
      <c r="AV140" s="698"/>
      <c r="AW140" s="698"/>
      <c r="AX140" s="698"/>
      <c r="AY140" s="698"/>
      <c r="AZ140" s="698"/>
      <c r="BA140" s="698"/>
      <c r="BB140" s="698"/>
      <c r="BC140" s="698"/>
      <c r="BD140" s="698"/>
      <c r="BE140" s="698"/>
      <c r="BF140" s="698"/>
      <c r="BG140" s="104"/>
    </row>
    <row r="141" spans="1:59" ht="11.25" customHeight="1" x14ac:dyDescent="0.2">
      <c r="A141" s="105"/>
      <c r="B141" s="457"/>
      <c r="C141" s="457"/>
      <c r="D141" s="457"/>
      <c r="E141" s="715"/>
      <c r="F141" s="715"/>
      <c r="G141" s="715"/>
      <c r="H141" s="715"/>
      <c r="I141" s="715"/>
      <c r="J141" s="715"/>
      <c r="K141" s="715"/>
      <c r="L141" s="715"/>
      <c r="M141" s="715"/>
      <c r="N141" s="715"/>
      <c r="O141" s="715"/>
      <c r="P141" s="715"/>
      <c r="Q141" s="715"/>
      <c r="R141" s="715"/>
      <c r="S141" s="715"/>
      <c r="T141" s="715"/>
      <c r="U141" s="715"/>
      <c r="V141" s="715"/>
      <c r="W141" s="715"/>
      <c r="X141" s="715"/>
      <c r="Y141" s="715"/>
      <c r="Z141" s="715"/>
      <c r="AA141" s="715"/>
      <c r="AB141" s="108"/>
      <c r="AC141" s="108"/>
      <c r="AD141" s="108"/>
      <c r="AE141" s="109"/>
      <c r="AF141" s="108"/>
      <c r="AG141" s="457"/>
      <c r="AH141" s="457"/>
      <c r="AI141" s="108"/>
      <c r="AJ141" s="108"/>
      <c r="AK141" s="108"/>
      <c r="AL141" s="108"/>
      <c r="AM141" s="108"/>
      <c r="AN141" s="108"/>
      <c r="AO141" s="108"/>
      <c r="AP141" s="698"/>
      <c r="AQ141" s="698"/>
      <c r="AR141" s="698"/>
      <c r="AS141" s="698"/>
      <c r="AT141" s="698"/>
      <c r="AU141" s="698"/>
      <c r="AV141" s="698"/>
      <c r="AW141" s="698"/>
      <c r="AX141" s="698"/>
      <c r="AY141" s="698"/>
      <c r="AZ141" s="698"/>
      <c r="BA141" s="698"/>
      <c r="BB141" s="698"/>
      <c r="BC141" s="698"/>
      <c r="BD141" s="698"/>
      <c r="BE141" s="698"/>
      <c r="BF141" s="698"/>
      <c r="BG141" s="104"/>
    </row>
    <row r="142" spans="1:59" x14ac:dyDescent="0.2">
      <c r="A142" s="105"/>
      <c r="B142" s="457"/>
      <c r="C142" s="457"/>
      <c r="D142" s="457"/>
      <c r="E142" s="457"/>
      <c r="F142" s="457"/>
      <c r="G142" s="717" t="s">
        <v>33</v>
      </c>
      <c r="H142" s="717"/>
      <c r="I142" s="717"/>
      <c r="J142" s="717"/>
      <c r="K142" s="698" t="str">
        <f>NAME_REGION &amp;", "&amp;ADDRESS_REGION</f>
        <v>Ağcabədi şəhəri, İ.Qayıbov 2</v>
      </c>
      <c r="L142" s="698"/>
      <c r="M142" s="698"/>
      <c r="N142" s="698"/>
      <c r="O142" s="698"/>
      <c r="P142" s="698"/>
      <c r="Q142" s="698"/>
      <c r="R142" s="698"/>
      <c r="S142" s="698"/>
      <c r="T142" s="698"/>
      <c r="U142" s="698"/>
      <c r="V142" s="698"/>
      <c r="W142" s="698"/>
      <c r="X142" s="698"/>
      <c r="Y142" s="698"/>
      <c r="Z142" s="698"/>
      <c r="AA142" s="106"/>
      <c r="AB142" s="457"/>
      <c r="AC142" s="457"/>
      <c r="AD142" s="457"/>
      <c r="AE142" s="105"/>
      <c r="AF142" s="457"/>
      <c r="AG142" s="457"/>
      <c r="AH142" s="457"/>
      <c r="AI142" s="457"/>
      <c r="AJ142" s="457"/>
      <c r="AK142" s="457"/>
      <c r="AL142" s="457"/>
      <c r="AM142" s="457"/>
      <c r="AN142" s="457"/>
      <c r="AO142" s="457"/>
      <c r="AP142" s="698"/>
      <c r="AQ142" s="698"/>
      <c r="AR142" s="698"/>
      <c r="AS142" s="698"/>
      <c r="AT142" s="698"/>
      <c r="AU142" s="698"/>
      <c r="AV142" s="698"/>
      <c r="AW142" s="698"/>
      <c r="AX142" s="698"/>
      <c r="AY142" s="698"/>
      <c r="AZ142" s="698"/>
      <c r="BA142" s="698"/>
      <c r="BB142" s="698"/>
      <c r="BC142" s="698"/>
      <c r="BD142" s="698"/>
      <c r="BE142" s="698"/>
      <c r="BF142" s="698"/>
      <c r="BG142" s="104"/>
    </row>
    <row r="143" spans="1:59" x14ac:dyDescent="0.2">
      <c r="A143" s="110"/>
      <c r="B143" s="458"/>
      <c r="C143" s="458"/>
      <c r="D143" s="458"/>
      <c r="E143" s="457"/>
      <c r="F143" s="457"/>
      <c r="G143" s="717"/>
      <c r="H143" s="717"/>
      <c r="I143" s="717"/>
      <c r="J143" s="717"/>
      <c r="K143" s="698"/>
      <c r="L143" s="698"/>
      <c r="M143" s="698"/>
      <c r="N143" s="698"/>
      <c r="O143" s="698"/>
      <c r="P143" s="698"/>
      <c r="Q143" s="698"/>
      <c r="R143" s="698"/>
      <c r="S143" s="698"/>
      <c r="T143" s="698"/>
      <c r="U143" s="698"/>
      <c r="V143" s="698"/>
      <c r="W143" s="698"/>
      <c r="X143" s="698"/>
      <c r="Y143" s="698"/>
      <c r="Z143" s="698"/>
      <c r="AA143" s="106"/>
      <c r="AB143" s="457"/>
      <c r="AC143" s="457"/>
      <c r="AD143" s="457"/>
      <c r="AE143" s="105"/>
      <c r="AF143" s="106"/>
      <c r="AG143" s="106"/>
      <c r="AH143" s="457"/>
      <c r="AI143" s="457"/>
      <c r="AJ143" s="457"/>
      <c r="AK143" s="457"/>
      <c r="AL143" s="457"/>
      <c r="AM143" s="720" t="str">
        <f>IF(OR(AP143=0,AP143=""),"","Ünvan:" )</f>
        <v>Ünvan:</v>
      </c>
      <c r="AN143" s="720"/>
      <c r="AO143" s="720"/>
      <c r="AP143" s="718" t="str">
        <f>IF(OR(ADDRESS_KREDITOR=0,ADDRESS_KREDITOR=""),"",ADDRESS_KREDITOR)</f>
        <v xml:space="preserve">Mingəçevir şəh., H.Əliyev PR., ev. 76/1, m. 22 </v>
      </c>
      <c r="AQ143" s="718"/>
      <c r="AR143" s="718"/>
      <c r="AS143" s="718"/>
      <c r="AT143" s="718"/>
      <c r="AU143" s="718"/>
      <c r="AV143" s="718"/>
      <c r="AW143" s="718"/>
      <c r="AX143" s="718"/>
      <c r="AY143" s="718"/>
      <c r="AZ143" s="718"/>
      <c r="BA143" s="718"/>
      <c r="BB143" s="718"/>
      <c r="BC143" s="718"/>
      <c r="BD143" s="718"/>
      <c r="BE143" s="718"/>
      <c r="BF143" s="718"/>
      <c r="BG143" s="104"/>
    </row>
    <row r="144" spans="1:59" ht="11.25" customHeight="1" x14ac:dyDescent="0.2">
      <c r="A144" s="110"/>
      <c r="B144" s="458"/>
      <c r="C144" s="458"/>
      <c r="D144" s="457"/>
      <c r="E144" s="457"/>
      <c r="F144" s="457"/>
      <c r="G144" s="719" t="str">
        <f>IF(OR(K144=0,K144=""),"","Telefon:")</f>
        <v>Telefon:</v>
      </c>
      <c r="H144" s="719"/>
      <c r="I144" s="719"/>
      <c r="J144" s="719"/>
      <c r="K144" s="716" t="str">
        <f>IF(OR(NUM_BRANCH=0,NUM_BRANCH=""),"",NUM_BRANCH)</f>
        <v>(+994 24) 274 13 23</v>
      </c>
      <c r="L144" s="716"/>
      <c r="M144" s="716"/>
      <c r="N144" s="716"/>
      <c r="O144" s="716"/>
      <c r="P144" s="716"/>
      <c r="Q144" s="716"/>
      <c r="R144" s="716"/>
      <c r="S144" s="716"/>
      <c r="T144" s="716"/>
      <c r="U144" s="716"/>
      <c r="V144" s="716"/>
      <c r="W144" s="716"/>
      <c r="X144" s="716"/>
      <c r="Y144" s="457"/>
      <c r="Z144" s="457"/>
      <c r="AA144" s="106"/>
      <c r="AB144" s="457"/>
      <c r="AC144" s="92"/>
      <c r="AD144" s="92"/>
      <c r="AE144" s="111"/>
      <c r="AF144" s="106"/>
      <c r="AG144" s="106"/>
      <c r="AH144" s="457"/>
      <c r="AI144" s="457"/>
      <c r="AJ144" s="457"/>
      <c r="AK144" s="457"/>
      <c r="AL144" s="457"/>
      <c r="AM144" s="92"/>
      <c r="AN144" s="92"/>
      <c r="AO144" s="92"/>
      <c r="AP144" s="718"/>
      <c r="AQ144" s="718"/>
      <c r="AR144" s="718"/>
      <c r="AS144" s="718"/>
      <c r="AT144" s="718"/>
      <c r="AU144" s="718"/>
      <c r="AV144" s="718"/>
      <c r="AW144" s="718"/>
      <c r="AX144" s="718"/>
      <c r="AY144" s="718"/>
      <c r="AZ144" s="718"/>
      <c r="BA144" s="718"/>
      <c r="BB144" s="718"/>
      <c r="BC144" s="718"/>
      <c r="BD144" s="718"/>
      <c r="BE144" s="718"/>
      <c r="BF144" s="718"/>
      <c r="BG144" s="104"/>
    </row>
    <row r="145" spans="1:59" x14ac:dyDescent="0.2">
      <c r="A145" s="105"/>
      <c r="B145" s="102"/>
      <c r="C145" s="102"/>
      <c r="D145" s="457"/>
      <c r="E145" s="457"/>
      <c r="F145" s="457"/>
      <c r="G145" s="719" t="str">
        <f>IF(OR(K145=0,K145=""),"","Faks:")</f>
        <v>Faks:</v>
      </c>
      <c r="H145" s="719"/>
      <c r="I145" s="719"/>
      <c r="J145" s="719"/>
      <c r="K145" s="716" t="str">
        <f>IF(OR(FAX_BRANCH=0,FAX_BRANCH=""),"",FAX_BRANCH)</f>
        <v>(+994 24) 274 20 24</v>
      </c>
      <c r="L145" s="716"/>
      <c r="M145" s="716"/>
      <c r="N145" s="716"/>
      <c r="O145" s="716"/>
      <c r="P145" s="716"/>
      <c r="Q145" s="716"/>
      <c r="R145" s="716"/>
      <c r="S145" s="716"/>
      <c r="T145" s="716"/>
      <c r="U145" s="716"/>
      <c r="V145" s="716"/>
      <c r="W145" s="716"/>
      <c r="X145" s="716"/>
      <c r="Y145" s="457"/>
      <c r="Z145" s="457"/>
      <c r="AA145" s="106"/>
      <c r="AB145" s="457"/>
      <c r="AC145" s="457"/>
      <c r="AD145" s="457"/>
      <c r="AE145" s="105"/>
      <c r="AF145" s="106"/>
      <c r="AG145" s="106"/>
      <c r="AH145" s="457"/>
      <c r="AI145" s="457"/>
      <c r="AJ145" s="457"/>
      <c r="AK145" s="457"/>
      <c r="AL145" s="457"/>
      <c r="AM145" s="720" t="str">
        <f>IF(OR(AP145=0,AP145=""),"","Telefon:")</f>
        <v>Telefon:</v>
      </c>
      <c r="AN145" s="720"/>
      <c r="AO145" s="720"/>
      <c r="AP145" s="713" t="str">
        <f>IF(OR(NUM_1_KREDITOR=0,NUM_1_KREDITOR=""),"",NUM_1_KREDITOR&amp;"; ")&amp;IF(OR(NUM_2_KREDITOR=0,NUM_2_KREDITOR=""),"",NUM_2_KREDITOR&amp;"; ")</f>
        <v xml:space="preserve">055-915-96-56; </v>
      </c>
      <c r="AQ145" s="713"/>
      <c r="AR145" s="713"/>
      <c r="AS145" s="713"/>
      <c r="AT145" s="713"/>
      <c r="AU145" s="713"/>
      <c r="AV145" s="713"/>
      <c r="AW145" s="713"/>
      <c r="AX145" s="713"/>
      <c r="AY145" s="713"/>
      <c r="AZ145" s="713"/>
      <c r="BA145" s="713"/>
      <c r="BB145" s="713"/>
      <c r="BC145" s="713"/>
      <c r="BD145" s="713"/>
      <c r="BE145" s="713"/>
      <c r="BF145" s="457"/>
      <c r="BG145" s="104"/>
    </row>
    <row r="146" spans="1:59" x14ac:dyDescent="0.2">
      <c r="A146" s="105"/>
      <c r="B146" s="106"/>
      <c r="C146" s="106"/>
      <c r="D146" s="106"/>
      <c r="E146" s="457"/>
      <c r="F146" s="457"/>
      <c r="G146" s="714" t="s">
        <v>32</v>
      </c>
      <c r="H146" s="714"/>
      <c r="I146" s="714"/>
      <c r="J146" s="714"/>
      <c r="K146" s="457"/>
      <c r="L146" s="457"/>
      <c r="M146" s="102"/>
      <c r="N146" s="457"/>
      <c r="O146" s="457"/>
      <c r="P146" s="457"/>
      <c r="Q146" s="457"/>
      <c r="R146" s="457"/>
      <c r="S146" s="457"/>
      <c r="T146" s="457"/>
      <c r="U146" s="457"/>
      <c r="V146" s="457"/>
      <c r="W146" s="457"/>
      <c r="X146" s="457"/>
      <c r="Y146" s="106"/>
      <c r="Z146" s="457"/>
      <c r="AA146" s="457"/>
      <c r="AB146" s="457"/>
      <c r="AC146" s="457"/>
      <c r="AD146" s="457"/>
      <c r="AE146" s="105"/>
      <c r="AF146" s="106"/>
      <c r="AG146" s="106"/>
      <c r="AH146" s="457"/>
      <c r="AI146" s="457"/>
      <c r="AJ146" s="457"/>
      <c r="AK146" s="457"/>
      <c r="AL146" s="714" t="s">
        <v>32</v>
      </c>
      <c r="AM146" s="714"/>
      <c r="AN146" s="714"/>
      <c r="AO146" s="714"/>
      <c r="AP146" s="714"/>
      <c r="AQ146" s="457"/>
      <c r="AR146" s="457"/>
      <c r="AS146" s="457"/>
      <c r="AT146" s="457"/>
      <c r="AU146" s="457"/>
      <c r="AV146" s="457"/>
      <c r="AW146" s="457"/>
      <c r="AX146" s="457"/>
      <c r="AY146" s="457"/>
      <c r="AZ146" s="457"/>
      <c r="BA146" s="457"/>
      <c r="BB146" s="457"/>
      <c r="BC146" s="457"/>
      <c r="BD146" s="457"/>
      <c r="BE146" s="457"/>
      <c r="BF146" s="457"/>
      <c r="BG146" s="104"/>
    </row>
    <row r="147" spans="1:59" x14ac:dyDescent="0.2">
      <c r="A147" s="105"/>
      <c r="B147" s="443"/>
      <c r="C147" s="443"/>
      <c r="D147" s="443"/>
      <c r="E147" s="457"/>
      <c r="F147" s="443" t="s">
        <v>31</v>
      </c>
      <c r="G147" s="443"/>
      <c r="H147" s="443"/>
      <c r="I147" s="457"/>
      <c r="J147" s="443"/>
      <c r="K147" s="443"/>
      <c r="L147" s="443"/>
      <c r="M147" s="443"/>
      <c r="N147" s="443"/>
      <c r="O147" s="443"/>
      <c r="P147" s="443"/>
      <c r="Q147" s="443"/>
      <c r="R147" s="443"/>
      <c r="S147" s="443"/>
      <c r="T147" s="443"/>
      <c r="U147" s="443"/>
      <c r="V147" s="443"/>
      <c r="W147" s="443"/>
      <c r="X147" s="443"/>
      <c r="Y147" s="443"/>
      <c r="Z147" s="443"/>
      <c r="AA147" s="457"/>
      <c r="AB147" s="443"/>
      <c r="AC147" s="443"/>
      <c r="AD147" s="443"/>
      <c r="AE147" s="478"/>
      <c r="AF147" s="443"/>
      <c r="AG147" s="443"/>
      <c r="AH147" s="443"/>
      <c r="AI147" s="443"/>
      <c r="AJ147" s="443"/>
      <c r="AK147" s="443"/>
      <c r="AL147" s="443" t="s">
        <v>443</v>
      </c>
      <c r="AM147" s="443"/>
      <c r="AN147" s="443"/>
      <c r="AO147" s="443"/>
      <c r="AP147" s="443"/>
      <c r="AQ147" s="443"/>
      <c r="AR147" s="443"/>
      <c r="AS147" s="443"/>
      <c r="AT147" s="443"/>
      <c r="AU147" s="443"/>
      <c r="AV147" s="443"/>
      <c r="AW147" s="443"/>
      <c r="AX147" s="443"/>
      <c r="AY147" s="443"/>
      <c r="AZ147" s="443"/>
      <c r="BA147" s="443"/>
      <c r="BB147" s="443"/>
      <c r="BC147" s="457"/>
      <c r="BD147" s="457"/>
      <c r="BE147" s="457"/>
      <c r="BF147" s="457"/>
      <c r="BG147" s="104"/>
    </row>
    <row r="148" spans="1:59" x14ac:dyDescent="0.2">
      <c r="A148" s="309"/>
      <c r="B148" s="310"/>
      <c r="C148" s="310"/>
      <c r="D148" s="310"/>
      <c r="E148" s="311"/>
      <c r="F148" s="310"/>
      <c r="G148" s="310"/>
      <c r="H148" s="310"/>
      <c r="I148" s="311"/>
      <c r="J148" s="310"/>
      <c r="K148" s="310"/>
      <c r="L148" s="310"/>
      <c r="M148" s="310"/>
      <c r="N148" s="310"/>
      <c r="O148" s="310"/>
      <c r="P148" s="310"/>
      <c r="Q148" s="310"/>
      <c r="R148" s="310"/>
      <c r="S148" s="310"/>
      <c r="T148" s="310"/>
      <c r="U148" s="310"/>
      <c r="V148" s="310"/>
      <c r="W148" s="310"/>
      <c r="X148" s="310"/>
      <c r="Y148" s="310"/>
      <c r="Z148" s="310"/>
      <c r="AA148" s="311"/>
      <c r="AB148" s="310"/>
      <c r="AC148" s="310"/>
      <c r="AD148" s="310"/>
      <c r="AE148" s="479"/>
      <c r="AF148" s="310"/>
      <c r="AG148" s="310"/>
      <c r="AH148" s="310"/>
      <c r="AI148" s="310"/>
      <c r="AJ148" s="310"/>
      <c r="AK148" s="310"/>
      <c r="AL148" s="310"/>
      <c r="AM148" s="310"/>
      <c r="AN148" s="310"/>
      <c r="AO148" s="310"/>
      <c r="AP148" s="310"/>
      <c r="AQ148" s="310"/>
      <c r="AR148" s="310"/>
      <c r="AS148" s="310"/>
      <c r="AT148" s="310"/>
      <c r="AU148" s="310"/>
      <c r="AV148" s="310"/>
      <c r="AW148" s="310"/>
      <c r="AX148" s="310"/>
      <c r="AY148" s="310"/>
      <c r="AZ148" s="310"/>
      <c r="BA148" s="310"/>
      <c r="BB148" s="310"/>
      <c r="BC148" s="311"/>
      <c r="BD148" s="311"/>
      <c r="BE148" s="311"/>
      <c r="BF148" s="311"/>
      <c r="BG148" s="312"/>
    </row>
    <row r="149" spans="1:59" x14ac:dyDescent="0.2">
      <c r="P149" s="457"/>
      <c r="Q149" s="457"/>
      <c r="R149" s="102"/>
      <c r="AM149" s="106"/>
      <c r="AN149" s="92"/>
      <c r="AO149" s="92"/>
      <c r="AP149" s="92"/>
      <c r="AQ149" s="92"/>
      <c r="AR149" s="92"/>
      <c r="AS149" s="92"/>
      <c r="AT149" s="92"/>
      <c r="AU149" s="92"/>
      <c r="AV149" s="92"/>
      <c r="AW149" s="92"/>
      <c r="AX149" s="92"/>
      <c r="AY149" s="92"/>
      <c r="AZ149" s="92"/>
      <c r="BA149" s="92"/>
      <c r="BB149" s="92"/>
      <c r="BC149" s="457"/>
      <c r="BD149" s="106"/>
      <c r="BE149" s="106"/>
      <c r="BF149" s="106"/>
      <c r="BG149" s="106"/>
    </row>
    <row r="150" spans="1:59" x14ac:dyDescent="0.2">
      <c r="P150" s="457"/>
      <c r="Q150" s="457"/>
      <c r="R150" s="102"/>
      <c r="S150" s="457"/>
      <c r="T150" s="457"/>
      <c r="U150" s="457"/>
      <c r="V150" s="457"/>
      <c r="W150" s="457"/>
      <c r="X150" s="457"/>
      <c r="Y150" s="457"/>
      <c r="Z150" s="457"/>
      <c r="AA150" s="457"/>
      <c r="AB150" s="457"/>
      <c r="AC150" s="457"/>
      <c r="AD150" s="457"/>
      <c r="AE150" s="112"/>
      <c r="AF150" s="92"/>
      <c r="AG150" s="106"/>
      <c r="AH150" s="457"/>
      <c r="AI150" s="457"/>
      <c r="AJ150" s="457"/>
      <c r="AK150" s="457"/>
      <c r="AL150" s="457"/>
      <c r="AM150" s="457"/>
      <c r="BC150" s="457"/>
      <c r="BD150" s="457"/>
      <c r="BE150" s="457"/>
      <c r="BF150" s="457"/>
      <c r="BG150" s="457"/>
    </row>
    <row r="151" spans="1:59" x14ac:dyDescent="0.2">
      <c r="R151" s="106"/>
      <c r="S151" s="102"/>
      <c r="T151" s="102"/>
      <c r="U151" s="102"/>
      <c r="V151" s="102"/>
      <c r="W151" s="102"/>
      <c r="X151" s="102"/>
      <c r="Y151" s="102"/>
      <c r="Z151" s="102"/>
      <c r="AA151" s="102"/>
      <c r="AB151" s="102"/>
      <c r="AC151" s="457"/>
      <c r="AD151" s="457"/>
      <c r="AE151" s="457"/>
      <c r="AF151" s="106"/>
      <c r="AG151" s="106"/>
      <c r="AH151" s="457"/>
      <c r="AI151" s="457"/>
      <c r="AJ151" s="457"/>
      <c r="AK151" s="457"/>
      <c r="AL151" s="457"/>
      <c r="AM151" s="106"/>
      <c r="AN151" s="102"/>
      <c r="AO151" s="102"/>
      <c r="AP151" s="102"/>
      <c r="AQ151" s="102"/>
      <c r="AR151" s="102"/>
      <c r="AS151" s="102"/>
      <c r="AT151" s="102"/>
      <c r="AU151" s="102"/>
      <c r="AV151" s="102"/>
      <c r="AW151" s="102"/>
      <c r="AX151" s="102"/>
      <c r="AY151" s="106"/>
      <c r="AZ151" s="106"/>
      <c r="BA151" s="106"/>
      <c r="BB151" s="457"/>
      <c r="BC151" s="457"/>
      <c r="BD151" s="457"/>
      <c r="BE151" s="457"/>
      <c r="BF151" s="457"/>
      <c r="BG151" s="457"/>
    </row>
    <row r="152" spans="1:59" x14ac:dyDescent="0.2">
      <c r="P152" s="456"/>
      <c r="Q152" s="456"/>
      <c r="R152" s="106"/>
      <c r="S152" s="102"/>
      <c r="T152" s="102"/>
      <c r="U152" s="102"/>
      <c r="V152" s="102"/>
      <c r="W152" s="102"/>
      <c r="X152" s="102"/>
      <c r="Y152" s="106"/>
      <c r="Z152" s="102"/>
      <c r="AA152" s="102"/>
      <c r="AB152" s="102"/>
      <c r="AC152" s="102"/>
      <c r="AD152" s="102"/>
      <c r="AE152" s="106"/>
      <c r="AF152" s="106"/>
      <c r="AG152" s="106"/>
      <c r="AH152" s="106"/>
      <c r="AI152" s="106"/>
      <c r="AJ152" s="106"/>
      <c r="AK152" s="106"/>
      <c r="AL152" s="106"/>
      <c r="AM152" s="106"/>
      <c r="AN152" s="102"/>
      <c r="AO152" s="102"/>
      <c r="AP152" s="102"/>
      <c r="AQ152" s="102"/>
      <c r="AR152" s="102"/>
      <c r="AS152" s="102"/>
      <c r="AT152" s="106"/>
      <c r="AU152" s="102"/>
      <c r="AV152" s="102"/>
      <c r="AW152" s="102"/>
      <c r="AX152" s="102"/>
      <c r="AY152" s="106"/>
      <c r="AZ152" s="106"/>
      <c r="BA152" s="106"/>
      <c r="BB152" s="106"/>
      <c r="BC152" s="106"/>
      <c r="BD152" s="106"/>
      <c r="BE152" s="106"/>
      <c r="BF152" s="106"/>
      <c r="BG152" s="106"/>
    </row>
    <row r="153" spans="1:59" x14ac:dyDescent="0.2">
      <c r="R153" s="106"/>
      <c r="S153" s="106"/>
      <c r="T153" s="106"/>
      <c r="U153" s="106"/>
      <c r="V153" s="106"/>
      <c r="W153" s="457"/>
      <c r="X153" s="106"/>
      <c r="Y153" s="457"/>
      <c r="Z153" s="106"/>
      <c r="AA153" s="106"/>
      <c r="AB153" s="106"/>
      <c r="AC153" s="102"/>
      <c r="AD153" s="102"/>
      <c r="AE153" s="106"/>
      <c r="AF153" s="106"/>
      <c r="AG153" s="106"/>
      <c r="AH153" s="106"/>
      <c r="AI153" s="106"/>
      <c r="AJ153" s="106"/>
      <c r="AK153" s="106"/>
      <c r="AL153" s="106"/>
      <c r="AM153" s="106"/>
      <c r="AN153" s="106"/>
      <c r="AO153" s="106"/>
      <c r="AP153" s="106"/>
      <c r="AQ153" s="106"/>
      <c r="AR153" s="457"/>
      <c r="AS153" s="106"/>
      <c r="AT153" s="457"/>
      <c r="AU153" s="106"/>
      <c r="AV153" s="106"/>
      <c r="AW153" s="106"/>
      <c r="AX153" s="106"/>
      <c r="AY153" s="457"/>
      <c r="AZ153" s="457"/>
      <c r="BA153" s="457"/>
      <c r="BB153" s="106"/>
      <c r="BC153" s="106"/>
      <c r="BD153" s="106"/>
      <c r="BE153" s="106"/>
      <c r="BF153" s="106"/>
      <c r="BG153" s="106"/>
    </row>
    <row r="154" spans="1:59" x14ac:dyDescent="0.2">
      <c r="R154" s="106"/>
      <c r="S154" s="106"/>
      <c r="T154" s="106"/>
      <c r="U154" s="106"/>
      <c r="V154" s="106"/>
      <c r="W154" s="106"/>
      <c r="X154" s="106"/>
      <c r="Y154" s="106"/>
      <c r="Z154" s="106"/>
      <c r="AA154" s="106"/>
      <c r="AB154" s="106"/>
      <c r="AC154" s="106"/>
      <c r="AD154" s="106"/>
      <c r="AE154" s="457"/>
      <c r="AF154" s="106"/>
      <c r="AG154" s="106"/>
      <c r="AH154" s="106"/>
      <c r="AI154" s="106"/>
      <c r="AJ154" s="457"/>
      <c r="AK154" s="106"/>
      <c r="AL154" s="106"/>
      <c r="AM154" s="106"/>
      <c r="AN154" s="106"/>
      <c r="AO154" s="106"/>
      <c r="AP154" s="106"/>
      <c r="AQ154" s="106"/>
      <c r="AR154" s="106"/>
      <c r="AS154" s="106"/>
      <c r="AT154" s="106"/>
      <c r="AU154" s="106"/>
      <c r="AV154" s="106"/>
      <c r="AW154" s="106"/>
      <c r="AX154" s="106"/>
      <c r="AY154" s="457"/>
      <c r="AZ154" s="457"/>
      <c r="BA154" s="457"/>
      <c r="BB154" s="106"/>
      <c r="BC154" s="106"/>
      <c r="BD154" s="106"/>
      <c r="BE154" s="106"/>
      <c r="BF154" s="457"/>
      <c r="BG154" s="106"/>
    </row>
    <row r="155" spans="1:59" x14ac:dyDescent="0.2">
      <c r="P155" s="113"/>
      <c r="Q155" s="113"/>
      <c r="R155" s="106"/>
      <c r="S155" s="106"/>
      <c r="T155" s="106"/>
      <c r="U155" s="106"/>
      <c r="V155" s="106"/>
      <c r="W155" s="106"/>
      <c r="X155" s="106"/>
      <c r="Y155" s="106"/>
      <c r="Z155" s="106"/>
      <c r="AA155" s="106"/>
      <c r="AB155" s="106"/>
      <c r="AC155" s="106"/>
      <c r="AD155" s="106"/>
      <c r="AE155" s="457"/>
      <c r="AF155" s="106"/>
      <c r="AG155" s="106"/>
      <c r="AH155" s="457"/>
      <c r="AI155" s="457"/>
      <c r="AJ155" s="457"/>
      <c r="AK155" s="457"/>
      <c r="AL155" s="457"/>
      <c r="AM155" s="106"/>
      <c r="AN155" s="106"/>
      <c r="AO155" s="106"/>
      <c r="AP155" s="106"/>
      <c r="AQ155" s="106"/>
      <c r="AR155" s="106"/>
      <c r="AS155" s="106"/>
      <c r="AT155" s="106"/>
      <c r="AU155" s="106"/>
      <c r="AV155" s="106"/>
      <c r="AW155" s="106"/>
      <c r="AX155" s="106"/>
      <c r="AY155" s="457"/>
      <c r="AZ155" s="106"/>
      <c r="BA155" s="106"/>
      <c r="BB155" s="457"/>
      <c r="BC155" s="457"/>
      <c r="BD155" s="457"/>
      <c r="BE155" s="457"/>
      <c r="BF155" s="457"/>
      <c r="BG155" s="457"/>
    </row>
    <row r="156" spans="1:59" x14ac:dyDescent="0.2">
      <c r="P156" s="95"/>
      <c r="Q156" s="95"/>
      <c r="R156" s="457"/>
      <c r="S156" s="457"/>
      <c r="T156" s="457"/>
      <c r="U156" s="457"/>
      <c r="V156" s="457"/>
      <c r="W156" s="457"/>
      <c r="X156" s="457"/>
      <c r="Y156" s="457"/>
      <c r="Z156" s="457"/>
      <c r="AA156" s="457"/>
      <c r="AB156" s="457"/>
      <c r="AC156" s="106"/>
      <c r="AD156" s="106"/>
      <c r="AE156" s="457"/>
      <c r="AF156" s="106"/>
      <c r="AG156" s="106"/>
      <c r="AH156" s="106"/>
      <c r="AI156" s="106"/>
      <c r="AJ156" s="106"/>
      <c r="AK156" s="106"/>
      <c r="AL156" s="106"/>
      <c r="AM156" s="457"/>
      <c r="AN156" s="457"/>
      <c r="AO156" s="457"/>
      <c r="AP156" s="457"/>
      <c r="AQ156" s="457"/>
      <c r="AR156" s="457"/>
      <c r="AS156" s="457"/>
      <c r="AT156" s="457"/>
      <c r="AU156" s="457"/>
      <c r="AV156" s="457"/>
      <c r="AW156" s="457"/>
      <c r="AX156" s="457"/>
      <c r="AY156" s="457"/>
      <c r="AZ156" s="106"/>
      <c r="BA156" s="106"/>
      <c r="BB156" s="457"/>
      <c r="BC156" s="106"/>
      <c r="BD156" s="106"/>
      <c r="BE156" s="106"/>
      <c r="BF156" s="106"/>
      <c r="BG156" s="106"/>
    </row>
    <row r="157" spans="1:59" x14ac:dyDescent="0.2">
      <c r="P157" s="95"/>
      <c r="Q157" s="95"/>
      <c r="R157" s="112"/>
      <c r="S157" s="112"/>
      <c r="T157" s="112"/>
      <c r="U157" s="112"/>
      <c r="V157" s="112"/>
      <c r="W157" s="112"/>
      <c r="X157" s="112"/>
      <c r="Y157" s="112"/>
      <c r="Z157" s="112"/>
      <c r="AA157" s="112"/>
      <c r="AB157" s="112"/>
      <c r="AC157" s="457"/>
      <c r="AD157" s="457"/>
      <c r="AE157" s="457"/>
      <c r="AF157" s="106"/>
      <c r="AG157" s="106"/>
      <c r="AH157" s="106"/>
      <c r="AI157" s="106"/>
      <c r="AJ157" s="106"/>
      <c r="AK157" s="106"/>
      <c r="AL157" s="106"/>
      <c r="AM157" s="92"/>
      <c r="AN157" s="92"/>
      <c r="AO157" s="92"/>
      <c r="AP157" s="92"/>
      <c r="AQ157" s="92"/>
      <c r="AR157" s="92"/>
      <c r="AS157" s="92"/>
      <c r="AT157" s="92"/>
      <c r="AU157" s="92"/>
      <c r="AV157" s="92"/>
      <c r="AW157" s="92"/>
      <c r="AX157" s="92"/>
      <c r="AY157" s="92"/>
      <c r="AZ157" s="92"/>
      <c r="BA157" s="92"/>
      <c r="BB157" s="457"/>
      <c r="BC157" s="106"/>
      <c r="BD157" s="106"/>
      <c r="BE157" s="106"/>
      <c r="BF157" s="106"/>
      <c r="BG157" s="106"/>
    </row>
    <row r="158" spans="1:59" x14ac:dyDescent="0.2">
      <c r="P158" s="457"/>
      <c r="Q158" s="457"/>
      <c r="R158" s="457"/>
      <c r="S158" s="457"/>
      <c r="T158" s="457"/>
      <c r="U158" s="457"/>
      <c r="V158" s="457"/>
      <c r="W158" s="106"/>
      <c r="X158" s="102"/>
      <c r="Y158" s="102"/>
      <c r="Z158" s="102"/>
      <c r="AA158" s="102"/>
      <c r="AB158" s="102"/>
      <c r="AC158" s="102"/>
      <c r="AD158" s="102"/>
      <c r="AE158" s="102"/>
      <c r="AF158" s="102"/>
      <c r="AG158" s="102"/>
      <c r="AH158" s="106"/>
      <c r="AI158" s="106"/>
      <c r="AJ158" s="106"/>
      <c r="AK158" s="457"/>
      <c r="AL158" s="457"/>
      <c r="BB158" s="457"/>
      <c r="BC158" s="457"/>
      <c r="BD158" s="457"/>
      <c r="BE158" s="457"/>
      <c r="BF158" s="457"/>
      <c r="BG158" s="457"/>
    </row>
    <row r="159" spans="1:59" x14ac:dyDescent="0.2">
      <c r="P159" s="106"/>
      <c r="Q159" s="106"/>
      <c r="R159" s="106"/>
      <c r="S159" s="106"/>
      <c r="T159" s="106"/>
      <c r="U159" s="106"/>
      <c r="V159" s="106"/>
      <c r="W159" s="106"/>
      <c r="X159" s="102"/>
      <c r="Y159" s="102"/>
      <c r="Z159" s="102"/>
      <c r="AA159" s="102"/>
      <c r="AB159" s="102"/>
      <c r="AC159" s="102"/>
      <c r="AD159" s="102"/>
      <c r="AE159" s="106"/>
      <c r="AF159" s="102"/>
      <c r="AG159" s="102"/>
      <c r="AH159" s="106"/>
      <c r="AI159" s="106"/>
      <c r="AJ159" s="106"/>
    </row>
    <row r="160" spans="1:59" x14ac:dyDescent="0.2">
      <c r="P160" s="106"/>
      <c r="Q160" s="106"/>
      <c r="R160" s="106"/>
      <c r="S160" s="106"/>
      <c r="T160" s="106"/>
      <c r="U160" s="106"/>
      <c r="V160" s="106"/>
      <c r="W160" s="106"/>
      <c r="X160" s="106"/>
      <c r="Y160" s="106"/>
      <c r="Z160" s="106"/>
      <c r="AA160" s="106"/>
      <c r="AB160" s="457"/>
      <c r="AC160" s="106"/>
      <c r="AD160" s="106"/>
      <c r="AE160" s="457"/>
      <c r="AF160" s="106"/>
      <c r="AG160" s="106"/>
      <c r="AH160" s="457"/>
      <c r="AI160" s="457"/>
      <c r="AJ160" s="457"/>
    </row>
    <row r="161" spans="1:60" x14ac:dyDescent="0.2">
      <c r="P161" s="106"/>
      <c r="Q161" s="106"/>
      <c r="R161" s="106"/>
      <c r="S161" s="106"/>
      <c r="T161" s="457"/>
      <c r="U161" s="106"/>
      <c r="V161" s="106"/>
      <c r="W161" s="106"/>
      <c r="X161" s="106"/>
      <c r="Y161" s="106"/>
      <c r="Z161" s="106"/>
      <c r="AA161" s="106"/>
      <c r="AB161" s="106"/>
      <c r="AC161" s="106"/>
      <c r="AD161" s="106"/>
      <c r="AE161" s="106"/>
      <c r="AF161" s="106"/>
      <c r="AG161" s="106"/>
      <c r="AH161" s="457"/>
      <c r="AI161" s="457"/>
      <c r="AJ161" s="457"/>
    </row>
    <row r="162" spans="1:60" x14ac:dyDescent="0.2">
      <c r="P162" s="457"/>
      <c r="Q162" s="457"/>
      <c r="R162" s="457"/>
      <c r="S162" s="457"/>
      <c r="T162" s="457"/>
      <c r="U162" s="457"/>
      <c r="V162" s="457"/>
      <c r="W162" s="106"/>
      <c r="X162" s="106"/>
      <c r="Y162" s="106"/>
      <c r="Z162" s="106"/>
      <c r="AA162" s="106"/>
      <c r="AB162" s="106"/>
      <c r="AC162" s="106"/>
      <c r="AD162" s="106"/>
      <c r="AE162" s="106"/>
      <c r="AF162" s="106"/>
      <c r="AG162" s="106"/>
      <c r="AH162" s="457"/>
      <c r="AI162" s="106"/>
      <c r="AJ162" s="106"/>
      <c r="BH162" s="113"/>
    </row>
    <row r="163" spans="1:60" x14ac:dyDescent="0.2">
      <c r="P163" s="457"/>
      <c r="Q163" s="106"/>
      <c r="R163" s="106"/>
      <c r="S163" s="106"/>
      <c r="T163" s="106"/>
      <c r="U163" s="106"/>
      <c r="V163" s="106"/>
      <c r="W163" s="457"/>
      <c r="X163" s="457"/>
      <c r="Y163" s="457"/>
      <c r="Z163" s="457"/>
      <c r="AA163" s="457"/>
      <c r="AB163" s="457"/>
      <c r="AC163" s="457"/>
      <c r="AD163" s="457"/>
      <c r="AE163" s="457"/>
      <c r="AF163" s="106"/>
      <c r="AG163" s="106"/>
      <c r="AH163" s="457"/>
      <c r="AI163" s="106"/>
      <c r="AJ163" s="106"/>
      <c r="BH163" s="95"/>
    </row>
    <row r="164" spans="1:60" x14ac:dyDescent="0.2">
      <c r="P164" s="457"/>
      <c r="Q164" s="106"/>
      <c r="R164" s="106"/>
      <c r="S164" s="106"/>
      <c r="T164" s="106"/>
      <c r="U164" s="106"/>
      <c r="V164" s="106"/>
      <c r="W164" s="92"/>
      <c r="X164" s="92"/>
      <c r="Y164" s="92"/>
      <c r="Z164" s="92"/>
      <c r="AA164" s="92"/>
      <c r="AB164" s="92"/>
      <c r="AC164" s="92"/>
      <c r="AD164" s="92"/>
      <c r="AE164" s="92"/>
      <c r="AF164" s="92"/>
      <c r="AG164" s="92"/>
      <c r="AH164" s="92"/>
      <c r="AI164" s="92"/>
      <c r="AJ164" s="92"/>
      <c r="AK164" s="457"/>
      <c r="AL164" s="457"/>
      <c r="AM164" s="457"/>
      <c r="AN164" s="457"/>
      <c r="AO164" s="457"/>
      <c r="AP164" s="457"/>
      <c r="BH164" s="95"/>
    </row>
    <row r="165" spans="1:60" x14ac:dyDescent="0.2">
      <c r="A165" s="457"/>
      <c r="B165" s="102"/>
      <c r="C165" s="102"/>
      <c r="D165" s="102"/>
      <c r="E165" s="102"/>
      <c r="F165" s="102"/>
      <c r="G165" s="102"/>
      <c r="H165" s="102"/>
      <c r="I165" s="102"/>
      <c r="J165" s="102"/>
      <c r="K165" s="102"/>
      <c r="L165" s="457"/>
      <c r="M165" s="457"/>
      <c r="N165" s="457"/>
      <c r="O165" s="457"/>
      <c r="P165" s="95"/>
      <c r="Q165" s="95"/>
      <c r="R165" s="95"/>
      <c r="S165" s="95"/>
      <c r="T165" s="95"/>
      <c r="U165" s="95"/>
      <c r="V165" s="95"/>
    </row>
    <row r="166" spans="1:60" x14ac:dyDescent="0.2">
      <c r="A166" s="457"/>
      <c r="B166" s="102"/>
      <c r="C166" s="102"/>
      <c r="D166" s="102"/>
      <c r="E166" s="102"/>
      <c r="F166" s="102"/>
      <c r="G166" s="102"/>
      <c r="H166" s="106"/>
      <c r="I166" s="102"/>
      <c r="J166" s="102"/>
      <c r="K166" s="102"/>
      <c r="L166" s="102"/>
      <c r="M166" s="106"/>
      <c r="N166" s="106"/>
      <c r="O166" s="106"/>
    </row>
    <row r="167" spans="1:60" x14ac:dyDescent="0.2">
      <c r="A167" s="457"/>
      <c r="B167" s="106"/>
      <c r="C167" s="106"/>
      <c r="D167" s="106"/>
      <c r="E167" s="106"/>
      <c r="F167" s="457"/>
      <c r="G167" s="106"/>
      <c r="H167" s="457"/>
      <c r="I167" s="106"/>
      <c r="J167" s="106"/>
      <c r="K167" s="106"/>
      <c r="L167" s="102"/>
      <c r="M167" s="106"/>
      <c r="N167" s="106"/>
      <c r="O167" s="106"/>
    </row>
    <row r="168" spans="1:60" x14ac:dyDescent="0.2">
      <c r="A168" s="457"/>
      <c r="B168" s="106"/>
      <c r="C168" s="106"/>
      <c r="D168" s="106"/>
      <c r="E168" s="106"/>
      <c r="F168" s="106"/>
      <c r="G168" s="106"/>
      <c r="H168" s="106"/>
      <c r="I168" s="106"/>
      <c r="J168" s="106"/>
      <c r="K168" s="106"/>
      <c r="L168" s="106"/>
      <c r="M168" s="457"/>
      <c r="N168" s="457"/>
      <c r="O168" s="457"/>
    </row>
    <row r="169" spans="1:60" x14ac:dyDescent="0.2">
      <c r="A169" s="457"/>
      <c r="B169" s="106"/>
      <c r="C169" s="106"/>
      <c r="D169" s="106"/>
      <c r="E169" s="106"/>
      <c r="F169" s="106"/>
      <c r="G169" s="106"/>
      <c r="H169" s="106"/>
      <c r="I169" s="106"/>
      <c r="J169" s="106"/>
      <c r="K169" s="106"/>
      <c r="L169" s="106"/>
      <c r="M169" s="457"/>
      <c r="N169" s="457"/>
      <c r="O169" s="457"/>
    </row>
    <row r="170" spans="1:60" x14ac:dyDescent="0.2">
      <c r="A170" s="457"/>
      <c r="B170" s="457"/>
      <c r="C170" s="457"/>
      <c r="D170" s="457"/>
      <c r="E170" s="457"/>
      <c r="F170" s="457"/>
      <c r="G170" s="457"/>
      <c r="H170" s="457"/>
      <c r="I170" s="457"/>
      <c r="J170" s="457"/>
      <c r="K170" s="457"/>
      <c r="L170" s="106"/>
      <c r="M170" s="457"/>
      <c r="N170" s="106"/>
      <c r="O170" s="106"/>
    </row>
    <row r="171" spans="1:60" x14ac:dyDescent="0.2">
      <c r="A171" s="112"/>
      <c r="B171" s="112"/>
      <c r="C171" s="112"/>
      <c r="D171" s="112"/>
      <c r="E171" s="112"/>
      <c r="F171" s="112"/>
      <c r="G171" s="112"/>
      <c r="H171" s="112"/>
      <c r="I171" s="112"/>
      <c r="J171" s="112"/>
      <c r="K171" s="112"/>
      <c r="L171" s="457"/>
      <c r="M171" s="457"/>
      <c r="N171" s="106"/>
      <c r="O171" s="106"/>
    </row>
    <row r="175" spans="1:60" x14ac:dyDescent="0.2">
      <c r="AQ175" s="460"/>
      <c r="AR175" s="460"/>
      <c r="AS175" s="460"/>
      <c r="AT175" s="460"/>
      <c r="AU175" s="460"/>
      <c r="AV175" s="460"/>
      <c r="AW175" s="460"/>
      <c r="AX175" s="460"/>
      <c r="AY175" s="460"/>
      <c r="AZ175" s="460"/>
      <c r="BA175" s="460"/>
      <c r="BB175" s="460"/>
      <c r="BC175" s="460"/>
      <c r="BD175" s="460"/>
      <c r="BE175" s="460"/>
      <c r="BF175" s="460"/>
      <c r="BG175" s="460"/>
    </row>
    <row r="177" spans="3:59" x14ac:dyDescent="0.2">
      <c r="J177" s="460"/>
      <c r="K177" s="460"/>
    </row>
    <row r="180" spans="3:59" x14ac:dyDescent="0.2">
      <c r="H180" s="460"/>
      <c r="I180" s="460"/>
    </row>
    <row r="185" spans="3:59" x14ac:dyDescent="0.2">
      <c r="C185" s="460"/>
      <c r="D185" s="460"/>
      <c r="E185" s="460"/>
    </row>
    <row r="189" spans="3:59" x14ac:dyDescent="0.2">
      <c r="AQ189" s="460"/>
      <c r="AR189" s="460"/>
      <c r="AS189" s="460"/>
      <c r="AT189" s="460"/>
      <c r="AU189" s="460"/>
      <c r="AV189" s="460"/>
      <c r="AW189" s="460"/>
      <c r="AX189" s="460"/>
      <c r="AY189" s="460"/>
      <c r="AZ189" s="460"/>
      <c r="BA189" s="460"/>
      <c r="BB189" s="460"/>
      <c r="BC189" s="460"/>
      <c r="BD189" s="460"/>
      <c r="BE189" s="460"/>
      <c r="BF189" s="460"/>
      <c r="BG189" s="460"/>
    </row>
    <row r="191" spans="3:59" x14ac:dyDescent="0.2">
      <c r="H191" s="460"/>
      <c r="I191" s="460"/>
      <c r="J191" s="460"/>
      <c r="K191" s="460"/>
    </row>
    <row r="196" spans="3:59" x14ac:dyDescent="0.2">
      <c r="E196" s="460"/>
    </row>
    <row r="198" spans="3:59" x14ac:dyDescent="0.2">
      <c r="C198" s="460"/>
      <c r="D198" s="460"/>
    </row>
    <row r="200" spans="3:59" x14ac:dyDescent="0.2">
      <c r="AQ200" s="460"/>
      <c r="AR200" s="460"/>
      <c r="AS200" s="460"/>
      <c r="AT200" s="460"/>
      <c r="AU200" s="460"/>
      <c r="AV200" s="460"/>
      <c r="AW200" s="460"/>
      <c r="AX200" s="460"/>
      <c r="AY200" s="460"/>
      <c r="AZ200" s="460"/>
      <c r="BA200" s="460"/>
      <c r="BB200" s="460"/>
      <c r="BC200" s="460"/>
      <c r="BD200" s="460"/>
      <c r="BE200" s="460"/>
      <c r="BF200" s="460"/>
      <c r="BG200" s="460"/>
    </row>
    <row r="202" spans="3:59" x14ac:dyDescent="0.2">
      <c r="J202" s="460"/>
      <c r="K202" s="460"/>
    </row>
  </sheetData>
  <mergeCells count="121">
    <mergeCell ref="I138:X138"/>
    <mergeCell ref="AF111:BG115"/>
    <mergeCell ref="AE121:BF121"/>
    <mergeCell ref="AF123:BG125"/>
    <mergeCell ref="AF126:BG129"/>
    <mergeCell ref="AF130:BG133"/>
    <mergeCell ref="AF88:BG94"/>
    <mergeCell ref="AF95:BG99"/>
    <mergeCell ref="AE101:BG101"/>
    <mergeCell ref="AE109:BG109"/>
    <mergeCell ref="B111:AC112"/>
    <mergeCell ref="B113:AC121"/>
    <mergeCell ref="B122:AC123"/>
    <mergeCell ref="B124:AC132"/>
    <mergeCell ref="AG72:BG77"/>
    <mergeCell ref="C80:AC81"/>
    <mergeCell ref="A137:AD137"/>
    <mergeCell ref="A135:BG135"/>
    <mergeCell ref="A79:AC79"/>
    <mergeCell ref="AE79:BG79"/>
    <mergeCell ref="AE137:BG137"/>
    <mergeCell ref="G146:J146"/>
    <mergeCell ref="AL146:AP146"/>
    <mergeCell ref="D139:AB139"/>
    <mergeCell ref="AP139:BE139"/>
    <mergeCell ref="E140:AA141"/>
    <mergeCell ref="AF140:AO140"/>
    <mergeCell ref="AP140:BF142"/>
    <mergeCell ref="G142:J143"/>
    <mergeCell ref="K142:Z143"/>
    <mergeCell ref="AM143:AO143"/>
    <mergeCell ref="AP143:BF144"/>
    <mergeCell ref="G144:J144"/>
    <mergeCell ref="K144:X144"/>
    <mergeCell ref="G145:J145"/>
    <mergeCell ref="K145:X145"/>
    <mergeCell ref="AM145:AO145"/>
    <mergeCell ref="AP145:BE145"/>
    <mergeCell ref="AE80:BF80"/>
    <mergeCell ref="A94:B94"/>
    <mergeCell ref="C94:AC96"/>
    <mergeCell ref="A98:AC98"/>
    <mergeCell ref="B100:AC104"/>
    <mergeCell ref="A106:AC106"/>
    <mergeCell ref="B108:AC110"/>
    <mergeCell ref="AH3:BG4"/>
    <mergeCell ref="AH5:BG7"/>
    <mergeCell ref="A70:B70"/>
    <mergeCell ref="C70:AC72"/>
    <mergeCell ref="A73:B73"/>
    <mergeCell ref="C73:AC74"/>
    <mergeCell ref="A75:B75"/>
    <mergeCell ref="C75:AC77"/>
    <mergeCell ref="A87:B87"/>
    <mergeCell ref="C87:AC87"/>
    <mergeCell ref="C88:AC93"/>
    <mergeCell ref="AE64:AF64"/>
    <mergeCell ref="AG64:BG65"/>
    <mergeCell ref="AE66:AF66"/>
    <mergeCell ref="AG66:BG71"/>
    <mergeCell ref="AF103:BG105"/>
    <mergeCell ref="AF106:BG108"/>
    <mergeCell ref="A82:B82"/>
    <mergeCell ref="AG37:BG38"/>
    <mergeCell ref="AH28:BG28"/>
    <mergeCell ref="AH29:BG30"/>
    <mergeCell ref="AF31:BG31"/>
    <mergeCell ref="AE32:AF32"/>
    <mergeCell ref="AE47:AF47"/>
    <mergeCell ref="AG47:BG47"/>
    <mergeCell ref="AE48:AF48"/>
    <mergeCell ref="AG48:BG51"/>
    <mergeCell ref="A66:AC66"/>
    <mergeCell ref="B68:AC68"/>
    <mergeCell ref="A69:B69"/>
    <mergeCell ref="C69:AC69"/>
    <mergeCell ref="A38:AC38"/>
    <mergeCell ref="B43:AC46"/>
    <mergeCell ref="B47:AC49"/>
    <mergeCell ref="B50:AC53"/>
    <mergeCell ref="AE72:AF72"/>
    <mergeCell ref="AE52:AF52"/>
    <mergeCell ref="AG52:BG62"/>
    <mergeCell ref="AF39:BG39"/>
    <mergeCell ref="AE40:AF40"/>
    <mergeCell ref="AE42:AF42"/>
    <mergeCell ref="B54:AC56"/>
    <mergeCell ref="A58:AC58"/>
    <mergeCell ref="B60:AC64"/>
    <mergeCell ref="AE34:AF34"/>
    <mergeCell ref="AG34:BG34"/>
    <mergeCell ref="AE35:AF35"/>
    <mergeCell ref="AG35:BG36"/>
    <mergeCell ref="AE37:AF37"/>
    <mergeCell ref="AG42:BG44"/>
    <mergeCell ref="AE45:AF45"/>
    <mergeCell ref="AG45:BG46"/>
    <mergeCell ref="AF82:BG87"/>
    <mergeCell ref="C82:AC86"/>
    <mergeCell ref="AF116:BG120"/>
    <mergeCell ref="A1:AC1"/>
    <mergeCell ref="A3:R3"/>
    <mergeCell ref="S3:AC3"/>
    <mergeCell ref="A5:AC11"/>
    <mergeCell ref="A12:AC12"/>
    <mergeCell ref="B13:AC20"/>
    <mergeCell ref="AH8:BG10"/>
    <mergeCell ref="AH11:BG18"/>
    <mergeCell ref="AH19:BG23"/>
    <mergeCell ref="B21:AC23"/>
    <mergeCell ref="AG1:BG2"/>
    <mergeCell ref="B24:AC28"/>
    <mergeCell ref="B34:AC35"/>
    <mergeCell ref="A37:AC37"/>
    <mergeCell ref="AF63:BG63"/>
    <mergeCell ref="AG40:BG41"/>
    <mergeCell ref="AH24:BG25"/>
    <mergeCell ref="AH26:BG27"/>
    <mergeCell ref="B29:AC33"/>
    <mergeCell ref="AG32:BG33"/>
    <mergeCell ref="B40:AC42"/>
  </mergeCells>
  <pageMargins left="0.67" right="0.37" top="0.34" bottom="0.17" header="0.35" footer="0.17"/>
  <pageSetup scale="87" orientation="portrait" r:id="rId1"/>
  <headerFooter alignWithMargins="0">
    <oddFooter xml:space="preserve">&amp;C&amp;"Times New Roman,Обычный"                             </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KM6">
    <tabColor theme="3" tint="0.39997558519241921"/>
  </sheetPr>
  <dimension ref="A1:BH202"/>
  <sheetViews>
    <sheetView view="pageBreakPreview" topLeftCell="A7" zoomScaleNormal="120" zoomScaleSheetLayoutView="100" workbookViewId="0">
      <selection activeCell="B13" sqref="B13:AC20"/>
    </sheetView>
  </sheetViews>
  <sheetFormatPr defaultRowHeight="11.25" x14ac:dyDescent="0.2"/>
  <cols>
    <col min="1" max="1" width="3.5703125" style="519" customWidth="1"/>
    <col min="2" max="29" width="1.7109375" style="519" customWidth="1"/>
    <col min="30" max="30" width="2.28515625" style="519" customWidth="1"/>
    <col min="31" max="31" width="3.5703125" style="519" customWidth="1"/>
    <col min="32" max="33" width="1.7109375" style="95" customWidth="1"/>
    <col min="34" max="60" width="1.7109375" style="519" customWidth="1"/>
    <col min="61" max="16384" width="9.140625" style="519"/>
  </cols>
  <sheetData>
    <row r="1" spans="1:59" x14ac:dyDescent="0.2">
      <c r="A1" s="695" t="str">
        <f>"KREDİT  MÜQAVİLƏSİ  "&amp;LD_NUM</f>
        <v>KREDİT  MÜQAVİLƏSİ  LD/15212/00143</v>
      </c>
      <c r="B1" s="695"/>
      <c r="C1" s="695"/>
      <c r="D1" s="695"/>
      <c r="E1" s="695"/>
      <c r="F1" s="695"/>
      <c r="G1" s="695"/>
      <c r="H1" s="695"/>
      <c r="I1" s="695"/>
      <c r="J1" s="695"/>
      <c r="K1" s="695"/>
      <c r="L1" s="695"/>
      <c r="M1" s="695"/>
      <c r="N1" s="695"/>
      <c r="O1" s="695"/>
      <c r="P1" s="695"/>
      <c r="Q1" s="695"/>
      <c r="R1" s="695"/>
      <c r="S1" s="695"/>
      <c r="T1" s="695"/>
      <c r="U1" s="695"/>
      <c r="V1" s="695"/>
      <c r="W1" s="695"/>
      <c r="X1" s="695"/>
      <c r="Y1" s="695"/>
      <c r="Z1" s="695"/>
      <c r="AA1" s="695"/>
      <c r="AB1" s="695"/>
      <c r="AC1" s="695"/>
      <c r="AD1" s="507"/>
      <c r="AG1" s="511" t="s">
        <v>49</v>
      </c>
      <c r="AH1" s="694" t="str">
        <f>"«Borc alan»ın krediti və onun faizlərinin ödənilməsi  dövriliyini ən az 2 (iki) dəfə 5 (b"&amp;"eş) təqvim günündən çox pozduqda;"</f>
        <v>«Borc alan»ın krediti və onun faizlərinin ödənilməsi  dövriliyini ən az 2 (iki) dəfə 5 (beş) təqvim günündən çox pozduqda;</v>
      </c>
      <c r="AI1" s="694"/>
      <c r="AJ1" s="694"/>
      <c r="AK1" s="694"/>
      <c r="AL1" s="694"/>
      <c r="AM1" s="694"/>
      <c r="AN1" s="694"/>
      <c r="AO1" s="694"/>
      <c r="AP1" s="694"/>
      <c r="AQ1" s="694"/>
      <c r="AR1" s="694"/>
      <c r="AS1" s="694"/>
      <c r="AT1" s="694"/>
      <c r="AU1" s="694"/>
      <c r="AV1" s="694"/>
      <c r="AW1" s="694"/>
      <c r="AX1" s="694"/>
      <c r="AY1" s="694"/>
      <c r="AZ1" s="694"/>
      <c r="BA1" s="694"/>
      <c r="BB1" s="694"/>
      <c r="BC1" s="694"/>
      <c r="BD1" s="694"/>
      <c r="BE1" s="694"/>
      <c r="BF1" s="694"/>
      <c r="BG1" s="694"/>
    </row>
    <row r="2" spans="1:59" x14ac:dyDescent="0.2">
      <c r="A2" s="507"/>
      <c r="B2" s="507"/>
      <c r="C2" s="507"/>
      <c r="D2" s="507"/>
      <c r="E2" s="507"/>
      <c r="F2" s="507"/>
      <c r="G2" s="507"/>
      <c r="H2" s="507"/>
      <c r="I2" s="507"/>
      <c r="J2" s="507"/>
      <c r="K2" s="507"/>
      <c r="L2" s="507"/>
      <c r="M2" s="507"/>
      <c r="N2" s="507"/>
      <c r="O2" s="507"/>
      <c r="P2" s="507"/>
      <c r="Q2" s="507"/>
      <c r="R2" s="507"/>
      <c r="S2" s="507"/>
      <c r="T2" s="507"/>
      <c r="U2" s="507"/>
      <c r="V2" s="507"/>
      <c r="W2" s="507"/>
      <c r="X2" s="507"/>
      <c r="Y2" s="507"/>
      <c r="Z2" s="507"/>
      <c r="AA2" s="507"/>
      <c r="AB2" s="507"/>
      <c r="AC2" s="507"/>
      <c r="AD2" s="507"/>
      <c r="AG2" s="511"/>
      <c r="AH2" s="694"/>
      <c r="AI2" s="694"/>
      <c r="AJ2" s="694"/>
      <c r="AK2" s="694"/>
      <c r="AL2" s="694"/>
      <c r="AM2" s="694"/>
      <c r="AN2" s="694"/>
      <c r="AO2" s="694"/>
      <c r="AP2" s="694"/>
      <c r="AQ2" s="694"/>
      <c r="AR2" s="694"/>
      <c r="AS2" s="694"/>
      <c r="AT2" s="694"/>
      <c r="AU2" s="694"/>
      <c r="AV2" s="694"/>
      <c r="AW2" s="694"/>
      <c r="AX2" s="694"/>
      <c r="AY2" s="694"/>
      <c r="AZ2" s="694"/>
      <c r="BA2" s="694"/>
      <c r="BB2" s="694"/>
      <c r="BC2" s="694"/>
      <c r="BD2" s="694"/>
      <c r="BE2" s="694"/>
      <c r="BF2" s="694"/>
      <c r="BG2" s="694"/>
    </row>
    <row r="3" spans="1:59" x14ac:dyDescent="0.2">
      <c r="A3" s="696" t="str">
        <f>NAME_REGION</f>
        <v>Ağcabədi şəhəri</v>
      </c>
      <c r="B3" s="696"/>
      <c r="C3" s="696"/>
      <c r="D3" s="696"/>
      <c r="E3" s="696"/>
      <c r="F3" s="696"/>
      <c r="G3" s="696"/>
      <c r="H3" s="696"/>
      <c r="I3" s="696"/>
      <c r="J3" s="696"/>
      <c r="K3" s="696"/>
      <c r="L3" s="696"/>
      <c r="M3" s="696"/>
      <c r="N3" s="696"/>
      <c r="O3" s="696"/>
      <c r="P3" s="696"/>
      <c r="Q3" s="696"/>
      <c r="R3" s="696"/>
      <c r="S3" s="697" t="str">
        <f>START_DATE_KREDIT_SOZLE</f>
        <v>«31» İyul 2015-ci il</v>
      </c>
      <c r="T3" s="697"/>
      <c r="U3" s="697"/>
      <c r="V3" s="697"/>
      <c r="W3" s="697"/>
      <c r="X3" s="697"/>
      <c r="Y3" s="697"/>
      <c r="Z3" s="697"/>
      <c r="AA3" s="697"/>
      <c r="AB3" s="697"/>
      <c r="AC3" s="697"/>
      <c r="AD3" s="507"/>
      <c r="AG3" s="511" t="s">
        <v>47</v>
      </c>
      <c r="AH3" s="694" t="str">
        <f>"«Borc alan»ın krediti və onun faizlərinin ödənilməsi  dövriliyini bu müqavilənin tərkib hissəsi ola"&amp;"n ödəniş cədvəli üzrə müəyyən edilmiş müddətdən 7 (yeddi) təqvim günündən artıq  gecikdirdikdə;"</f>
        <v>«Borc alan»ın krediti və onun faizlərinin ödənilməsi  dövriliyini bu müqavilənin tərkib hissəsi olan ödəniş cədvəli üzrə müəyyən edilmiş müddətdən 7 (yeddi) təqvim günündən artıq  gecikdirdikdə;</v>
      </c>
      <c r="AI3" s="694"/>
      <c r="AJ3" s="694"/>
      <c r="AK3" s="694"/>
      <c r="AL3" s="694"/>
      <c r="AM3" s="694"/>
      <c r="AN3" s="694"/>
      <c r="AO3" s="694"/>
      <c r="AP3" s="694"/>
      <c r="AQ3" s="694"/>
      <c r="AR3" s="694"/>
      <c r="AS3" s="694"/>
      <c r="AT3" s="694"/>
      <c r="AU3" s="694"/>
      <c r="AV3" s="694"/>
      <c r="AW3" s="694"/>
      <c r="AX3" s="694"/>
      <c r="AY3" s="694"/>
      <c r="AZ3" s="694"/>
      <c r="BA3" s="694"/>
      <c r="BB3" s="694"/>
      <c r="BC3" s="694"/>
      <c r="BD3" s="694"/>
      <c r="BE3" s="694"/>
      <c r="BF3" s="694"/>
      <c r="BG3" s="694"/>
    </row>
    <row r="4" spans="1:59" x14ac:dyDescent="0.2">
      <c r="AD4" s="507"/>
      <c r="AG4" s="511"/>
      <c r="AH4" s="694"/>
      <c r="AI4" s="694"/>
      <c r="AJ4" s="694"/>
      <c r="AK4" s="694"/>
      <c r="AL4" s="694"/>
      <c r="AM4" s="694"/>
      <c r="AN4" s="694"/>
      <c r="AO4" s="694"/>
      <c r="AP4" s="694"/>
      <c r="AQ4" s="694"/>
      <c r="AR4" s="694"/>
      <c r="AS4" s="694"/>
      <c r="AT4" s="694"/>
      <c r="AU4" s="694"/>
      <c r="AV4" s="694"/>
      <c r="AW4" s="694"/>
      <c r="AX4" s="694"/>
      <c r="AY4" s="694"/>
      <c r="AZ4" s="694"/>
      <c r="BA4" s="694"/>
      <c r="BB4" s="694"/>
      <c r="BC4" s="694"/>
      <c r="BD4" s="694"/>
      <c r="BE4" s="694"/>
      <c r="BF4" s="694"/>
      <c r="BG4" s="694"/>
    </row>
    <row r="5" spans="1:59" x14ac:dyDescent="0.2">
      <c r="A5" s="694" t="str">
        <f>"Bir tərəfdən bundan sonra «Borc verən» adlanacaq, Azərbaycan Respublikasının Mərkəzi Bankı  tərəfindən  verilmiş  lisenziya və Nizamnamə əsasında fəaliyyət göstərən, Bank Olmayan Kredit Təşkilatı «Vijn Fond Azərkredit» MMC, "&amp;NAME_BRANCH&amp;"  "&amp;POSITION_MENEGER_BRANCH&amp;" "&amp;SURNAME_MENEGER_BRANCH&amp;" "&amp;NAME_MENEGER_BRANCH&amp;" "&amp;FATHERNAME_MENEGER_BRANCH&amp;" "&amp;G_MENEGER_BRANCH&amp;"nun şəxsində və digər tərəfdən  bundan sonra  «Borc alan»  adlanacaq "&amp;SURNAME_KREDITOR&amp;" "&amp;NAME_KREDITOR&amp;" "&amp;FATHERNAME_KREDITOR&amp;" "&amp;G_KREDITOR&amp;"  aşağıdakı məzmunda və şərtlərlə bu müqaviləni bağladılar."</f>
        <v>Bir tərəfdən bundan sonra «Borc verən» adlanacaq, Azərbaycan Respublikasının Mərkəzi Bankı  tərəfindən  verilmiş  lisenziya və Nizamnamə əsasında fəaliyyət göstərən, Bank Olmayan Kredit Təşkilatı «Vijn Fond Azərkredit» MMC, Ağcabədi  Filialının  kredit meneceri Əhmədov  Bəhruz  Tofiq  oğlunun şəxsində və digər tərəfdən  bundan sonra  «Borc alan»  adlanacaq Həsənov Kənan Asdan qızı  aşağıdakı məzmunda və şərtlərlə bu müqaviləni bağladılar.</v>
      </c>
      <c r="B5" s="694"/>
      <c r="C5" s="694"/>
      <c r="D5" s="694"/>
      <c r="E5" s="694"/>
      <c r="F5" s="694"/>
      <c r="G5" s="694"/>
      <c r="H5" s="694"/>
      <c r="I5" s="694"/>
      <c r="J5" s="694"/>
      <c r="K5" s="694"/>
      <c r="L5" s="694"/>
      <c r="M5" s="694"/>
      <c r="N5" s="694"/>
      <c r="O5" s="694"/>
      <c r="P5" s="694"/>
      <c r="Q5" s="694"/>
      <c r="R5" s="694"/>
      <c r="S5" s="694"/>
      <c r="T5" s="694"/>
      <c r="U5" s="694"/>
      <c r="V5" s="694"/>
      <c r="W5" s="694"/>
      <c r="X5" s="694"/>
      <c r="Y5" s="694"/>
      <c r="Z5" s="694"/>
      <c r="AA5" s="694"/>
      <c r="AB5" s="694"/>
      <c r="AC5" s="694"/>
      <c r="AD5" s="507"/>
      <c r="AG5" s="511"/>
      <c r="AH5" s="694"/>
      <c r="AI5" s="694"/>
      <c r="AJ5" s="694"/>
      <c r="AK5" s="694"/>
      <c r="AL5" s="694"/>
      <c r="AM5" s="694"/>
      <c r="AN5" s="694"/>
      <c r="AO5" s="694"/>
      <c r="AP5" s="694"/>
      <c r="AQ5" s="694"/>
      <c r="AR5" s="694"/>
      <c r="AS5" s="694"/>
      <c r="AT5" s="694"/>
      <c r="AU5" s="694"/>
      <c r="AV5" s="694"/>
      <c r="AW5" s="694"/>
      <c r="AX5" s="694"/>
      <c r="AY5" s="694"/>
      <c r="AZ5" s="694"/>
      <c r="BA5" s="694"/>
      <c r="BB5" s="694"/>
      <c r="BC5" s="694"/>
      <c r="BD5" s="694"/>
      <c r="BE5" s="694"/>
      <c r="BF5" s="694"/>
      <c r="BG5" s="694"/>
    </row>
    <row r="6" spans="1:59" x14ac:dyDescent="0.2">
      <c r="A6" s="694"/>
      <c r="B6" s="694"/>
      <c r="C6" s="694"/>
      <c r="D6" s="694"/>
      <c r="E6" s="694"/>
      <c r="F6" s="694"/>
      <c r="G6" s="694"/>
      <c r="H6" s="694"/>
      <c r="I6" s="694"/>
      <c r="J6" s="694"/>
      <c r="K6" s="694"/>
      <c r="L6" s="694"/>
      <c r="M6" s="694"/>
      <c r="N6" s="694"/>
      <c r="O6" s="694"/>
      <c r="P6" s="694"/>
      <c r="Q6" s="694"/>
      <c r="R6" s="694"/>
      <c r="S6" s="694"/>
      <c r="T6" s="694"/>
      <c r="U6" s="694"/>
      <c r="V6" s="694"/>
      <c r="W6" s="694"/>
      <c r="X6" s="694"/>
      <c r="Y6" s="694"/>
      <c r="Z6" s="694"/>
      <c r="AA6" s="694"/>
      <c r="AB6" s="694"/>
      <c r="AC6" s="694"/>
      <c r="AD6" s="507"/>
      <c r="AG6" s="511" t="s">
        <v>46</v>
      </c>
      <c r="AH6" s="694" t="s">
        <v>440</v>
      </c>
      <c r="AI6" s="694"/>
      <c r="AJ6" s="694"/>
      <c r="AK6" s="694"/>
      <c r="AL6" s="694"/>
      <c r="AM6" s="694"/>
      <c r="AN6" s="694"/>
      <c r="AO6" s="694"/>
      <c r="AP6" s="694"/>
      <c r="AQ6" s="694"/>
      <c r="AR6" s="694"/>
      <c r="AS6" s="694"/>
      <c r="AT6" s="694"/>
      <c r="AU6" s="694"/>
      <c r="AV6" s="694"/>
      <c r="AW6" s="694"/>
      <c r="AX6" s="694"/>
      <c r="AY6" s="694"/>
      <c r="AZ6" s="694"/>
      <c r="BA6" s="694"/>
      <c r="BB6" s="694"/>
      <c r="BC6" s="694"/>
      <c r="BD6" s="694"/>
      <c r="BE6" s="694"/>
      <c r="BF6" s="694"/>
      <c r="BG6" s="694"/>
    </row>
    <row r="7" spans="1:59" x14ac:dyDescent="0.2">
      <c r="A7" s="694"/>
      <c r="B7" s="694"/>
      <c r="C7" s="694"/>
      <c r="D7" s="694"/>
      <c r="E7" s="694"/>
      <c r="F7" s="694"/>
      <c r="G7" s="694"/>
      <c r="H7" s="694"/>
      <c r="I7" s="694"/>
      <c r="J7" s="694"/>
      <c r="K7" s="694"/>
      <c r="L7" s="694"/>
      <c r="M7" s="694"/>
      <c r="N7" s="694"/>
      <c r="O7" s="694"/>
      <c r="P7" s="694"/>
      <c r="Q7" s="694"/>
      <c r="R7" s="694"/>
      <c r="S7" s="694"/>
      <c r="T7" s="694"/>
      <c r="U7" s="694"/>
      <c r="V7" s="694"/>
      <c r="W7" s="694"/>
      <c r="X7" s="694"/>
      <c r="Y7" s="694"/>
      <c r="Z7" s="694"/>
      <c r="AA7" s="694"/>
      <c r="AB7" s="694"/>
      <c r="AC7" s="694"/>
      <c r="AD7" s="507"/>
      <c r="AG7" s="511"/>
      <c r="AH7" s="694"/>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row>
    <row r="8" spans="1:59" x14ac:dyDescent="0.2">
      <c r="A8" s="694"/>
      <c r="B8" s="694"/>
      <c r="C8" s="694"/>
      <c r="D8" s="694"/>
      <c r="E8" s="694"/>
      <c r="F8" s="694"/>
      <c r="G8" s="694"/>
      <c r="H8" s="694"/>
      <c r="I8" s="694"/>
      <c r="J8" s="694"/>
      <c r="K8" s="694"/>
      <c r="L8" s="694"/>
      <c r="M8" s="694"/>
      <c r="N8" s="694"/>
      <c r="O8" s="694"/>
      <c r="P8" s="694"/>
      <c r="Q8" s="694"/>
      <c r="R8" s="694"/>
      <c r="S8" s="694"/>
      <c r="T8" s="694"/>
      <c r="U8" s="694"/>
      <c r="V8" s="694"/>
      <c r="W8" s="694"/>
      <c r="X8" s="694"/>
      <c r="Y8" s="694"/>
      <c r="Z8" s="694"/>
      <c r="AA8" s="694"/>
      <c r="AB8" s="694"/>
      <c r="AC8" s="694"/>
      <c r="AD8" s="507"/>
      <c r="AG8" s="511"/>
      <c r="AH8" s="694"/>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row>
    <row r="9" spans="1:59" x14ac:dyDescent="0.2">
      <c r="A9" s="694"/>
      <c r="B9" s="694"/>
      <c r="C9" s="694"/>
      <c r="D9" s="694"/>
      <c r="E9" s="694"/>
      <c r="F9" s="694"/>
      <c r="G9" s="694"/>
      <c r="H9" s="694"/>
      <c r="I9" s="694"/>
      <c r="J9" s="694"/>
      <c r="K9" s="694"/>
      <c r="L9" s="694"/>
      <c r="M9" s="694"/>
      <c r="N9" s="694"/>
      <c r="O9" s="694"/>
      <c r="P9" s="694"/>
      <c r="Q9" s="694"/>
      <c r="R9" s="694"/>
      <c r="S9" s="694"/>
      <c r="T9" s="694"/>
      <c r="U9" s="694"/>
      <c r="V9" s="694"/>
      <c r="W9" s="694"/>
      <c r="X9" s="694"/>
      <c r="Y9" s="694"/>
      <c r="Z9" s="694"/>
      <c r="AA9" s="694"/>
      <c r="AB9" s="694"/>
      <c r="AC9" s="694"/>
      <c r="AD9" s="507"/>
      <c r="AG9" s="511" t="s">
        <v>467</v>
      </c>
      <c r="AH9" s="694" t="str">
        <f>"«Borc alan» tərəfindən «Borc verən»i aldatmağa yönəlmiş hər hansı bir hərəkətin edildiyi, o cümlədən «Borc alan» özünün fəaliyyəti, iqtisadi maliyyə imkanları və bu müqavilə üzrə öhdəliyin vaxtında və lazımi qaydada icrası üçün əhəmiyyətli olan digər "&amp;"faktlar (dövlət büdcəsinə, digər hüquqi və fiziki şəxslərə olan borclar,"&amp;"kreditorlar qarşısında icra edilməmiş mülki-hüquqi öhdəliklər  və s.) haqqında verdiyi məlumatla"&amp;"rın və təqdim etdiyi sənədlərin həqiqətə uyğun olmadığı aşkar edildikdə;"</f>
        <v>«Borc alan» tərəfindən «Borc verən»i aldatmağa yönəlmiş hər hansı bir hərəkətin edildiyi, o cümlədən «Borc alan» özünün fəaliyyəti, iqtisadi maliyyə imkanları və bu müqavilə üzrə öhdəliyin vaxtında və lazımi qaydada icrası üçün əhəmiyyətli olan digər faktlar (dövlət büdcəsinə, digər hüquqi və fiziki şəxslərə olan borclar,kreditorlar qarşısında icra edilməmiş mülki-hüquqi öhdəliklər  və s.) haqqında verdiyi məlumatların və təqdim etdiyi sənədlərin həqiqətə uyğun olmadığı aşkar edildikdə;</v>
      </c>
      <c r="AI9" s="694"/>
      <c r="AJ9" s="694"/>
      <c r="AK9" s="694"/>
      <c r="AL9" s="694"/>
      <c r="AM9" s="694"/>
      <c r="AN9" s="694"/>
      <c r="AO9" s="694"/>
      <c r="AP9" s="694"/>
      <c r="AQ9" s="694"/>
      <c r="AR9" s="694"/>
      <c r="AS9" s="694"/>
      <c r="AT9" s="694"/>
      <c r="AU9" s="694"/>
      <c r="AV9" s="694"/>
      <c r="AW9" s="694"/>
      <c r="AX9" s="694"/>
      <c r="AY9" s="694"/>
      <c r="AZ9" s="694"/>
      <c r="BA9" s="694"/>
      <c r="BB9" s="694"/>
      <c r="BC9" s="694"/>
      <c r="BD9" s="694"/>
      <c r="BE9" s="694"/>
      <c r="BF9" s="694"/>
      <c r="BG9" s="694"/>
    </row>
    <row r="10" spans="1:59" x14ac:dyDescent="0.2">
      <c r="A10" s="694"/>
      <c r="B10" s="694"/>
      <c r="C10" s="694"/>
      <c r="D10" s="694"/>
      <c r="E10" s="694"/>
      <c r="F10" s="694"/>
      <c r="G10" s="694"/>
      <c r="H10" s="694"/>
      <c r="I10" s="694"/>
      <c r="J10" s="694"/>
      <c r="K10" s="694"/>
      <c r="L10" s="694"/>
      <c r="M10" s="694"/>
      <c r="N10" s="694"/>
      <c r="O10" s="694"/>
      <c r="P10" s="694"/>
      <c r="Q10" s="694"/>
      <c r="R10" s="694"/>
      <c r="S10" s="694"/>
      <c r="T10" s="694"/>
      <c r="U10" s="694"/>
      <c r="V10" s="694"/>
      <c r="W10" s="694"/>
      <c r="X10" s="694"/>
      <c r="Y10" s="694"/>
      <c r="Z10" s="694"/>
      <c r="AA10" s="694"/>
      <c r="AB10" s="694"/>
      <c r="AC10" s="694"/>
      <c r="AD10" s="507"/>
      <c r="AG10" s="511"/>
      <c r="AH10" s="694"/>
      <c r="AI10" s="694"/>
      <c r="AJ10" s="694"/>
      <c r="AK10" s="694"/>
      <c r="AL10" s="694"/>
      <c r="AM10" s="694"/>
      <c r="AN10" s="694"/>
      <c r="AO10" s="694"/>
      <c r="AP10" s="694"/>
      <c r="AQ10" s="694"/>
      <c r="AR10" s="694"/>
      <c r="AS10" s="694"/>
      <c r="AT10" s="694"/>
      <c r="AU10" s="694"/>
      <c r="AV10" s="694"/>
      <c r="AW10" s="694"/>
      <c r="AX10" s="694"/>
      <c r="AY10" s="694"/>
      <c r="AZ10" s="694"/>
      <c r="BA10" s="694"/>
      <c r="BB10" s="694"/>
      <c r="BC10" s="694"/>
      <c r="BD10" s="694"/>
      <c r="BE10" s="694"/>
      <c r="BF10" s="694"/>
      <c r="BG10" s="694"/>
    </row>
    <row r="11" spans="1:59" x14ac:dyDescent="0.2">
      <c r="A11" s="694"/>
      <c r="B11" s="694"/>
      <c r="C11" s="694"/>
      <c r="D11" s="694"/>
      <c r="E11" s="694"/>
      <c r="F11" s="694"/>
      <c r="G11" s="694"/>
      <c r="H11" s="694"/>
      <c r="I11" s="694"/>
      <c r="J11" s="694"/>
      <c r="K11" s="694"/>
      <c r="L11" s="694"/>
      <c r="M11" s="694"/>
      <c r="N11" s="694"/>
      <c r="O11" s="694"/>
      <c r="P11" s="694"/>
      <c r="Q11" s="694"/>
      <c r="R11" s="694"/>
      <c r="S11" s="694"/>
      <c r="T11" s="694"/>
      <c r="U11" s="694"/>
      <c r="V11" s="694"/>
      <c r="W11" s="694"/>
      <c r="X11" s="694"/>
      <c r="Y11" s="694"/>
      <c r="Z11" s="694"/>
      <c r="AA11" s="694"/>
      <c r="AB11" s="694"/>
      <c r="AC11" s="694"/>
      <c r="AD11" s="507"/>
      <c r="AG11" s="511"/>
      <c r="AH11" s="694"/>
      <c r="AI11" s="694"/>
      <c r="AJ11" s="694"/>
      <c r="AK11" s="694"/>
      <c r="AL11" s="694"/>
      <c r="AM11" s="694"/>
      <c r="AN11" s="694"/>
      <c r="AO11" s="694"/>
      <c r="AP11" s="694"/>
      <c r="AQ11" s="694"/>
      <c r="AR11" s="694"/>
      <c r="AS11" s="694"/>
      <c r="AT11" s="694"/>
      <c r="AU11" s="694"/>
      <c r="AV11" s="694"/>
      <c r="AW11" s="694"/>
      <c r="AX11" s="694"/>
      <c r="AY11" s="694"/>
      <c r="AZ11" s="694"/>
      <c r="BA11" s="694"/>
      <c r="BB11" s="694"/>
      <c r="BC11" s="694"/>
      <c r="BD11" s="694"/>
      <c r="BE11" s="694"/>
      <c r="BF11" s="694"/>
      <c r="BG11" s="694"/>
    </row>
    <row r="12" spans="1:59" x14ac:dyDescent="0.2">
      <c r="A12" s="695" t="s">
        <v>164</v>
      </c>
      <c r="B12" s="695"/>
      <c r="C12" s="695"/>
      <c r="D12" s="695"/>
      <c r="E12" s="695"/>
      <c r="F12" s="695"/>
      <c r="G12" s="695"/>
      <c r="H12" s="695"/>
      <c r="I12" s="695"/>
      <c r="J12" s="695"/>
      <c r="K12" s="695"/>
      <c r="L12" s="695"/>
      <c r="M12" s="695"/>
      <c r="N12" s="695"/>
      <c r="O12" s="695"/>
      <c r="P12" s="695"/>
      <c r="Q12" s="695"/>
      <c r="R12" s="695"/>
      <c r="S12" s="695"/>
      <c r="T12" s="695"/>
      <c r="U12" s="695"/>
      <c r="V12" s="695"/>
      <c r="W12" s="695"/>
      <c r="X12" s="695"/>
      <c r="Y12" s="695"/>
      <c r="Z12" s="695"/>
      <c r="AA12" s="695"/>
      <c r="AB12" s="695"/>
      <c r="AC12" s="695"/>
      <c r="AD12" s="507"/>
      <c r="AG12" s="511"/>
      <c r="AH12" s="694"/>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row>
    <row r="13" spans="1:59" x14ac:dyDescent="0.2">
      <c r="A13" s="99" t="s">
        <v>93</v>
      </c>
      <c r="B13" s="694" t="str">
        <f>"Bu müqaviləyə görə «Borc verən» «Borc alan»a sonuncunun öz biznesini inkişaf etdirmək və həyat səviyyəsini yaxşılaşdırmaq üçün "&amp;OLD_DATE_KREDIT_SOZLE&amp;" tarixli LD/"&amp;LEFT(OLD_LD,5)&amp;"/"&amp;RIGHT(OLD_LD,5)&amp;" nömrəli kredit müqaviləsi əsasında götürdüyü kredit üzrə "&amp;START_DATE_KREDIT_SOZLE&amp;" tarixə olan qalıq öhdəliyini isə restrukturizasiya edir, «Borc alan» isəisə restrukturizas"&amp;"iya edilmiş yeni öhdəliyi qəbul edir və həmin krediti bu müqavilə ilə müəyyən olunmuş müddətdə faizi ilə birlikdə «Borc verən»ə qaytarmağı öz öhdəsinə götürür."</f>
        <v>Bu müqaviləyə görə «Borc verən» «Borc alan»a sonuncunun öz biznesini inkişaf etdirmək və həyat səviyyəsini yaxşılaşdırmaq üçün «27» İyul 2014-cü il tarixli LD/12345/67890 nömrəli kredit müqaviləsi əsasında götürdüyü kredit üzrə «31» İyul 2015-ci il tarixə olan qalıq öhdəliyini isə restrukturizasiya edir, «Borc alan» isəisə restrukturizasiya edilmiş yeni öhdəliyi qəbul edir və həmin krediti bu müqavilə ilə müəyyən olunmuş müddətdə faizi ilə birlikdə «Borc verən»ə qaytarmağı öz öhdəsinə götürür.</v>
      </c>
      <c r="C13" s="694"/>
      <c r="D13" s="694"/>
      <c r="E13" s="694"/>
      <c r="F13" s="694"/>
      <c r="G13" s="694"/>
      <c r="H13" s="694"/>
      <c r="I13" s="694"/>
      <c r="J13" s="694"/>
      <c r="K13" s="694"/>
      <c r="L13" s="694"/>
      <c r="M13" s="694"/>
      <c r="N13" s="694"/>
      <c r="O13" s="694"/>
      <c r="P13" s="694"/>
      <c r="Q13" s="694"/>
      <c r="R13" s="694"/>
      <c r="S13" s="694"/>
      <c r="T13" s="694"/>
      <c r="U13" s="694"/>
      <c r="V13" s="694"/>
      <c r="W13" s="694"/>
      <c r="X13" s="694"/>
      <c r="Y13" s="694"/>
      <c r="Z13" s="694"/>
      <c r="AA13" s="694"/>
      <c r="AB13" s="694"/>
      <c r="AC13" s="694"/>
      <c r="AD13" s="507"/>
      <c r="AG13" s="511"/>
      <c r="AH13" s="694"/>
      <c r="AI13" s="694"/>
      <c r="AJ13" s="694"/>
      <c r="AK13" s="694"/>
      <c r="AL13" s="694"/>
      <c r="AM13" s="694"/>
      <c r="AN13" s="694"/>
      <c r="AO13" s="694"/>
      <c r="AP13" s="694"/>
      <c r="AQ13" s="694"/>
      <c r="AR13" s="694"/>
      <c r="AS13" s="694"/>
      <c r="AT13" s="694"/>
      <c r="AU13" s="694"/>
      <c r="AV13" s="694"/>
      <c r="AW13" s="694"/>
      <c r="AX13" s="694"/>
      <c r="AY13" s="694"/>
      <c r="AZ13" s="694"/>
      <c r="BA13" s="694"/>
      <c r="BB13" s="694"/>
      <c r="BC13" s="694"/>
      <c r="BD13" s="694"/>
      <c r="BE13" s="694"/>
      <c r="BF13" s="694"/>
      <c r="BG13" s="694"/>
    </row>
    <row r="14" spans="1:59" x14ac:dyDescent="0.2">
      <c r="A14" s="99"/>
      <c r="B14" s="694"/>
      <c r="C14" s="694"/>
      <c r="D14" s="694"/>
      <c r="E14" s="694"/>
      <c r="F14" s="694"/>
      <c r="G14" s="694"/>
      <c r="H14" s="694"/>
      <c r="I14" s="694"/>
      <c r="J14" s="694"/>
      <c r="K14" s="694"/>
      <c r="L14" s="694"/>
      <c r="M14" s="694"/>
      <c r="N14" s="694"/>
      <c r="O14" s="694"/>
      <c r="P14" s="694"/>
      <c r="Q14" s="694"/>
      <c r="R14" s="694"/>
      <c r="S14" s="694"/>
      <c r="T14" s="694"/>
      <c r="U14" s="694"/>
      <c r="V14" s="694"/>
      <c r="W14" s="694"/>
      <c r="X14" s="694"/>
      <c r="Y14" s="694"/>
      <c r="Z14" s="694"/>
      <c r="AA14" s="694"/>
      <c r="AB14" s="694"/>
      <c r="AC14" s="694"/>
      <c r="AD14" s="507"/>
      <c r="AG14" s="511"/>
      <c r="AH14" s="694"/>
      <c r="AI14" s="694"/>
      <c r="AJ14" s="694"/>
      <c r="AK14" s="694"/>
      <c r="AL14" s="694"/>
      <c r="AM14" s="694"/>
      <c r="AN14" s="694"/>
      <c r="AO14" s="694"/>
      <c r="AP14" s="694"/>
      <c r="AQ14" s="694"/>
      <c r="AR14" s="694"/>
      <c r="AS14" s="694"/>
      <c r="AT14" s="694"/>
      <c r="AU14" s="694"/>
      <c r="AV14" s="694"/>
      <c r="AW14" s="694"/>
      <c r="AX14" s="694"/>
      <c r="AY14" s="694"/>
      <c r="AZ14" s="694"/>
      <c r="BA14" s="694"/>
      <c r="BB14" s="694"/>
      <c r="BC14" s="694"/>
      <c r="BD14" s="694"/>
      <c r="BE14" s="694"/>
      <c r="BF14" s="694"/>
      <c r="BG14" s="694"/>
    </row>
    <row r="15" spans="1:59" x14ac:dyDescent="0.2">
      <c r="B15" s="694"/>
      <c r="C15" s="694"/>
      <c r="D15" s="694"/>
      <c r="E15" s="694"/>
      <c r="F15" s="694"/>
      <c r="G15" s="694"/>
      <c r="H15" s="694"/>
      <c r="I15" s="694"/>
      <c r="J15" s="694"/>
      <c r="K15" s="694"/>
      <c r="L15" s="694"/>
      <c r="M15" s="694"/>
      <c r="N15" s="694"/>
      <c r="O15" s="694"/>
      <c r="P15" s="694"/>
      <c r="Q15" s="694"/>
      <c r="R15" s="694"/>
      <c r="S15" s="694"/>
      <c r="T15" s="694"/>
      <c r="U15" s="694"/>
      <c r="V15" s="694"/>
      <c r="W15" s="694"/>
      <c r="X15" s="694"/>
      <c r="Y15" s="694"/>
      <c r="Z15" s="694"/>
      <c r="AA15" s="694"/>
      <c r="AB15" s="694"/>
      <c r="AC15" s="694"/>
      <c r="AD15" s="507"/>
      <c r="AG15" s="511"/>
      <c r="AH15" s="694"/>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row>
    <row r="16" spans="1:59" x14ac:dyDescent="0.2">
      <c r="B16" s="694"/>
      <c r="C16" s="694"/>
      <c r="D16" s="694"/>
      <c r="E16" s="694"/>
      <c r="F16" s="694"/>
      <c r="G16" s="694"/>
      <c r="H16" s="694"/>
      <c r="I16" s="694"/>
      <c r="J16" s="694"/>
      <c r="K16" s="694"/>
      <c r="L16" s="694"/>
      <c r="M16" s="694"/>
      <c r="N16" s="694"/>
      <c r="O16" s="694"/>
      <c r="P16" s="694"/>
      <c r="Q16" s="694"/>
      <c r="R16" s="694"/>
      <c r="S16" s="694"/>
      <c r="T16" s="694"/>
      <c r="U16" s="694"/>
      <c r="V16" s="694"/>
      <c r="W16" s="694"/>
      <c r="X16" s="694"/>
      <c r="Y16" s="694"/>
      <c r="Z16" s="694"/>
      <c r="AA16" s="694"/>
      <c r="AB16" s="694"/>
      <c r="AC16" s="694"/>
      <c r="AD16" s="507"/>
      <c r="AG16" s="511"/>
      <c r="AH16" s="694"/>
      <c r="AI16" s="694"/>
      <c r="AJ16" s="694"/>
      <c r="AK16" s="694"/>
      <c r="AL16" s="694"/>
      <c r="AM16" s="694"/>
      <c r="AN16" s="694"/>
      <c r="AO16" s="694"/>
      <c r="AP16" s="694"/>
      <c r="AQ16" s="694"/>
      <c r="AR16" s="694"/>
      <c r="AS16" s="694"/>
      <c r="AT16" s="694"/>
      <c r="AU16" s="694"/>
      <c r="AV16" s="694"/>
      <c r="AW16" s="694"/>
      <c r="AX16" s="694"/>
      <c r="AY16" s="694"/>
      <c r="AZ16" s="694"/>
      <c r="BA16" s="694"/>
      <c r="BB16" s="694"/>
      <c r="BC16" s="694"/>
      <c r="BD16" s="694"/>
      <c r="BE16" s="694"/>
      <c r="BF16" s="694"/>
      <c r="BG16" s="694"/>
    </row>
    <row r="17" spans="1:59" ht="11.25" customHeight="1" x14ac:dyDescent="0.2">
      <c r="B17" s="694"/>
      <c r="C17" s="694"/>
      <c r="D17" s="694"/>
      <c r="E17" s="694"/>
      <c r="F17" s="694"/>
      <c r="G17" s="694"/>
      <c r="H17" s="694"/>
      <c r="I17" s="694"/>
      <c r="J17" s="694"/>
      <c r="K17" s="694"/>
      <c r="L17" s="694"/>
      <c r="M17" s="694"/>
      <c r="N17" s="694"/>
      <c r="O17" s="694"/>
      <c r="P17" s="694"/>
      <c r="Q17" s="694"/>
      <c r="R17" s="694"/>
      <c r="S17" s="694"/>
      <c r="T17" s="694"/>
      <c r="U17" s="694"/>
      <c r="V17" s="694"/>
      <c r="W17" s="694"/>
      <c r="X17" s="694"/>
      <c r="Y17" s="694"/>
      <c r="Z17" s="694"/>
      <c r="AA17" s="694"/>
      <c r="AB17" s="694"/>
      <c r="AC17" s="694"/>
      <c r="AD17" s="507"/>
      <c r="AG17" s="511" t="s">
        <v>468</v>
      </c>
      <c r="AH17" s="694" t="str">
        <f>"Kreditin təyinati üzrə istifadə edilməsinin yoxlanılması, eləcə də, «Borc alan»ın maliyyə vəziyyətinin təhlil edilməsi, krediti qaytarmaq qabiliyyətinin müəyyənləşdirilməsi məqsədilə "&amp;"«Borc verən» tərəfindən yoxlamaların (monitorinq) aparılmasına hər hansı bir şəkildə maneçilik törətdikdə; "</f>
        <v xml:space="preserve">Kreditin təyinati üzrə istifadə edilməsinin yoxlanılması, eləcə də, «Borc alan»ın maliyyə vəziyyətinin təhlil edilməsi, krediti qaytarmaq qabiliyyətinin müəyyənləşdirilməsi məqsədilə «Borc verən» tərəfindən yoxlamaların (monitorinq) aparılmasına hər hansı bir şəkildə maneçilik törətdikdə; </v>
      </c>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row>
    <row r="18" spans="1:59" x14ac:dyDescent="0.2">
      <c r="B18" s="694"/>
      <c r="C18" s="694"/>
      <c r="D18" s="694"/>
      <c r="E18" s="694"/>
      <c r="F18" s="694"/>
      <c r="G18" s="694"/>
      <c r="H18" s="694"/>
      <c r="I18" s="694"/>
      <c r="J18" s="694"/>
      <c r="K18" s="694"/>
      <c r="L18" s="694"/>
      <c r="M18" s="694"/>
      <c r="N18" s="694"/>
      <c r="O18" s="694"/>
      <c r="P18" s="694"/>
      <c r="Q18" s="694"/>
      <c r="R18" s="694"/>
      <c r="S18" s="694"/>
      <c r="T18" s="694"/>
      <c r="U18" s="694"/>
      <c r="V18" s="694"/>
      <c r="W18" s="694"/>
      <c r="X18" s="694"/>
      <c r="Y18" s="694"/>
      <c r="Z18" s="694"/>
      <c r="AA18" s="694"/>
      <c r="AB18" s="694"/>
      <c r="AC18" s="694"/>
      <c r="AD18" s="507"/>
      <c r="AG18" s="511"/>
      <c r="AH18" s="694"/>
      <c r="AI18" s="694"/>
      <c r="AJ18" s="694"/>
      <c r="AK18" s="694"/>
      <c r="AL18" s="694"/>
      <c r="AM18" s="694"/>
      <c r="AN18" s="694"/>
      <c r="AO18" s="694"/>
      <c r="AP18" s="694"/>
      <c r="AQ18" s="694"/>
      <c r="AR18" s="694"/>
      <c r="AS18" s="694"/>
      <c r="AT18" s="694"/>
      <c r="AU18" s="694"/>
      <c r="AV18" s="694"/>
      <c r="AW18" s="694"/>
      <c r="AX18" s="694"/>
      <c r="AY18" s="694"/>
      <c r="AZ18" s="694"/>
      <c r="BA18" s="694"/>
      <c r="BB18" s="694"/>
      <c r="BC18" s="694"/>
      <c r="BD18" s="694"/>
      <c r="BE18" s="694"/>
      <c r="BF18" s="694"/>
      <c r="BG18" s="694"/>
    </row>
    <row r="19" spans="1:59" x14ac:dyDescent="0.2">
      <c r="B19" s="694"/>
      <c r="C19" s="694"/>
      <c r="D19" s="694"/>
      <c r="E19" s="694"/>
      <c r="F19" s="694"/>
      <c r="G19" s="694"/>
      <c r="H19" s="694"/>
      <c r="I19" s="694"/>
      <c r="J19" s="694"/>
      <c r="K19" s="694"/>
      <c r="L19" s="694"/>
      <c r="M19" s="694"/>
      <c r="N19" s="694"/>
      <c r="O19" s="694"/>
      <c r="P19" s="694"/>
      <c r="Q19" s="694"/>
      <c r="R19" s="694"/>
      <c r="S19" s="694"/>
      <c r="T19" s="694"/>
      <c r="U19" s="694"/>
      <c r="V19" s="694"/>
      <c r="W19" s="694"/>
      <c r="X19" s="694"/>
      <c r="Y19" s="694"/>
      <c r="Z19" s="694"/>
      <c r="AA19" s="694"/>
      <c r="AB19" s="694"/>
      <c r="AC19" s="694"/>
      <c r="AD19" s="507"/>
      <c r="AF19" s="519"/>
      <c r="AG19" s="511"/>
      <c r="AH19" s="694"/>
      <c r="AI19" s="694"/>
      <c r="AJ19" s="694"/>
      <c r="AK19" s="694"/>
      <c r="AL19" s="694"/>
      <c r="AM19" s="694"/>
      <c r="AN19" s="694"/>
      <c r="AO19" s="694"/>
      <c r="AP19" s="694"/>
      <c r="AQ19" s="694"/>
      <c r="AR19" s="694"/>
      <c r="AS19" s="694"/>
      <c r="AT19" s="694"/>
      <c r="AU19" s="694"/>
      <c r="AV19" s="694"/>
      <c r="AW19" s="694"/>
      <c r="AX19" s="694"/>
      <c r="AY19" s="694"/>
      <c r="AZ19" s="694"/>
      <c r="BA19" s="694"/>
      <c r="BB19" s="694"/>
      <c r="BC19" s="694"/>
      <c r="BD19" s="694"/>
      <c r="BE19" s="694"/>
      <c r="BF19" s="694"/>
      <c r="BG19" s="694"/>
    </row>
    <row r="20" spans="1:59" ht="12.75" customHeight="1" x14ac:dyDescent="0.2">
      <c r="B20" s="694"/>
      <c r="C20" s="694"/>
      <c r="D20" s="694"/>
      <c r="E20" s="694"/>
      <c r="F20" s="694"/>
      <c r="G20" s="694"/>
      <c r="H20" s="694"/>
      <c r="I20" s="694"/>
      <c r="J20" s="694"/>
      <c r="K20" s="694"/>
      <c r="L20" s="694"/>
      <c r="M20" s="694"/>
      <c r="N20" s="694"/>
      <c r="O20" s="694"/>
      <c r="P20" s="694"/>
      <c r="Q20" s="694"/>
      <c r="R20" s="694"/>
      <c r="S20" s="694"/>
      <c r="T20" s="694"/>
      <c r="U20" s="694"/>
      <c r="V20" s="694"/>
      <c r="W20" s="694"/>
      <c r="X20" s="694"/>
      <c r="Y20" s="694"/>
      <c r="Z20" s="694"/>
      <c r="AA20" s="694"/>
      <c r="AB20" s="694"/>
      <c r="AC20" s="694"/>
      <c r="AD20" s="507"/>
      <c r="AF20" s="519"/>
      <c r="AG20" s="511"/>
      <c r="AH20" s="694"/>
      <c r="AI20" s="694"/>
      <c r="AJ20" s="694"/>
      <c r="AK20" s="694"/>
      <c r="AL20" s="694"/>
      <c r="AM20" s="694"/>
      <c r="AN20" s="694"/>
      <c r="AO20" s="694"/>
      <c r="AP20" s="694"/>
      <c r="AQ20" s="694"/>
      <c r="AR20" s="694"/>
      <c r="AS20" s="694"/>
      <c r="AT20" s="694"/>
      <c r="AU20" s="694"/>
      <c r="AV20" s="694"/>
      <c r="AW20" s="694"/>
      <c r="AX20" s="694"/>
      <c r="AY20" s="694"/>
      <c r="AZ20" s="694"/>
      <c r="BA20" s="694"/>
      <c r="BB20" s="694"/>
      <c r="BC20" s="694"/>
      <c r="BD20" s="694"/>
      <c r="BE20" s="694"/>
      <c r="BF20" s="694"/>
      <c r="BG20" s="694"/>
    </row>
    <row r="21" spans="1:59" ht="11.25" customHeight="1" x14ac:dyDescent="0.2">
      <c r="A21" s="100" t="s">
        <v>88</v>
      </c>
      <c r="B21" s="694" t="str">
        <f>"“Borc alan”ın  "&amp;OLD_DATE_KREDIT_SOZLE&amp;" tarixli LD/"&amp;LEFT(OLD_LD,5)&amp;"/"&amp;RIGHT(OLD_LD,5)&amp;" nömrəli kredit müqaviləsi üzrə götürdüyü kreditin "&amp;START_DATE_KREDIT_SOZLE&amp;" tarixə əsas məbləğ və faiz borcu üzrə cəmi  qalığı "&amp;OLD_MEBLEQ_SOZLE&amp;" təşkil edir. “Borc alan” bu məbləğ restrukturizasiya olunmuş yeni kredit öhdəliyi kimi qəbul edir."</f>
        <v>“Borc alan”ın  «27» İyul 2014-cü il tarixli LD/12345/67890 nömrəli kredit müqaviləsi üzrə götürdüyü kreditin «31» İyul 2015-ci il tarixə əsas məbləğ və faiz borcu üzrə cəmi  qalığı 963.03 USD (doqquz yüz altmış üç  ABŞ dolları 3 sent) təşkil edir. “Borc alan” bu məbləğ restrukturizasiya olunmuş yeni kredit öhdəliyi kimi qəbul edir.</v>
      </c>
      <c r="C21" s="694"/>
      <c r="D21" s="694"/>
      <c r="E21" s="694"/>
      <c r="F21" s="694"/>
      <c r="G21" s="694"/>
      <c r="H21" s="694"/>
      <c r="I21" s="694"/>
      <c r="J21" s="694"/>
      <c r="K21" s="694"/>
      <c r="L21" s="694"/>
      <c r="M21" s="694"/>
      <c r="N21" s="694"/>
      <c r="O21" s="694"/>
      <c r="P21" s="694"/>
      <c r="Q21" s="694"/>
      <c r="R21" s="694"/>
      <c r="S21" s="694"/>
      <c r="T21" s="694"/>
      <c r="U21" s="694"/>
      <c r="V21" s="694"/>
      <c r="W21" s="694"/>
      <c r="X21" s="694"/>
      <c r="Y21" s="694"/>
      <c r="Z21" s="694"/>
      <c r="AA21" s="694"/>
      <c r="AB21" s="694"/>
      <c r="AC21" s="694"/>
      <c r="AD21" s="507"/>
      <c r="AF21" s="505"/>
      <c r="AG21" s="511"/>
      <c r="AH21" s="694"/>
      <c r="AI21" s="694"/>
      <c r="AJ21" s="694"/>
      <c r="AK21" s="694"/>
      <c r="AL21" s="694"/>
      <c r="AM21" s="694"/>
      <c r="AN21" s="694"/>
      <c r="AO21" s="694"/>
      <c r="AP21" s="694"/>
      <c r="AQ21" s="694"/>
      <c r="AR21" s="694"/>
      <c r="AS21" s="694"/>
      <c r="AT21" s="694"/>
      <c r="AU21" s="694"/>
      <c r="AV21" s="694"/>
      <c r="AW21" s="694"/>
      <c r="AX21" s="694"/>
      <c r="AY21" s="694"/>
      <c r="AZ21" s="694"/>
      <c r="BA21" s="694"/>
      <c r="BB21" s="694"/>
      <c r="BC21" s="694"/>
      <c r="BD21" s="694"/>
      <c r="BE21" s="694"/>
      <c r="BF21" s="694"/>
      <c r="BG21" s="694"/>
    </row>
    <row r="22" spans="1:59" x14ac:dyDescent="0.2">
      <c r="A22" s="100"/>
      <c r="B22" s="694"/>
      <c r="C22" s="694"/>
      <c r="D22" s="694"/>
      <c r="E22" s="694"/>
      <c r="F22" s="694"/>
      <c r="G22" s="694"/>
      <c r="H22" s="694"/>
      <c r="I22" s="694"/>
      <c r="J22" s="694"/>
      <c r="K22" s="694"/>
      <c r="L22" s="694"/>
      <c r="M22" s="694"/>
      <c r="N22" s="694"/>
      <c r="O22" s="694"/>
      <c r="P22" s="694"/>
      <c r="Q22" s="694"/>
      <c r="R22" s="694"/>
      <c r="S22" s="694"/>
      <c r="T22" s="694"/>
      <c r="U22" s="694"/>
      <c r="V22" s="694"/>
      <c r="W22" s="694"/>
      <c r="X22" s="694"/>
      <c r="Y22" s="694"/>
      <c r="Z22" s="694"/>
      <c r="AA22" s="694"/>
      <c r="AB22" s="694"/>
      <c r="AC22" s="694"/>
      <c r="AD22" s="507"/>
      <c r="AG22" s="511" t="s">
        <v>469</v>
      </c>
      <c r="AH22" s="694" t="s">
        <v>453</v>
      </c>
      <c r="AI22" s="694"/>
      <c r="AJ22" s="694"/>
      <c r="AK22" s="694"/>
      <c r="AL22" s="694"/>
      <c r="AM22" s="694"/>
      <c r="AN22" s="694"/>
      <c r="AO22" s="694"/>
      <c r="AP22" s="694"/>
      <c r="AQ22" s="694"/>
      <c r="AR22" s="694"/>
      <c r="AS22" s="694"/>
      <c r="AT22" s="694"/>
      <c r="AU22" s="694"/>
      <c r="AV22" s="694"/>
      <c r="AW22" s="694"/>
      <c r="AX22" s="694"/>
      <c r="AY22" s="694"/>
      <c r="AZ22" s="694"/>
      <c r="BA22" s="694"/>
      <c r="BB22" s="694"/>
      <c r="BC22" s="694"/>
      <c r="BD22" s="694"/>
      <c r="BE22" s="694"/>
      <c r="BF22" s="694"/>
      <c r="BG22" s="694"/>
    </row>
    <row r="23" spans="1:59" x14ac:dyDescent="0.2">
      <c r="A23" s="100"/>
      <c r="B23" s="694"/>
      <c r="C23" s="694"/>
      <c r="D23" s="694"/>
      <c r="E23" s="694"/>
      <c r="F23" s="694"/>
      <c r="G23" s="694"/>
      <c r="H23" s="694"/>
      <c r="I23" s="694"/>
      <c r="J23" s="694"/>
      <c r="K23" s="694"/>
      <c r="L23" s="694"/>
      <c r="M23" s="694"/>
      <c r="N23" s="694"/>
      <c r="O23" s="694"/>
      <c r="P23" s="694"/>
      <c r="Q23" s="694"/>
      <c r="R23" s="694"/>
      <c r="S23" s="694"/>
      <c r="T23" s="694"/>
      <c r="U23" s="694"/>
      <c r="V23" s="694"/>
      <c r="W23" s="694"/>
      <c r="X23" s="694"/>
      <c r="Y23" s="694"/>
      <c r="Z23" s="694"/>
      <c r="AA23" s="694"/>
      <c r="AB23" s="694"/>
      <c r="AC23" s="694"/>
      <c r="AD23" s="507"/>
      <c r="AG23" s="511"/>
      <c r="AH23" s="694"/>
      <c r="AI23" s="694"/>
      <c r="AJ23" s="694"/>
      <c r="AK23" s="694"/>
      <c r="AL23" s="694"/>
      <c r="AM23" s="694"/>
      <c r="AN23" s="694"/>
      <c r="AO23" s="694"/>
      <c r="AP23" s="694"/>
      <c r="AQ23" s="694"/>
      <c r="AR23" s="694"/>
      <c r="AS23" s="694"/>
      <c r="AT23" s="694"/>
      <c r="AU23" s="694"/>
      <c r="AV23" s="694"/>
      <c r="AW23" s="694"/>
      <c r="AX23" s="694"/>
      <c r="AY23" s="694"/>
      <c r="AZ23" s="694"/>
      <c r="BA23" s="694"/>
      <c r="BB23" s="694"/>
      <c r="BC23" s="694"/>
      <c r="BD23" s="694"/>
      <c r="BE23" s="694"/>
      <c r="BF23" s="694"/>
      <c r="BG23" s="694"/>
    </row>
    <row r="24" spans="1:59" x14ac:dyDescent="0.2">
      <c r="B24" s="694"/>
      <c r="C24" s="694"/>
      <c r="D24" s="694"/>
      <c r="E24" s="694"/>
      <c r="F24" s="694"/>
      <c r="G24" s="694"/>
      <c r="H24" s="694"/>
      <c r="I24" s="694"/>
      <c r="J24" s="694"/>
      <c r="K24" s="694"/>
      <c r="L24" s="694"/>
      <c r="M24" s="694"/>
      <c r="N24" s="694"/>
      <c r="O24" s="694"/>
      <c r="P24" s="694"/>
      <c r="Q24" s="694"/>
      <c r="R24" s="694"/>
      <c r="S24" s="694"/>
      <c r="T24" s="694"/>
      <c r="U24" s="694"/>
      <c r="V24" s="694"/>
      <c r="W24" s="694"/>
      <c r="X24" s="694"/>
      <c r="Y24" s="694"/>
      <c r="Z24" s="694"/>
      <c r="AA24" s="694"/>
      <c r="AB24" s="694"/>
      <c r="AC24" s="694"/>
      <c r="AF24" s="519"/>
      <c r="AG24" s="511" t="s">
        <v>470</v>
      </c>
      <c r="AH24" s="694" t="s">
        <v>454</v>
      </c>
      <c r="AI24" s="694"/>
      <c r="AJ24" s="694"/>
      <c r="AK24" s="694"/>
      <c r="AL24" s="694"/>
      <c r="AM24" s="694"/>
      <c r="AN24" s="694"/>
      <c r="AO24" s="694"/>
      <c r="AP24" s="694"/>
      <c r="AQ24" s="694"/>
      <c r="AR24" s="694"/>
      <c r="AS24" s="694"/>
      <c r="AT24" s="694"/>
      <c r="AU24" s="694"/>
      <c r="AV24" s="694"/>
      <c r="AW24" s="694"/>
      <c r="AX24" s="694"/>
      <c r="AY24" s="694"/>
      <c r="AZ24" s="694"/>
      <c r="BA24" s="694"/>
      <c r="BB24" s="694"/>
      <c r="BC24" s="694"/>
      <c r="BD24" s="694"/>
      <c r="BE24" s="694"/>
      <c r="BF24" s="694"/>
      <c r="BG24" s="694"/>
    </row>
    <row r="25" spans="1:59" x14ac:dyDescent="0.2">
      <c r="B25" s="694"/>
      <c r="C25" s="694"/>
      <c r="D25" s="694"/>
      <c r="E25" s="694"/>
      <c r="F25" s="694"/>
      <c r="G25" s="694"/>
      <c r="H25" s="694"/>
      <c r="I25" s="694"/>
      <c r="J25" s="694"/>
      <c r="K25" s="694"/>
      <c r="L25" s="694"/>
      <c r="M25" s="694"/>
      <c r="N25" s="694"/>
      <c r="O25" s="694"/>
      <c r="P25" s="694"/>
      <c r="Q25" s="694"/>
      <c r="R25" s="694"/>
      <c r="S25" s="694"/>
      <c r="T25" s="694"/>
      <c r="U25" s="694"/>
      <c r="V25" s="694"/>
      <c r="W25" s="694"/>
      <c r="X25" s="694"/>
      <c r="Y25" s="694"/>
      <c r="Z25" s="694"/>
      <c r="AA25" s="694"/>
      <c r="AB25" s="694"/>
      <c r="AC25" s="694"/>
      <c r="AF25" s="519"/>
      <c r="AG25" s="511"/>
      <c r="AH25" s="694"/>
      <c r="AI25" s="694"/>
      <c r="AJ25" s="694"/>
      <c r="AK25" s="694"/>
      <c r="AL25" s="694"/>
      <c r="AM25" s="694"/>
      <c r="AN25" s="694"/>
      <c r="AO25" s="694"/>
      <c r="AP25" s="694"/>
      <c r="AQ25" s="694"/>
      <c r="AR25" s="694"/>
      <c r="AS25" s="694"/>
      <c r="AT25" s="694"/>
      <c r="AU25" s="694"/>
      <c r="AV25" s="694"/>
      <c r="AW25" s="694"/>
      <c r="AX25" s="694"/>
      <c r="AY25" s="694"/>
      <c r="AZ25" s="694"/>
      <c r="BA25" s="694"/>
      <c r="BB25" s="694"/>
      <c r="BC25" s="694"/>
      <c r="BD25" s="694"/>
      <c r="BE25" s="694"/>
      <c r="BF25" s="694"/>
      <c r="BG25" s="694"/>
    </row>
    <row r="26" spans="1:59" x14ac:dyDescent="0.2">
      <c r="A26" s="511" t="s">
        <v>85</v>
      </c>
      <c r="B26" s="698" t="str">
        <f>"Restrukturizasiya olunmuş Kredit "&amp;MONTH_KREDIT&amp;" ("&amp;LEFT(MONTH_KREDIT_SOZLE,LEN(MONTH_KREDIT_SOZLE)-1)&amp;") ay müddətinə "&amp;END_DATE_KREDIT_SOZLE&amp;" tarixinədək, ilin 360 günü hesabı ilə illik "&amp;TEXT(IFF,"0.00")&amp;" % dərəcəsi tətbiq edilməklə verilir. Faktiki illik faiz dərəcəsi (FİFD) "&amp;TEXT(FIFD,"0.00")&amp;" % təşkil edir.  Burada nəzərdə tutulan FİFD Azərbaycan Respublikasının Mərkəzi Bankının müvafiq təlimatlarına və göstərişlərinə müvafiq olmaqla müəyyən edilmişdir."</f>
        <v>Restrukturizasiya olunmuş Kredit 10 (on) ay müddətinə «31» May 2016-cı il tarixinədək, ilin 360 günü hesabı ilə illik 0.60 % dərəcəsi tətbiq edilməklə verilir. Faktiki illik faiz dərəcəsi (FİFD) 2.80 % təşkil edir.  Burada nəzərdə tutulan FİFD Azərbaycan Respublikasının Mərkəzi Bankının müvafiq təlimatlarına və göstərişlərinə müvafiq olmaqla müəyyən edilmişdir.</v>
      </c>
      <c r="C26" s="698"/>
      <c r="D26" s="698"/>
      <c r="E26" s="698"/>
      <c r="F26" s="698"/>
      <c r="G26" s="698"/>
      <c r="H26" s="698"/>
      <c r="I26" s="698"/>
      <c r="J26" s="698"/>
      <c r="K26" s="698"/>
      <c r="L26" s="698"/>
      <c r="M26" s="698"/>
      <c r="N26" s="698"/>
      <c r="O26" s="698"/>
      <c r="P26" s="698"/>
      <c r="Q26" s="698"/>
      <c r="R26" s="698"/>
      <c r="S26" s="698"/>
      <c r="T26" s="698"/>
      <c r="U26" s="698"/>
      <c r="V26" s="698"/>
      <c r="W26" s="698"/>
      <c r="X26" s="698"/>
      <c r="Y26" s="698"/>
      <c r="Z26" s="698"/>
      <c r="AA26" s="698"/>
      <c r="AB26" s="698"/>
      <c r="AC26" s="698"/>
      <c r="AF26" s="519"/>
      <c r="AG26" s="511" t="s">
        <v>471</v>
      </c>
      <c r="AH26" s="702" t="s">
        <v>476</v>
      </c>
      <c r="AI26" s="702"/>
      <c r="AJ26" s="702"/>
      <c r="AK26" s="702"/>
      <c r="AL26" s="702"/>
      <c r="AM26" s="702"/>
      <c r="AN26" s="702"/>
      <c r="AO26" s="702"/>
      <c r="AP26" s="702"/>
      <c r="AQ26" s="702"/>
      <c r="AR26" s="702"/>
      <c r="AS26" s="702"/>
      <c r="AT26" s="702"/>
      <c r="AU26" s="702"/>
      <c r="AV26" s="702"/>
      <c r="AW26" s="702"/>
      <c r="AX26" s="702"/>
      <c r="AY26" s="702"/>
      <c r="AZ26" s="702"/>
      <c r="BA26" s="702"/>
      <c r="BB26" s="702"/>
      <c r="BC26" s="702"/>
      <c r="BD26" s="702"/>
      <c r="BE26" s="702"/>
      <c r="BF26" s="702"/>
      <c r="BG26" s="702"/>
    </row>
    <row r="27" spans="1:59" x14ac:dyDescent="0.2">
      <c r="B27" s="698"/>
      <c r="C27" s="698"/>
      <c r="D27" s="698"/>
      <c r="E27" s="698"/>
      <c r="F27" s="698"/>
      <c r="G27" s="698"/>
      <c r="H27" s="698"/>
      <c r="I27" s="698"/>
      <c r="J27" s="698"/>
      <c r="K27" s="698"/>
      <c r="L27" s="698"/>
      <c r="M27" s="698"/>
      <c r="N27" s="698"/>
      <c r="O27" s="698"/>
      <c r="P27" s="698"/>
      <c r="Q27" s="698"/>
      <c r="R27" s="698"/>
      <c r="S27" s="698"/>
      <c r="T27" s="698"/>
      <c r="U27" s="698"/>
      <c r="V27" s="698"/>
      <c r="W27" s="698"/>
      <c r="X27" s="698"/>
      <c r="Y27" s="698"/>
      <c r="Z27" s="698"/>
      <c r="AA27" s="698"/>
      <c r="AB27" s="698"/>
      <c r="AC27" s="698"/>
      <c r="AD27" s="507"/>
      <c r="AF27" s="519"/>
      <c r="AG27" s="511" t="s">
        <v>95</v>
      </c>
      <c r="AH27" s="702" t="s">
        <v>477</v>
      </c>
      <c r="AI27" s="702"/>
      <c r="AJ27" s="702"/>
      <c r="AK27" s="702"/>
      <c r="AL27" s="702"/>
      <c r="AM27" s="702"/>
      <c r="AN27" s="702"/>
      <c r="AO27" s="702"/>
      <c r="AP27" s="702"/>
      <c r="AQ27" s="702"/>
      <c r="AR27" s="702"/>
      <c r="AS27" s="702"/>
      <c r="AT27" s="702"/>
      <c r="AU27" s="702"/>
      <c r="AV27" s="702"/>
      <c r="AW27" s="702"/>
      <c r="AX27" s="702"/>
      <c r="AY27" s="702"/>
      <c r="AZ27" s="702"/>
      <c r="BA27" s="702"/>
      <c r="BB27" s="702"/>
      <c r="BC27" s="702"/>
      <c r="BD27" s="702"/>
      <c r="BE27" s="702"/>
      <c r="BF27" s="702"/>
      <c r="BG27" s="702"/>
    </row>
    <row r="28" spans="1:59" ht="11.25" customHeight="1" x14ac:dyDescent="0.2">
      <c r="B28" s="698"/>
      <c r="C28" s="698"/>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507"/>
      <c r="AF28" s="519"/>
      <c r="AG28" s="511"/>
      <c r="AH28" s="702"/>
      <c r="AI28" s="702"/>
      <c r="AJ28" s="702"/>
      <c r="AK28" s="702"/>
      <c r="AL28" s="702"/>
      <c r="AM28" s="702"/>
      <c r="AN28" s="702"/>
      <c r="AO28" s="702"/>
      <c r="AP28" s="702"/>
      <c r="AQ28" s="702"/>
      <c r="AR28" s="702"/>
      <c r="AS28" s="702"/>
      <c r="AT28" s="702"/>
      <c r="AU28" s="702"/>
      <c r="AV28" s="702"/>
      <c r="AW28" s="702"/>
      <c r="AX28" s="702"/>
      <c r="AY28" s="702"/>
      <c r="AZ28" s="702"/>
      <c r="BA28" s="702"/>
      <c r="BB28" s="702"/>
      <c r="BC28" s="702"/>
      <c r="BD28" s="702"/>
      <c r="BE28" s="702"/>
      <c r="BF28" s="702"/>
      <c r="BG28" s="702"/>
    </row>
    <row r="29" spans="1:59" x14ac:dyDescent="0.2">
      <c r="B29" s="698"/>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507"/>
      <c r="AE29" s="518" t="s">
        <v>91</v>
      </c>
      <c r="AF29" s="703" t="s">
        <v>90</v>
      </c>
      <c r="AG29" s="703"/>
      <c r="AH29" s="703"/>
      <c r="AI29" s="703"/>
      <c r="AJ29" s="703"/>
      <c r="AK29" s="703"/>
      <c r="AL29" s="703"/>
      <c r="AM29" s="703"/>
      <c r="AN29" s="703"/>
      <c r="AO29" s="703"/>
      <c r="AP29" s="703"/>
      <c r="AQ29" s="703"/>
      <c r="AR29" s="703"/>
      <c r="AS29" s="703"/>
      <c r="AT29" s="703"/>
      <c r="AU29" s="703"/>
      <c r="AV29" s="703"/>
      <c r="AW29" s="703"/>
      <c r="AX29" s="703"/>
      <c r="AY29" s="703"/>
      <c r="AZ29" s="703"/>
      <c r="BA29" s="703"/>
      <c r="BB29" s="703"/>
      <c r="BC29" s="703"/>
      <c r="BD29" s="703"/>
      <c r="BE29" s="703"/>
      <c r="BF29" s="703"/>
      <c r="BG29" s="703"/>
    </row>
    <row r="30" spans="1:59" x14ac:dyDescent="0.2">
      <c r="B30" s="698"/>
      <c r="C30" s="698"/>
      <c r="D30" s="698"/>
      <c r="E30" s="698"/>
      <c r="F30" s="698"/>
      <c r="G30" s="698"/>
      <c r="H30" s="698"/>
      <c r="I30" s="698"/>
      <c r="J30" s="698"/>
      <c r="K30" s="698"/>
      <c r="L30" s="698"/>
      <c r="M30" s="698"/>
      <c r="N30" s="698"/>
      <c r="O30" s="698"/>
      <c r="P30" s="698"/>
      <c r="Q30" s="698"/>
      <c r="R30" s="698"/>
      <c r="S30" s="698"/>
      <c r="T30" s="698"/>
      <c r="U30" s="698"/>
      <c r="V30" s="698"/>
      <c r="W30" s="698"/>
      <c r="X30" s="698"/>
      <c r="Y30" s="698"/>
      <c r="Z30" s="698"/>
      <c r="AA30" s="698"/>
      <c r="AB30" s="698"/>
      <c r="AC30" s="698"/>
      <c r="AD30" s="507"/>
      <c r="AE30" s="701" t="s">
        <v>89</v>
      </c>
      <c r="AF30" s="701"/>
      <c r="AG30" s="694" t="s">
        <v>939</v>
      </c>
      <c r="AH30" s="694"/>
      <c r="AI30" s="694"/>
      <c r="AJ30" s="694"/>
      <c r="AK30" s="694"/>
      <c r="AL30" s="694"/>
      <c r="AM30" s="694"/>
      <c r="AN30" s="694"/>
      <c r="AO30" s="694"/>
      <c r="AP30" s="694"/>
      <c r="AQ30" s="694"/>
      <c r="AR30" s="694"/>
      <c r="AS30" s="694"/>
      <c r="AT30" s="694"/>
      <c r="AU30" s="694"/>
      <c r="AV30" s="694"/>
      <c r="AW30" s="694"/>
      <c r="AX30" s="694"/>
      <c r="AY30" s="694"/>
      <c r="AZ30" s="694"/>
      <c r="BA30" s="694"/>
      <c r="BB30" s="694"/>
      <c r="BC30" s="694"/>
      <c r="BD30" s="694"/>
      <c r="BE30" s="694"/>
      <c r="BF30" s="694"/>
      <c r="BG30" s="694"/>
    </row>
    <row r="31" spans="1:59" x14ac:dyDescent="0.2">
      <c r="A31" s="511">
        <v>1.4</v>
      </c>
      <c r="B31" s="694" t="str">
        <f>"«Borc alan» kreditin verilməsinə görə  «Borc verən»ə   kreditin ümumi  məbləğinin 0 % (sıfır faiz) məbləğində komisyon haqqı ödəyir."</f>
        <v>«Borc alan» kreditin verilməsinə görə  «Borc verən»ə   kreditin ümumi  məbləğinin 0 % (sıfır faiz) məbləğində komisyon haqqı ödəyir.</v>
      </c>
      <c r="C31" s="694"/>
      <c r="D31" s="694"/>
      <c r="E31" s="694"/>
      <c r="F31" s="694"/>
      <c r="G31" s="694"/>
      <c r="H31" s="694"/>
      <c r="I31" s="694"/>
      <c r="J31" s="694"/>
      <c r="K31" s="694"/>
      <c r="L31" s="694"/>
      <c r="M31" s="694"/>
      <c r="N31" s="694"/>
      <c r="O31" s="694"/>
      <c r="P31" s="694"/>
      <c r="Q31" s="694"/>
      <c r="R31" s="694"/>
      <c r="S31" s="694"/>
      <c r="T31" s="694"/>
      <c r="U31" s="694"/>
      <c r="V31" s="694"/>
      <c r="W31" s="694"/>
      <c r="X31" s="694"/>
      <c r="Y31" s="694"/>
      <c r="Z31" s="694"/>
      <c r="AA31" s="694"/>
      <c r="AB31" s="694"/>
      <c r="AC31" s="694"/>
      <c r="AD31" s="507"/>
      <c r="AE31" s="518"/>
      <c r="AF31" s="518"/>
      <c r="AG31" s="694"/>
      <c r="AH31" s="694"/>
      <c r="AI31" s="694"/>
      <c r="AJ31" s="694"/>
      <c r="AK31" s="694"/>
      <c r="AL31" s="694"/>
      <c r="AM31" s="694"/>
      <c r="AN31" s="694"/>
      <c r="AO31" s="694"/>
      <c r="AP31" s="694"/>
      <c r="AQ31" s="694"/>
      <c r="AR31" s="694"/>
      <c r="AS31" s="694"/>
      <c r="AT31" s="694"/>
      <c r="AU31" s="694"/>
      <c r="AV31" s="694"/>
      <c r="AW31" s="694"/>
      <c r="AX31" s="694"/>
      <c r="AY31" s="694"/>
      <c r="AZ31" s="694"/>
      <c r="BA31" s="694"/>
      <c r="BB31" s="694"/>
      <c r="BC31" s="694"/>
      <c r="BD31" s="694"/>
      <c r="BE31" s="694"/>
      <c r="BF31" s="694"/>
      <c r="BG31" s="694"/>
    </row>
    <row r="32" spans="1:59" x14ac:dyDescent="0.2">
      <c r="A32" s="512"/>
      <c r="B32" s="694"/>
      <c r="C32" s="694"/>
      <c r="D32" s="694"/>
      <c r="E32" s="694"/>
      <c r="F32" s="694"/>
      <c r="G32" s="694"/>
      <c r="H32" s="694"/>
      <c r="I32" s="694"/>
      <c r="J32" s="694"/>
      <c r="K32" s="694"/>
      <c r="L32" s="694"/>
      <c r="M32" s="694"/>
      <c r="N32" s="694"/>
      <c r="O32" s="694"/>
      <c r="P32" s="694"/>
      <c r="Q32" s="694"/>
      <c r="R32" s="694"/>
      <c r="S32" s="694"/>
      <c r="T32" s="694"/>
      <c r="U32" s="694"/>
      <c r="V32" s="694"/>
      <c r="W32" s="694"/>
      <c r="X32" s="694"/>
      <c r="Y32" s="694"/>
      <c r="Z32" s="694"/>
      <c r="AA32" s="694"/>
      <c r="AB32" s="694"/>
      <c r="AC32" s="694"/>
      <c r="AD32" s="507"/>
      <c r="AE32" s="699" t="s">
        <v>87</v>
      </c>
      <c r="AF32" s="699"/>
      <c r="AG32" s="702" t="s">
        <v>86</v>
      </c>
      <c r="AH32" s="702"/>
      <c r="AI32" s="702"/>
      <c r="AJ32" s="702"/>
      <c r="AK32" s="702"/>
      <c r="AL32" s="702"/>
      <c r="AM32" s="702"/>
      <c r="AN32" s="702"/>
      <c r="AO32" s="702"/>
      <c r="AP32" s="702"/>
      <c r="AQ32" s="702"/>
      <c r="AR32" s="702"/>
      <c r="AS32" s="702"/>
      <c r="AT32" s="702"/>
      <c r="AU32" s="702"/>
      <c r="AV32" s="702"/>
      <c r="AW32" s="702"/>
      <c r="AX32" s="702"/>
      <c r="AY32" s="702"/>
      <c r="AZ32" s="702"/>
      <c r="BA32" s="702"/>
      <c r="BB32" s="702"/>
      <c r="BC32" s="702"/>
      <c r="BD32" s="702"/>
      <c r="BE32" s="702"/>
      <c r="BF32" s="702"/>
      <c r="BG32" s="702"/>
    </row>
    <row r="33" spans="1:59" x14ac:dyDescent="0.2">
      <c r="AD33" s="507"/>
      <c r="AE33" s="699" t="s">
        <v>84</v>
      </c>
      <c r="AF33" s="699"/>
      <c r="AG33" s="694" t="s">
        <v>450</v>
      </c>
      <c r="AH33" s="694"/>
      <c r="AI33" s="694"/>
      <c r="AJ33" s="694"/>
      <c r="AK33" s="694"/>
      <c r="AL33" s="694"/>
      <c r="AM33" s="694"/>
      <c r="AN33" s="694"/>
      <c r="AO33" s="694"/>
      <c r="AP33" s="694"/>
      <c r="AQ33" s="694"/>
      <c r="AR33" s="694"/>
      <c r="AS33" s="694"/>
      <c r="AT33" s="694"/>
      <c r="AU33" s="694"/>
      <c r="AV33" s="694"/>
      <c r="AW33" s="694"/>
      <c r="AX33" s="694"/>
      <c r="AY33" s="694"/>
      <c r="AZ33" s="694"/>
      <c r="BA33" s="694"/>
      <c r="BB33" s="694"/>
      <c r="BC33" s="694"/>
      <c r="BD33" s="694"/>
      <c r="BE33" s="694"/>
      <c r="BF33" s="694"/>
      <c r="BG33" s="694"/>
    </row>
    <row r="34" spans="1:59" x14ac:dyDescent="0.2">
      <c r="A34" s="700" t="s">
        <v>76</v>
      </c>
      <c r="B34" s="700"/>
      <c r="C34" s="700"/>
      <c r="D34" s="700"/>
      <c r="E34" s="700"/>
      <c r="F34" s="700"/>
      <c r="G34" s="700"/>
      <c r="H34" s="700"/>
      <c r="I34" s="700"/>
      <c r="J34" s="700"/>
      <c r="K34" s="700"/>
      <c r="L34" s="700"/>
      <c r="M34" s="700"/>
      <c r="N34" s="700"/>
      <c r="O34" s="700"/>
      <c r="P34" s="700"/>
      <c r="Q34" s="700"/>
      <c r="R34" s="700"/>
      <c r="S34" s="700"/>
      <c r="T34" s="700"/>
      <c r="U34" s="700"/>
      <c r="V34" s="700"/>
      <c r="W34" s="700"/>
      <c r="X34" s="700"/>
      <c r="Y34" s="700"/>
      <c r="Z34" s="700"/>
      <c r="AA34" s="700"/>
      <c r="AB34" s="700"/>
      <c r="AC34" s="700"/>
      <c r="AD34" s="507"/>
      <c r="AE34" s="517"/>
      <c r="AF34" s="517"/>
      <c r="AG34" s="694"/>
      <c r="AH34" s="694"/>
      <c r="AI34" s="694"/>
      <c r="AJ34" s="694"/>
      <c r="AK34" s="694"/>
      <c r="AL34" s="694"/>
      <c r="AM34" s="694"/>
      <c r="AN34" s="694"/>
      <c r="AO34" s="694"/>
      <c r="AP34" s="694"/>
      <c r="AQ34" s="694"/>
      <c r="AR34" s="694"/>
      <c r="AS34" s="694"/>
      <c r="AT34" s="694"/>
      <c r="AU34" s="694"/>
      <c r="AV34" s="694"/>
      <c r="AW34" s="694"/>
      <c r="AX34" s="694"/>
      <c r="AY34" s="694"/>
      <c r="AZ34" s="694"/>
      <c r="BA34" s="694"/>
      <c r="BB34" s="694"/>
      <c r="BC34" s="694"/>
      <c r="BD34" s="694"/>
      <c r="BE34" s="694"/>
      <c r="BF34" s="694"/>
      <c r="BG34" s="694"/>
    </row>
    <row r="35" spans="1:59" x14ac:dyDescent="0.2">
      <c r="A35" s="695" t="s">
        <v>415</v>
      </c>
      <c r="B35" s="695"/>
      <c r="C35" s="695"/>
      <c r="D35" s="695"/>
      <c r="E35" s="695"/>
      <c r="F35" s="695"/>
      <c r="G35" s="695"/>
      <c r="H35" s="695"/>
      <c r="I35" s="695"/>
      <c r="J35" s="695"/>
      <c r="K35" s="695"/>
      <c r="L35" s="695"/>
      <c r="M35" s="695"/>
      <c r="N35" s="695"/>
      <c r="O35" s="695"/>
      <c r="P35" s="695"/>
      <c r="Q35" s="695"/>
      <c r="R35" s="695"/>
      <c r="S35" s="695"/>
      <c r="T35" s="695"/>
      <c r="U35" s="695"/>
      <c r="V35" s="695"/>
      <c r="W35" s="695"/>
      <c r="X35" s="695"/>
      <c r="Y35" s="695"/>
      <c r="Z35" s="695"/>
      <c r="AA35" s="695"/>
      <c r="AB35" s="695"/>
      <c r="AC35" s="695"/>
      <c r="AD35" s="507"/>
      <c r="AE35" s="699" t="s">
        <v>83</v>
      </c>
      <c r="AF35" s="699"/>
      <c r="AG35" s="694" t="s">
        <v>451</v>
      </c>
      <c r="AH35" s="694"/>
      <c r="AI35" s="694"/>
      <c r="AJ35" s="694"/>
      <c r="AK35" s="694"/>
      <c r="AL35" s="694"/>
      <c r="AM35" s="694"/>
      <c r="AN35" s="694"/>
      <c r="AO35" s="694"/>
      <c r="AP35" s="694"/>
      <c r="AQ35" s="694"/>
      <c r="AR35" s="694"/>
      <c r="AS35" s="694"/>
      <c r="AT35" s="694"/>
      <c r="AU35" s="694"/>
      <c r="AV35" s="694"/>
      <c r="AW35" s="694"/>
      <c r="AX35" s="694"/>
      <c r="AY35" s="694"/>
      <c r="AZ35" s="694"/>
      <c r="BA35" s="694"/>
      <c r="BB35" s="694"/>
      <c r="BC35" s="694"/>
      <c r="BD35" s="694"/>
      <c r="BE35" s="694"/>
      <c r="BF35" s="694"/>
      <c r="BG35" s="694"/>
    </row>
    <row r="36" spans="1:59" x14ac:dyDescent="0.2">
      <c r="A36" s="507"/>
      <c r="B36" s="507"/>
      <c r="C36" s="507"/>
      <c r="D36" s="507"/>
      <c r="E36" s="507"/>
      <c r="F36" s="507"/>
      <c r="G36" s="507"/>
      <c r="H36" s="507"/>
      <c r="I36" s="507"/>
      <c r="J36" s="507"/>
      <c r="K36" s="507"/>
      <c r="L36" s="507"/>
      <c r="M36" s="507"/>
      <c r="N36" s="507"/>
      <c r="O36" s="507"/>
      <c r="P36" s="507"/>
      <c r="Q36" s="507"/>
      <c r="R36" s="507"/>
      <c r="S36" s="507"/>
      <c r="T36" s="507"/>
      <c r="U36" s="507"/>
      <c r="V36" s="507"/>
      <c r="W36" s="507"/>
      <c r="X36" s="507"/>
      <c r="Y36" s="507"/>
      <c r="Z36" s="507"/>
      <c r="AA36" s="507"/>
      <c r="AB36" s="507"/>
      <c r="AC36" s="507"/>
      <c r="AD36" s="507"/>
      <c r="AE36" s="517"/>
      <c r="AF36" s="517"/>
      <c r="AG36" s="694"/>
      <c r="AH36" s="694"/>
      <c r="AI36" s="694"/>
      <c r="AJ36" s="694"/>
      <c r="AK36" s="694"/>
      <c r="AL36" s="694"/>
      <c r="AM36" s="694"/>
      <c r="AN36" s="694"/>
      <c r="AO36" s="694"/>
      <c r="AP36" s="694"/>
      <c r="AQ36" s="694"/>
      <c r="AR36" s="694"/>
      <c r="AS36" s="694"/>
      <c r="AT36" s="694"/>
      <c r="AU36" s="694"/>
      <c r="AV36" s="694"/>
      <c r="AW36" s="694"/>
      <c r="AX36" s="694"/>
      <c r="AY36" s="694"/>
      <c r="AZ36" s="694"/>
      <c r="BA36" s="694"/>
      <c r="BB36" s="694"/>
      <c r="BC36" s="694"/>
      <c r="BD36" s="694"/>
      <c r="BE36" s="694"/>
      <c r="BF36" s="694"/>
      <c r="BG36" s="694"/>
    </row>
    <row r="37" spans="1:59" x14ac:dyDescent="0.2">
      <c r="A37" s="511" t="s">
        <v>73</v>
      </c>
      <c r="B37" s="694" t="str">
        <f>"Kreditin və kreditdən istifadəyə görə faizlərin ödənilməsi bu müqaviləyə əlavə olunmuş  və müqav"&amp;"ilənin ayrılmaz tərkib hissəsi olan ödəniş cədvəlinə (Əlavə № 1) müvafiq həyata keçirilir."</f>
        <v>Kreditin və kreditdən istifadəyə görə faizlərin ödənilməsi bu müqaviləyə əlavə olunmuş  və müqavilənin ayrılmaz tərkib hissəsi olan ödəniş cədvəlinə (Əlavə № 1) müvafiq həyata keçirilir.</v>
      </c>
      <c r="C37" s="694"/>
      <c r="D37" s="694"/>
      <c r="E37" s="694"/>
      <c r="F37" s="694"/>
      <c r="G37" s="694"/>
      <c r="H37" s="694"/>
      <c r="I37" s="694"/>
      <c r="J37" s="694"/>
      <c r="K37" s="694"/>
      <c r="L37" s="694"/>
      <c r="M37" s="694"/>
      <c r="N37" s="694"/>
      <c r="O37" s="694"/>
      <c r="P37" s="694"/>
      <c r="Q37" s="694"/>
      <c r="R37" s="694"/>
      <c r="S37" s="694"/>
      <c r="T37" s="694"/>
      <c r="U37" s="694"/>
      <c r="V37" s="694"/>
      <c r="W37" s="694"/>
      <c r="X37" s="694"/>
      <c r="Y37" s="694"/>
      <c r="Z37" s="694"/>
      <c r="AA37" s="694"/>
      <c r="AB37" s="694"/>
      <c r="AC37" s="694"/>
      <c r="AD37" s="507"/>
      <c r="AE37" s="518" t="s">
        <v>82</v>
      </c>
      <c r="AF37" s="704" t="s">
        <v>444</v>
      </c>
      <c r="AG37" s="704"/>
      <c r="AH37" s="704"/>
      <c r="AI37" s="704"/>
      <c r="AJ37" s="704"/>
      <c r="AK37" s="704"/>
      <c r="AL37" s="704"/>
      <c r="AM37" s="704"/>
      <c r="AN37" s="704"/>
      <c r="AO37" s="704"/>
      <c r="AP37" s="704"/>
      <c r="AQ37" s="704"/>
      <c r="AR37" s="704"/>
      <c r="AS37" s="704"/>
      <c r="AT37" s="704"/>
      <c r="AU37" s="704"/>
      <c r="AV37" s="704"/>
      <c r="AW37" s="704"/>
      <c r="AX37" s="704"/>
      <c r="AY37" s="704"/>
      <c r="AZ37" s="704"/>
      <c r="BA37" s="704"/>
      <c r="BB37" s="704"/>
      <c r="BC37" s="704"/>
      <c r="BD37" s="704"/>
      <c r="BE37" s="704"/>
      <c r="BF37" s="704"/>
      <c r="BG37" s="704"/>
    </row>
    <row r="38" spans="1:59" x14ac:dyDescent="0.2">
      <c r="A38" s="511"/>
      <c r="B38" s="694"/>
      <c r="C38" s="694"/>
      <c r="D38" s="694"/>
      <c r="E38" s="694"/>
      <c r="F38" s="694"/>
      <c r="G38" s="694"/>
      <c r="H38" s="694"/>
      <c r="I38" s="694"/>
      <c r="J38" s="694"/>
      <c r="K38" s="694"/>
      <c r="L38" s="694"/>
      <c r="M38" s="694"/>
      <c r="N38" s="694"/>
      <c r="O38" s="694"/>
      <c r="P38" s="694"/>
      <c r="Q38" s="694"/>
      <c r="R38" s="694"/>
      <c r="S38" s="694"/>
      <c r="T38" s="694"/>
      <c r="U38" s="694"/>
      <c r="V38" s="694"/>
      <c r="W38" s="694"/>
      <c r="X38" s="694"/>
      <c r="Y38" s="694"/>
      <c r="Z38" s="694"/>
      <c r="AA38" s="694"/>
      <c r="AB38" s="694"/>
      <c r="AC38" s="694"/>
      <c r="AD38" s="507"/>
      <c r="AE38" s="701" t="s">
        <v>80</v>
      </c>
      <c r="AF38" s="701"/>
      <c r="AG38" s="694" t="s">
        <v>940</v>
      </c>
      <c r="AH38" s="694"/>
      <c r="AI38" s="694"/>
      <c r="AJ38" s="694"/>
      <c r="AK38" s="694"/>
      <c r="AL38" s="694"/>
      <c r="AM38" s="694"/>
      <c r="AN38" s="694"/>
      <c r="AO38" s="694"/>
      <c r="AP38" s="694"/>
      <c r="AQ38" s="694"/>
      <c r="AR38" s="694"/>
      <c r="AS38" s="694"/>
      <c r="AT38" s="694"/>
      <c r="AU38" s="694"/>
      <c r="AV38" s="694"/>
      <c r="AW38" s="694"/>
      <c r="AX38" s="694"/>
      <c r="AY38" s="694"/>
      <c r="AZ38" s="694"/>
      <c r="BA38" s="694"/>
      <c r="BB38" s="694"/>
      <c r="BC38" s="694"/>
      <c r="BD38" s="694"/>
      <c r="BE38" s="694"/>
      <c r="BF38" s="694"/>
      <c r="BG38" s="694"/>
    </row>
    <row r="39" spans="1:59" x14ac:dyDescent="0.2">
      <c r="A39" s="511"/>
      <c r="B39" s="694"/>
      <c r="C39" s="694"/>
      <c r="D39" s="694"/>
      <c r="E39" s="694"/>
      <c r="F39" s="694"/>
      <c r="G39" s="694"/>
      <c r="H39" s="694"/>
      <c r="I39" s="694"/>
      <c r="J39" s="694"/>
      <c r="K39" s="694"/>
      <c r="L39" s="694"/>
      <c r="M39" s="694"/>
      <c r="N39" s="694"/>
      <c r="O39" s="694"/>
      <c r="P39" s="694"/>
      <c r="Q39" s="694"/>
      <c r="R39" s="694"/>
      <c r="S39" s="694"/>
      <c r="T39" s="694"/>
      <c r="U39" s="694"/>
      <c r="V39" s="694"/>
      <c r="W39" s="694"/>
      <c r="X39" s="694"/>
      <c r="Y39" s="694"/>
      <c r="Z39" s="694"/>
      <c r="AA39" s="694"/>
      <c r="AB39" s="694"/>
      <c r="AC39" s="694"/>
      <c r="AD39" s="507"/>
      <c r="AE39" s="518"/>
      <c r="AF39" s="518"/>
      <c r="AG39" s="694"/>
      <c r="AH39" s="694"/>
      <c r="AI39" s="694"/>
      <c r="AJ39" s="694"/>
      <c r="AK39" s="694"/>
      <c r="AL39" s="694"/>
      <c r="AM39" s="694"/>
      <c r="AN39" s="694"/>
      <c r="AO39" s="694"/>
      <c r="AP39" s="694"/>
      <c r="AQ39" s="694"/>
      <c r="AR39" s="694"/>
      <c r="AS39" s="694"/>
      <c r="AT39" s="694"/>
      <c r="AU39" s="694"/>
      <c r="AV39" s="694"/>
      <c r="AW39" s="694"/>
      <c r="AX39" s="694"/>
      <c r="AY39" s="694"/>
      <c r="AZ39" s="694"/>
      <c r="BA39" s="694"/>
      <c r="BB39" s="694"/>
      <c r="BC39" s="694"/>
      <c r="BD39" s="694"/>
      <c r="BE39" s="694"/>
      <c r="BF39" s="694"/>
      <c r="BG39" s="694"/>
    </row>
    <row r="40" spans="1:59" x14ac:dyDescent="0.2">
      <c r="A40" s="511" t="s">
        <v>70</v>
      </c>
      <c r="B40" s="694" t="str">
        <f>"Bu müqaviləyə görə «Borc alan»ın aparmalı olduğu ödənişlər manatda həyata keçirilir. Kreditdən istifadəyə görə faizlər kreditin verildiyi gündən onun tam qaytarıldığı günə qədər hesablanır. Bu zaman əsas kimi ayda 30 gün və ildə "&amp;"360 gün götürülür."</f>
        <v>Bu müqaviləyə görə «Borc alan»ın aparmalı olduğu ödənişlər manatda həyata keçirilir. Kreditdən istifadəyə görə faizlər kreditin verildiyi gündən onun tam qaytarıldığı günə qədər hesablanır. Bu zaman əsas kimi ayda 30 gün və ildə 360 gün götürülür.</v>
      </c>
      <c r="C40" s="694"/>
      <c r="D40" s="694"/>
      <c r="E40" s="694"/>
      <c r="F40" s="694"/>
      <c r="G40" s="694"/>
      <c r="H40" s="694"/>
      <c r="I40" s="694"/>
      <c r="J40" s="694"/>
      <c r="K40" s="694"/>
      <c r="L40" s="694"/>
      <c r="M40" s="694"/>
      <c r="N40" s="694"/>
      <c r="O40" s="694"/>
      <c r="P40" s="694"/>
      <c r="Q40" s="694"/>
      <c r="R40" s="694"/>
      <c r="S40" s="694"/>
      <c r="T40" s="694"/>
      <c r="U40" s="694"/>
      <c r="V40" s="694"/>
      <c r="W40" s="694"/>
      <c r="X40" s="694"/>
      <c r="Y40" s="694"/>
      <c r="Z40" s="694"/>
      <c r="AA40" s="694"/>
      <c r="AB40" s="694"/>
      <c r="AC40" s="694"/>
      <c r="AD40" s="507"/>
      <c r="AE40" s="701" t="s">
        <v>78</v>
      </c>
      <c r="AF40" s="701"/>
      <c r="AG40" s="694" t="s">
        <v>77</v>
      </c>
      <c r="AH40" s="694"/>
      <c r="AI40" s="694"/>
      <c r="AJ40" s="694"/>
      <c r="AK40" s="694"/>
      <c r="AL40" s="694"/>
      <c r="AM40" s="694"/>
      <c r="AN40" s="694"/>
      <c r="AO40" s="694"/>
      <c r="AP40" s="694"/>
      <c r="AQ40" s="694"/>
      <c r="AR40" s="694"/>
      <c r="AS40" s="694"/>
      <c r="AT40" s="694"/>
      <c r="AU40" s="694"/>
      <c r="AV40" s="694"/>
      <c r="AW40" s="694"/>
      <c r="AX40" s="694"/>
      <c r="AY40" s="694"/>
      <c r="AZ40" s="694"/>
      <c r="BA40" s="694"/>
      <c r="BB40" s="694"/>
      <c r="BC40" s="694"/>
      <c r="BD40" s="694"/>
      <c r="BE40" s="694"/>
      <c r="BF40" s="694"/>
      <c r="BG40" s="694"/>
    </row>
    <row r="41" spans="1:59" x14ac:dyDescent="0.2">
      <c r="B41" s="694"/>
      <c r="C41" s="694"/>
      <c r="D41" s="694"/>
      <c r="E41" s="694"/>
      <c r="F41" s="694"/>
      <c r="G41" s="694"/>
      <c r="H41" s="694"/>
      <c r="I41" s="694"/>
      <c r="J41" s="694"/>
      <c r="K41" s="694"/>
      <c r="L41" s="694"/>
      <c r="M41" s="694"/>
      <c r="N41" s="694"/>
      <c r="O41" s="694"/>
      <c r="P41" s="694"/>
      <c r="Q41" s="694"/>
      <c r="R41" s="694"/>
      <c r="S41" s="694"/>
      <c r="T41" s="694"/>
      <c r="U41" s="694"/>
      <c r="V41" s="694"/>
      <c r="W41" s="694"/>
      <c r="X41" s="694"/>
      <c r="Y41" s="694"/>
      <c r="Z41" s="694"/>
      <c r="AA41" s="694"/>
      <c r="AB41" s="694"/>
      <c r="AC41" s="694"/>
      <c r="AD41" s="507"/>
      <c r="AE41" s="517"/>
      <c r="AF41" s="517"/>
      <c r="AG41" s="694"/>
      <c r="AH41" s="694"/>
      <c r="AI41" s="694"/>
      <c r="AJ41" s="694"/>
      <c r="AK41" s="694"/>
      <c r="AL41" s="694"/>
      <c r="AM41" s="694"/>
      <c r="AN41" s="694"/>
      <c r="AO41" s="694"/>
      <c r="AP41" s="694"/>
      <c r="AQ41" s="694"/>
      <c r="AR41" s="694"/>
      <c r="AS41" s="694"/>
      <c r="AT41" s="694"/>
      <c r="AU41" s="694"/>
      <c r="AV41" s="694"/>
      <c r="AW41" s="694"/>
      <c r="AX41" s="694"/>
      <c r="AY41" s="694"/>
      <c r="AZ41" s="694"/>
      <c r="BA41" s="694"/>
      <c r="BB41" s="694"/>
      <c r="BC41" s="694"/>
      <c r="BD41" s="694"/>
      <c r="BE41" s="694"/>
      <c r="BF41" s="694"/>
      <c r="BG41" s="694"/>
    </row>
    <row r="42" spans="1:59" x14ac:dyDescent="0.2">
      <c r="B42" s="694"/>
      <c r="C42" s="694"/>
      <c r="D42" s="694"/>
      <c r="E42" s="694"/>
      <c r="F42" s="694"/>
      <c r="G42" s="694"/>
      <c r="H42" s="694"/>
      <c r="I42" s="694"/>
      <c r="J42" s="694"/>
      <c r="K42" s="694"/>
      <c r="L42" s="694"/>
      <c r="M42" s="694"/>
      <c r="N42" s="694"/>
      <c r="O42" s="694"/>
      <c r="P42" s="694"/>
      <c r="Q42" s="694"/>
      <c r="R42" s="694"/>
      <c r="S42" s="694"/>
      <c r="T42" s="694"/>
      <c r="U42" s="694"/>
      <c r="V42" s="694"/>
      <c r="W42" s="694"/>
      <c r="X42" s="694"/>
      <c r="Y42" s="694"/>
      <c r="Z42" s="694"/>
      <c r="AA42" s="694"/>
      <c r="AB42" s="694"/>
      <c r="AC42" s="694"/>
      <c r="AD42" s="507"/>
      <c r="AE42" s="517"/>
      <c r="AF42" s="517"/>
      <c r="AG42" s="694"/>
      <c r="AH42" s="694"/>
      <c r="AI42" s="694"/>
      <c r="AJ42" s="694"/>
      <c r="AK42" s="694"/>
      <c r="AL42" s="694"/>
      <c r="AM42" s="694"/>
      <c r="AN42" s="694"/>
      <c r="AO42" s="694"/>
      <c r="AP42" s="694"/>
      <c r="AQ42" s="694"/>
      <c r="AR42" s="694"/>
      <c r="AS42" s="694"/>
      <c r="AT42" s="694"/>
      <c r="AU42" s="694"/>
      <c r="AV42" s="694"/>
      <c r="AW42" s="694"/>
      <c r="AX42" s="694"/>
      <c r="AY42" s="694"/>
      <c r="AZ42" s="694"/>
      <c r="BA42" s="694"/>
      <c r="BB42" s="694"/>
      <c r="BC42" s="694"/>
      <c r="BD42" s="694"/>
      <c r="BE42" s="694"/>
      <c r="BF42" s="694"/>
      <c r="BG42" s="694"/>
    </row>
    <row r="43" spans="1:59" x14ac:dyDescent="0.2">
      <c r="B43" s="694"/>
      <c r="C43" s="694"/>
      <c r="D43" s="694"/>
      <c r="E43" s="694"/>
      <c r="F43" s="694"/>
      <c r="G43" s="694"/>
      <c r="H43" s="694"/>
      <c r="I43" s="694"/>
      <c r="J43" s="694"/>
      <c r="K43" s="694"/>
      <c r="L43" s="694"/>
      <c r="M43" s="694"/>
      <c r="N43" s="694"/>
      <c r="O43" s="694"/>
      <c r="P43" s="694"/>
      <c r="Q43" s="694"/>
      <c r="R43" s="694"/>
      <c r="S43" s="694"/>
      <c r="T43" s="694"/>
      <c r="U43" s="694"/>
      <c r="V43" s="694"/>
      <c r="W43" s="694"/>
      <c r="X43" s="694"/>
      <c r="Y43" s="694"/>
      <c r="Z43" s="694"/>
      <c r="AA43" s="694"/>
      <c r="AB43" s="694"/>
      <c r="AC43" s="694"/>
      <c r="AD43" s="507"/>
      <c r="AE43" s="701" t="s">
        <v>75</v>
      </c>
      <c r="AF43" s="701"/>
      <c r="AG43" s="694" t="s">
        <v>74</v>
      </c>
      <c r="AH43" s="694"/>
      <c r="AI43" s="694"/>
      <c r="AJ43" s="694"/>
      <c r="AK43" s="694"/>
      <c r="AL43" s="694"/>
      <c r="AM43" s="694"/>
      <c r="AN43" s="694"/>
      <c r="AO43" s="694"/>
      <c r="AP43" s="694"/>
      <c r="AQ43" s="694"/>
      <c r="AR43" s="694"/>
      <c r="AS43" s="694"/>
      <c r="AT43" s="694"/>
      <c r="AU43" s="694"/>
      <c r="AV43" s="694"/>
      <c r="AW43" s="694"/>
      <c r="AX43" s="694"/>
      <c r="AY43" s="694"/>
      <c r="AZ43" s="694"/>
      <c r="BA43" s="694"/>
      <c r="BB43" s="694"/>
      <c r="BC43" s="694"/>
      <c r="BD43" s="694"/>
      <c r="BE43" s="694"/>
      <c r="BF43" s="694"/>
      <c r="BG43" s="694"/>
    </row>
    <row r="44" spans="1:59" x14ac:dyDescent="0.2">
      <c r="A44" s="511" t="s">
        <v>68</v>
      </c>
      <c r="B44" s="694" t="s">
        <v>499</v>
      </c>
      <c r="C44" s="694"/>
      <c r="D44" s="694"/>
      <c r="E44" s="694"/>
      <c r="F44" s="694"/>
      <c r="G44" s="694"/>
      <c r="H44" s="694"/>
      <c r="I44" s="694"/>
      <c r="J44" s="694"/>
      <c r="K44" s="694"/>
      <c r="L44" s="694"/>
      <c r="M44" s="694"/>
      <c r="N44" s="694"/>
      <c r="O44" s="694"/>
      <c r="P44" s="694"/>
      <c r="Q44" s="694"/>
      <c r="R44" s="694"/>
      <c r="S44" s="694"/>
      <c r="T44" s="694"/>
      <c r="U44" s="694"/>
      <c r="V44" s="694"/>
      <c r="W44" s="694"/>
      <c r="X44" s="694"/>
      <c r="Y44" s="694"/>
      <c r="Z44" s="694"/>
      <c r="AA44" s="694"/>
      <c r="AB44" s="694"/>
      <c r="AC44" s="694"/>
      <c r="AD44" s="507"/>
      <c r="AE44" s="517"/>
      <c r="AF44" s="517"/>
      <c r="AG44" s="694"/>
      <c r="AH44" s="694"/>
      <c r="AI44" s="694"/>
      <c r="AJ44" s="694"/>
      <c r="AK44" s="694"/>
      <c r="AL44" s="694"/>
      <c r="AM44" s="694"/>
      <c r="AN44" s="694"/>
      <c r="AO44" s="694"/>
      <c r="AP44" s="694"/>
      <c r="AQ44" s="694"/>
      <c r="AR44" s="694"/>
      <c r="AS44" s="694"/>
      <c r="AT44" s="694"/>
      <c r="AU44" s="694"/>
      <c r="AV44" s="694"/>
      <c r="AW44" s="694"/>
      <c r="AX44" s="694"/>
      <c r="AY44" s="694"/>
      <c r="AZ44" s="694"/>
      <c r="BA44" s="694"/>
      <c r="BB44" s="694"/>
      <c r="BC44" s="694"/>
      <c r="BD44" s="694"/>
      <c r="BE44" s="694"/>
      <c r="BF44" s="694"/>
      <c r="BG44" s="694"/>
    </row>
    <row r="45" spans="1:59" x14ac:dyDescent="0.2">
      <c r="B45" s="694"/>
      <c r="C45" s="694"/>
      <c r="D45" s="694"/>
      <c r="E45" s="694"/>
      <c r="F45" s="694"/>
      <c r="G45" s="694"/>
      <c r="H45" s="694"/>
      <c r="I45" s="694"/>
      <c r="J45" s="694"/>
      <c r="K45" s="694"/>
      <c r="L45" s="694"/>
      <c r="M45" s="694"/>
      <c r="N45" s="694"/>
      <c r="O45" s="694"/>
      <c r="P45" s="694"/>
      <c r="Q45" s="694"/>
      <c r="R45" s="694"/>
      <c r="S45" s="694"/>
      <c r="T45" s="694"/>
      <c r="U45" s="694"/>
      <c r="V45" s="694"/>
      <c r="W45" s="694"/>
      <c r="X45" s="694"/>
      <c r="Y45" s="694"/>
      <c r="Z45" s="694"/>
      <c r="AA45" s="694"/>
      <c r="AB45" s="694"/>
      <c r="AC45" s="694"/>
      <c r="AD45" s="507"/>
      <c r="AE45" s="701" t="s">
        <v>72</v>
      </c>
      <c r="AF45" s="701"/>
      <c r="AG45" s="702" t="s">
        <v>452</v>
      </c>
      <c r="AH45" s="702"/>
      <c r="AI45" s="702"/>
      <c r="AJ45" s="702"/>
      <c r="AK45" s="702"/>
      <c r="AL45" s="702"/>
      <c r="AM45" s="702"/>
      <c r="AN45" s="702"/>
      <c r="AO45" s="702"/>
      <c r="AP45" s="702"/>
      <c r="AQ45" s="702"/>
      <c r="AR45" s="702"/>
      <c r="AS45" s="702"/>
      <c r="AT45" s="702"/>
      <c r="AU45" s="702"/>
      <c r="AV45" s="702"/>
      <c r="AW45" s="702"/>
      <c r="AX45" s="702"/>
      <c r="AY45" s="702"/>
      <c r="AZ45" s="702"/>
      <c r="BA45" s="702"/>
      <c r="BB45" s="702"/>
      <c r="BC45" s="702"/>
      <c r="BD45" s="702"/>
      <c r="BE45" s="702"/>
      <c r="BF45" s="702"/>
      <c r="BG45" s="702"/>
    </row>
    <row r="46" spans="1:59" x14ac:dyDescent="0.2">
      <c r="A46" s="512"/>
      <c r="B46" s="69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507"/>
      <c r="AE46" s="701" t="s">
        <v>71</v>
      </c>
      <c r="AF46" s="701"/>
      <c r="AG46" s="694" t="str">
        <f>"«Borc alan»ın öz kredit borcları haqqında məlumatların alınması və onun haqqında toplanan məlumatlarda qeyri-dəqiqliyinin aradan qaldırılması üçün yazılı formada Mərkəzləşdirilmiş Kredit Reyestrinə  müraciət etmək hüququ var;"</f>
        <v>«Borc alan»ın öz kredit borcları haqqında məlumatların alınması və onun haqqında toplanan məlumatlarda qeyri-dəqiqliyinin aradan qaldırılması üçün yazılı formada Mərkəzləşdirilmiş Kredit Reyestrinə  müraciət etmək hüququ var;</v>
      </c>
      <c r="AH46" s="694"/>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row>
    <row r="47" spans="1:59" x14ac:dyDescent="0.2">
      <c r="A47" s="511" t="s">
        <v>67</v>
      </c>
      <c r="B47" s="694" t="s">
        <v>862</v>
      </c>
      <c r="C47" s="694"/>
      <c r="D47" s="694"/>
      <c r="E47" s="694"/>
      <c r="F47" s="694"/>
      <c r="G47" s="694"/>
      <c r="H47" s="694"/>
      <c r="I47" s="694"/>
      <c r="J47" s="694"/>
      <c r="K47" s="694"/>
      <c r="L47" s="694"/>
      <c r="M47" s="694"/>
      <c r="N47" s="694"/>
      <c r="O47" s="694"/>
      <c r="P47" s="694"/>
      <c r="Q47" s="694"/>
      <c r="R47" s="694"/>
      <c r="S47" s="694"/>
      <c r="T47" s="694"/>
      <c r="U47" s="694"/>
      <c r="V47" s="694"/>
      <c r="W47" s="694"/>
      <c r="X47" s="694"/>
      <c r="Y47" s="694"/>
      <c r="Z47" s="694"/>
      <c r="AA47" s="694"/>
      <c r="AB47" s="694"/>
      <c r="AC47" s="694"/>
      <c r="AD47" s="507"/>
      <c r="AE47" s="517"/>
      <c r="AF47" s="517"/>
      <c r="AG47" s="694"/>
      <c r="AH47" s="694"/>
      <c r="AI47" s="694"/>
      <c r="AJ47" s="694"/>
      <c r="AK47" s="694"/>
      <c r="AL47" s="694"/>
      <c r="AM47" s="694"/>
      <c r="AN47" s="694"/>
      <c r="AO47" s="694"/>
      <c r="AP47" s="694"/>
      <c r="AQ47" s="694"/>
      <c r="AR47" s="694"/>
      <c r="AS47" s="694"/>
      <c r="AT47" s="694"/>
      <c r="AU47" s="694"/>
      <c r="AV47" s="694"/>
      <c r="AW47" s="694"/>
      <c r="AX47" s="694"/>
      <c r="AY47" s="694"/>
      <c r="AZ47" s="694"/>
      <c r="BA47" s="694"/>
      <c r="BB47" s="694"/>
      <c r="BC47" s="694"/>
      <c r="BD47" s="694"/>
      <c r="BE47" s="694"/>
      <c r="BF47" s="694"/>
      <c r="BG47" s="694"/>
    </row>
    <row r="48" spans="1:59" x14ac:dyDescent="0.2">
      <c r="A48" s="512"/>
      <c r="B48" s="694"/>
      <c r="C48" s="694"/>
      <c r="D48" s="694"/>
      <c r="E48" s="694"/>
      <c r="F48" s="694"/>
      <c r="G48" s="694"/>
      <c r="H48" s="694"/>
      <c r="I48" s="694"/>
      <c r="J48" s="694"/>
      <c r="K48" s="694"/>
      <c r="L48" s="694"/>
      <c r="M48" s="694"/>
      <c r="N48" s="694"/>
      <c r="O48" s="694"/>
      <c r="P48" s="694"/>
      <c r="Q48" s="694"/>
      <c r="R48" s="694"/>
      <c r="S48" s="694"/>
      <c r="T48" s="694"/>
      <c r="U48" s="694"/>
      <c r="V48" s="694"/>
      <c r="W48" s="694"/>
      <c r="X48" s="694"/>
      <c r="Y48" s="694"/>
      <c r="Z48" s="694"/>
      <c r="AA48" s="694"/>
      <c r="AB48" s="694"/>
      <c r="AC48" s="694"/>
      <c r="AD48" s="507"/>
      <c r="AE48" s="517"/>
      <c r="AF48" s="517"/>
      <c r="AG48" s="694"/>
      <c r="AH48" s="694"/>
      <c r="AI48" s="694"/>
      <c r="AJ48" s="694"/>
      <c r="AK48" s="694"/>
      <c r="AL48" s="694"/>
      <c r="AM48" s="694"/>
      <c r="AN48" s="694"/>
      <c r="AO48" s="694"/>
      <c r="AP48" s="694"/>
      <c r="AQ48" s="694"/>
      <c r="AR48" s="694"/>
      <c r="AS48" s="694"/>
      <c r="AT48" s="694"/>
      <c r="AU48" s="694"/>
      <c r="AV48" s="694"/>
      <c r="AW48" s="694"/>
      <c r="AX48" s="694"/>
      <c r="AY48" s="694"/>
      <c r="AZ48" s="694"/>
      <c r="BA48" s="694"/>
      <c r="BB48" s="694"/>
      <c r="BC48" s="694"/>
      <c r="BD48" s="694"/>
      <c r="BE48" s="694"/>
      <c r="BF48" s="694"/>
      <c r="BG48" s="694"/>
    </row>
    <row r="49" spans="1:59" x14ac:dyDescent="0.2">
      <c r="A49" s="512"/>
      <c r="B49" s="694"/>
      <c r="C49" s="694"/>
      <c r="D49" s="694"/>
      <c r="E49" s="694"/>
      <c r="F49" s="694"/>
      <c r="G49" s="694"/>
      <c r="H49" s="694"/>
      <c r="I49" s="694"/>
      <c r="J49" s="694"/>
      <c r="K49" s="694"/>
      <c r="L49" s="694"/>
      <c r="M49" s="694"/>
      <c r="N49" s="694"/>
      <c r="O49" s="694"/>
      <c r="P49" s="694"/>
      <c r="Q49" s="694"/>
      <c r="R49" s="694"/>
      <c r="S49" s="694"/>
      <c r="T49" s="694"/>
      <c r="U49" s="694"/>
      <c r="V49" s="694"/>
      <c r="W49" s="694"/>
      <c r="X49" s="694"/>
      <c r="Y49" s="694"/>
      <c r="Z49" s="694"/>
      <c r="AA49" s="694"/>
      <c r="AB49" s="694"/>
      <c r="AC49" s="694"/>
      <c r="AD49" s="507"/>
      <c r="AE49" s="517"/>
      <c r="AF49" s="517"/>
      <c r="AG49" s="694"/>
      <c r="AH49" s="694"/>
      <c r="AI49" s="694"/>
      <c r="AJ49" s="694"/>
      <c r="AK49" s="694"/>
      <c r="AL49" s="694"/>
      <c r="AM49" s="694"/>
      <c r="AN49" s="694"/>
      <c r="AO49" s="694"/>
      <c r="AP49" s="694"/>
      <c r="AQ49" s="694"/>
      <c r="AR49" s="694"/>
      <c r="AS49" s="694"/>
      <c r="AT49" s="694"/>
      <c r="AU49" s="694"/>
      <c r="AV49" s="694"/>
      <c r="AW49" s="694"/>
      <c r="AX49" s="694"/>
      <c r="AY49" s="694"/>
      <c r="AZ49" s="694"/>
      <c r="BA49" s="694"/>
      <c r="BB49" s="694"/>
      <c r="BC49" s="694"/>
      <c r="BD49" s="694"/>
      <c r="BE49" s="694"/>
      <c r="BF49" s="694"/>
      <c r="BG49" s="694"/>
    </row>
    <row r="50" spans="1:59" x14ac:dyDescent="0.2">
      <c r="B50" s="694"/>
      <c r="C50" s="694"/>
      <c r="D50" s="694"/>
      <c r="E50" s="694"/>
      <c r="F50" s="694"/>
      <c r="G50" s="694"/>
      <c r="H50" s="694"/>
      <c r="I50" s="694"/>
      <c r="J50" s="694"/>
      <c r="K50" s="694"/>
      <c r="L50" s="694"/>
      <c r="M50" s="694"/>
      <c r="N50" s="694"/>
      <c r="O50" s="694"/>
      <c r="P50" s="694"/>
      <c r="Q50" s="694"/>
      <c r="R50" s="694"/>
      <c r="S50" s="694"/>
      <c r="T50" s="694"/>
      <c r="U50" s="694"/>
      <c r="V50" s="694"/>
      <c r="W50" s="694"/>
      <c r="X50" s="694"/>
      <c r="Y50" s="694"/>
      <c r="Z50" s="694"/>
      <c r="AA50" s="694"/>
      <c r="AB50" s="694"/>
      <c r="AC50" s="694"/>
      <c r="AD50" s="507"/>
      <c r="AE50" s="701" t="s">
        <v>69</v>
      </c>
      <c r="AF50" s="701"/>
      <c r="AG50" s="706" t="str">
        <f>"Hüquqlarının pozulduğunu  düşündükdə və ya hər hansı məsələ ilə bağlı şikayəti   və ya təklifi olduqda,  «Borc alan» iş günləri (saat 09:00-dan 18:00-dək) ərzində həm birbaşa olaraq kredit  götürdüyü filialın menecerinə,   həm də təşkilatın qaynar xətti –"&amp;" (+994 50) 287 30 37,  şəhərdaxili  telefon nömrəsi– (+994 12) 597 48 17 (daxili 303),  faks– (+994 12) 597 30 39,  elektron poçt ün"&amp;"vanı– muraciet@azercredit.az, internet səhifəsindəki «Müraciət»  bölməsi və ya ofislərdə qoyulan Şikayət və Təklif Qutuları vasitəsilə və yaxud da birbaşa  olaraq təşkilatın Baş Ofisinə (ünvan: Bakı  şəh., AZ1009, S. Rəhimov/ S.Vurğun küçələrin kəsişm"&amp;"əsi, World Business Center, 3-cü mərtəbə) gəlməklə  Müştəri xidmətləri üzrə məsul şəxsə  müraciət edə bilər. "</f>
        <v xml:space="preserve">Hüquqlarının pozulduğunu  düşündükdə və ya hər hansı məsələ ilə bağlı şikayəti   və ya təklifi olduqda,  «Borc alan» iş günləri (saat 09:00-dan 18:00-dək) ərzində həm birbaşa olaraq kredit  götürdüyü filialın menecerinə,   həm də təşkilatın qaynar xətti – (+994 50) 287 30 37,  şəhərdaxili  telefon nömrəsi– (+994 12) 597 48 17 (daxili 303),  faks– (+994 12) 597 30 39,  elektron poçt ünvanı– muraciet@azercredit.az, internet səhifəsindəki «Müraciət»  bölməsi və ya ofislərdə qoyulan Şikayət və Təklif Qutuları vasitəsilə və yaxud da birbaşa  olaraq təşkilatın Baş Ofisinə (ünvan: Bakı  şəh., AZ1009, S. Rəhimov/ S.Vurğun küçələrin kəsişməsi, World Business Center, 3-cü mərtəbə) gəlməklə  Müştəri xidmətləri üzrə məsul şəxsə  müraciət edə bilər. </v>
      </c>
      <c r="AH50" s="706"/>
      <c r="AI50" s="706"/>
      <c r="AJ50" s="706"/>
      <c r="AK50" s="706"/>
      <c r="AL50" s="706"/>
      <c r="AM50" s="706"/>
      <c r="AN50" s="706"/>
      <c r="AO50" s="706"/>
      <c r="AP50" s="706"/>
      <c r="AQ50" s="706"/>
      <c r="AR50" s="706"/>
      <c r="AS50" s="706"/>
      <c r="AT50" s="706"/>
      <c r="AU50" s="706"/>
      <c r="AV50" s="706"/>
      <c r="AW50" s="706"/>
      <c r="AX50" s="706"/>
      <c r="AY50" s="706"/>
      <c r="AZ50" s="706"/>
      <c r="BA50" s="706"/>
      <c r="BB50" s="706"/>
      <c r="BC50" s="706"/>
      <c r="BD50" s="706"/>
      <c r="BE50" s="706"/>
      <c r="BF50" s="706"/>
      <c r="BG50" s="706"/>
    </row>
    <row r="51" spans="1:59" x14ac:dyDescent="0.2">
      <c r="A51" s="511" t="s">
        <v>66</v>
      </c>
      <c r="B51" s="694" t="str">
        <f>"«Borc alan» kredit və kreditdən istifadəyə görə faizlərin ödənişini bu müqavilənin ayrılmaz tərkib hissəsi olan ödəniş cədvəlinə müvafiq həyata keçrirərsə son "&amp;IF(AND(MONTH_KREDIT&gt;=18,MONTH_KREDIT&lt;=36),"8 (səkkiz)",IF(AND(MONTH_KREDIT&gt;=37,MONTH_KREDIT&lt;=48),"10 (on)","0 (sıfır)"))&amp;" ayın faizləri ona güzəşt ediləcəkdir."</f>
        <v>«Borc alan» kredit və kreditdən istifadəyə görə faizlərin ödənişini bu müqavilənin ayrılmaz tərkib hissəsi olan ödəniş cədvəlinə müvafiq həyata keçrirərsə son 0 (sıfır) ayın faizləri ona güzəşt ediləcəkdir.</v>
      </c>
      <c r="C51" s="694"/>
      <c r="D51" s="694"/>
      <c r="E51" s="694"/>
      <c r="F51" s="694"/>
      <c r="G51" s="694"/>
      <c r="H51" s="694"/>
      <c r="I51" s="694"/>
      <c r="J51" s="694"/>
      <c r="K51" s="694"/>
      <c r="L51" s="694"/>
      <c r="M51" s="694"/>
      <c r="N51" s="694"/>
      <c r="O51" s="694"/>
      <c r="P51" s="694"/>
      <c r="Q51" s="694"/>
      <c r="R51" s="694"/>
      <c r="S51" s="694"/>
      <c r="T51" s="694"/>
      <c r="U51" s="694"/>
      <c r="V51" s="694"/>
      <c r="W51" s="694"/>
      <c r="X51" s="694"/>
      <c r="Y51" s="694"/>
      <c r="Z51" s="694"/>
      <c r="AA51" s="694"/>
      <c r="AB51" s="694"/>
      <c r="AC51" s="694"/>
      <c r="AD51" s="507"/>
      <c r="AE51" s="517"/>
      <c r="AF51" s="517"/>
      <c r="AG51" s="706"/>
      <c r="AH51" s="706"/>
      <c r="AI51" s="706"/>
      <c r="AJ51" s="706"/>
      <c r="AK51" s="706"/>
      <c r="AL51" s="706"/>
      <c r="AM51" s="706"/>
      <c r="AN51" s="706"/>
      <c r="AO51" s="706"/>
      <c r="AP51" s="706"/>
      <c r="AQ51" s="706"/>
      <c r="AR51" s="706"/>
      <c r="AS51" s="706"/>
      <c r="AT51" s="706"/>
      <c r="AU51" s="706"/>
      <c r="AV51" s="706"/>
      <c r="AW51" s="706"/>
      <c r="AX51" s="706"/>
      <c r="AY51" s="706"/>
      <c r="AZ51" s="706"/>
      <c r="BA51" s="706"/>
      <c r="BB51" s="706"/>
      <c r="BC51" s="706"/>
      <c r="BD51" s="706"/>
      <c r="BE51" s="706"/>
      <c r="BF51" s="706"/>
      <c r="BG51" s="706"/>
    </row>
    <row r="52" spans="1:59" x14ac:dyDescent="0.2">
      <c r="A52" s="512"/>
      <c r="B52" s="694"/>
      <c r="C52" s="694"/>
      <c r="D52" s="694"/>
      <c r="E52" s="694"/>
      <c r="F52" s="694"/>
      <c r="G52" s="694"/>
      <c r="H52" s="694"/>
      <c r="I52" s="694"/>
      <c r="J52" s="694"/>
      <c r="K52" s="694"/>
      <c r="L52" s="694"/>
      <c r="M52" s="694"/>
      <c r="N52" s="694"/>
      <c r="O52" s="694"/>
      <c r="P52" s="694"/>
      <c r="Q52" s="694"/>
      <c r="R52" s="694"/>
      <c r="S52" s="694"/>
      <c r="T52" s="694"/>
      <c r="U52" s="694"/>
      <c r="V52" s="694"/>
      <c r="W52" s="694"/>
      <c r="X52" s="694"/>
      <c r="Y52" s="694"/>
      <c r="Z52" s="694"/>
      <c r="AA52" s="694"/>
      <c r="AB52" s="694"/>
      <c r="AC52" s="694"/>
      <c r="AD52" s="507"/>
      <c r="AE52" s="517"/>
      <c r="AF52" s="517"/>
      <c r="AG52" s="706"/>
      <c r="AH52" s="706"/>
      <c r="AI52" s="706"/>
      <c r="AJ52" s="706"/>
      <c r="AK52" s="706"/>
      <c r="AL52" s="706"/>
      <c r="AM52" s="706"/>
      <c r="AN52" s="706"/>
      <c r="AO52" s="706"/>
      <c r="AP52" s="706"/>
      <c r="AQ52" s="706"/>
      <c r="AR52" s="706"/>
      <c r="AS52" s="706"/>
      <c r="AT52" s="706"/>
      <c r="AU52" s="706"/>
      <c r="AV52" s="706"/>
      <c r="AW52" s="706"/>
      <c r="AX52" s="706"/>
      <c r="AY52" s="706"/>
      <c r="AZ52" s="706"/>
      <c r="BA52" s="706"/>
      <c r="BB52" s="706"/>
      <c r="BC52" s="706"/>
      <c r="BD52" s="706"/>
      <c r="BE52" s="706"/>
      <c r="BF52" s="706"/>
      <c r="BG52" s="706"/>
    </row>
    <row r="53" spans="1:59" x14ac:dyDescent="0.2">
      <c r="A53" s="512"/>
      <c r="B53" s="694"/>
      <c r="C53" s="694"/>
      <c r="D53" s="694"/>
      <c r="E53" s="694"/>
      <c r="F53" s="694"/>
      <c r="G53" s="694"/>
      <c r="H53" s="694"/>
      <c r="I53" s="694"/>
      <c r="J53" s="694"/>
      <c r="K53" s="694"/>
      <c r="L53" s="694"/>
      <c r="M53" s="694"/>
      <c r="N53" s="694"/>
      <c r="O53" s="694"/>
      <c r="P53" s="694"/>
      <c r="Q53" s="694"/>
      <c r="R53" s="694"/>
      <c r="S53" s="694"/>
      <c r="T53" s="694"/>
      <c r="U53" s="694"/>
      <c r="V53" s="694"/>
      <c r="W53" s="694"/>
      <c r="X53" s="694"/>
      <c r="Y53" s="694"/>
      <c r="Z53" s="694"/>
      <c r="AA53" s="694"/>
      <c r="AB53" s="694"/>
      <c r="AC53" s="694"/>
      <c r="AD53" s="507"/>
      <c r="AE53" s="517"/>
      <c r="AF53" s="517"/>
      <c r="AG53" s="706"/>
      <c r="AH53" s="706"/>
      <c r="AI53" s="706"/>
      <c r="AJ53" s="706"/>
      <c r="AK53" s="706"/>
      <c r="AL53" s="706"/>
      <c r="AM53" s="706"/>
      <c r="AN53" s="706"/>
      <c r="AO53" s="706"/>
      <c r="AP53" s="706"/>
      <c r="AQ53" s="706"/>
      <c r="AR53" s="706"/>
      <c r="AS53" s="706"/>
      <c r="AT53" s="706"/>
      <c r="AU53" s="706"/>
      <c r="AV53" s="706"/>
      <c r="AW53" s="706"/>
      <c r="AX53" s="706"/>
      <c r="AY53" s="706"/>
      <c r="AZ53" s="706"/>
      <c r="BA53" s="706"/>
      <c r="BB53" s="706"/>
      <c r="BC53" s="706"/>
      <c r="BD53" s="706"/>
      <c r="BE53" s="706"/>
      <c r="BF53" s="706"/>
      <c r="BG53" s="706"/>
    </row>
    <row r="54" spans="1:59" x14ac:dyDescent="0.2">
      <c r="B54" s="102"/>
      <c r="C54" s="102"/>
      <c r="D54" s="102"/>
      <c r="E54" s="102"/>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507"/>
      <c r="AE54" s="517"/>
      <c r="AF54" s="517"/>
      <c r="AG54" s="706"/>
      <c r="AH54" s="706"/>
      <c r="AI54" s="706"/>
      <c r="AJ54" s="706"/>
      <c r="AK54" s="706"/>
      <c r="AL54" s="706"/>
      <c r="AM54" s="706"/>
      <c r="AN54" s="706"/>
      <c r="AO54" s="706"/>
      <c r="AP54" s="706"/>
      <c r="AQ54" s="706"/>
      <c r="AR54" s="706"/>
      <c r="AS54" s="706"/>
      <c r="AT54" s="706"/>
      <c r="AU54" s="706"/>
      <c r="AV54" s="706"/>
      <c r="AW54" s="706"/>
      <c r="AX54" s="706"/>
      <c r="AY54" s="706"/>
      <c r="AZ54" s="706"/>
      <c r="BA54" s="706"/>
      <c r="BB54" s="706"/>
      <c r="BC54" s="706"/>
      <c r="BD54" s="706"/>
      <c r="BE54" s="706"/>
      <c r="BF54" s="706"/>
      <c r="BG54" s="706"/>
    </row>
    <row r="55" spans="1:59" x14ac:dyDescent="0.2">
      <c r="A55" s="695" t="s">
        <v>60</v>
      </c>
      <c r="B55" s="695"/>
      <c r="C55" s="695"/>
      <c r="D55" s="695"/>
      <c r="E55" s="695"/>
      <c r="F55" s="695"/>
      <c r="G55" s="695"/>
      <c r="H55" s="695"/>
      <c r="I55" s="695"/>
      <c r="J55" s="695"/>
      <c r="K55" s="695"/>
      <c r="L55" s="695"/>
      <c r="M55" s="695"/>
      <c r="N55" s="695"/>
      <c r="O55" s="695"/>
      <c r="P55" s="695"/>
      <c r="Q55" s="695"/>
      <c r="R55" s="695"/>
      <c r="S55" s="695"/>
      <c r="T55" s="695"/>
      <c r="U55" s="695"/>
      <c r="V55" s="695"/>
      <c r="W55" s="695"/>
      <c r="X55" s="695"/>
      <c r="Y55" s="695"/>
      <c r="Z55" s="695"/>
      <c r="AA55" s="695"/>
      <c r="AB55" s="695"/>
      <c r="AC55" s="695"/>
      <c r="AD55" s="507"/>
      <c r="AE55" s="517"/>
      <c r="AF55" s="517"/>
      <c r="AG55" s="706"/>
      <c r="AH55" s="706"/>
      <c r="AI55" s="706"/>
      <c r="AJ55" s="706"/>
      <c r="AK55" s="706"/>
      <c r="AL55" s="706"/>
      <c r="AM55" s="706"/>
      <c r="AN55" s="706"/>
      <c r="AO55" s="706"/>
      <c r="AP55" s="706"/>
      <c r="AQ55" s="706"/>
      <c r="AR55" s="706"/>
      <c r="AS55" s="706"/>
      <c r="AT55" s="706"/>
      <c r="AU55" s="706"/>
      <c r="AV55" s="706"/>
      <c r="AW55" s="706"/>
      <c r="AX55" s="706"/>
      <c r="AY55" s="706"/>
      <c r="AZ55" s="706"/>
      <c r="BA55" s="706"/>
      <c r="BB55" s="706"/>
      <c r="BC55" s="706"/>
      <c r="BD55" s="706"/>
      <c r="BE55" s="706"/>
      <c r="BF55" s="706"/>
      <c r="BG55" s="706"/>
    </row>
    <row r="56" spans="1:59" x14ac:dyDescent="0.2">
      <c r="AD56" s="507"/>
      <c r="AE56" s="517"/>
      <c r="AF56" s="517"/>
      <c r="AG56" s="706"/>
      <c r="AH56" s="706"/>
      <c r="AI56" s="706"/>
      <c r="AJ56" s="706"/>
      <c r="AK56" s="706"/>
      <c r="AL56" s="706"/>
      <c r="AM56" s="706"/>
      <c r="AN56" s="706"/>
      <c r="AO56" s="706"/>
      <c r="AP56" s="706"/>
      <c r="AQ56" s="706"/>
      <c r="AR56" s="706"/>
      <c r="AS56" s="706"/>
      <c r="AT56" s="706"/>
      <c r="AU56" s="706"/>
      <c r="AV56" s="706"/>
      <c r="AW56" s="706"/>
      <c r="AX56" s="706"/>
      <c r="AY56" s="706"/>
      <c r="AZ56" s="706"/>
      <c r="BA56" s="706"/>
      <c r="BB56" s="706"/>
      <c r="BC56" s="706"/>
      <c r="BD56" s="706"/>
      <c r="BE56" s="706"/>
      <c r="BF56" s="706"/>
      <c r="BG56" s="706"/>
    </row>
    <row r="57" spans="1:59" x14ac:dyDescent="0.2">
      <c r="A57" s="511" t="s">
        <v>59</v>
      </c>
      <c r="B57" s="694" t="str">
        <f>"Bu müqaviləyə əsasən kredit təminatla verilir. Bu müqavilə üzrə kreditin təminatı «Borc alan»ın və ya üçüncü şəxsin  «Borc verən»ə kreditin təminatı olaraq "&amp;LD_NUM&amp;" saylı  girov müqaviləsinə əsasən  yüklü etdiyi əmlakdır. Kreditin təminatı zaminlik və kreditin sığortalanması formasında bağlanan müqavilələr də ola bilər."</f>
        <v>Bu müqaviləyə əsasən kredit təminatla verilir. Bu müqavilə üzrə kreditin təminatı «Borc alan»ın və ya üçüncü şəxsin  «Borc verən»ə kreditin təminatı olaraq LD/15212/00143 saylı  girov müqaviləsinə əsasən  yüklü etdiyi əmlakdır. Kreditin təminatı zaminlik və kreditin sığortalanması formasında bağlanan müqavilələr də ola bilər.</v>
      </c>
      <c r="C57" s="694"/>
      <c r="D57" s="694"/>
      <c r="E57" s="694"/>
      <c r="F57" s="694"/>
      <c r="G57" s="694"/>
      <c r="H57" s="694"/>
      <c r="I57" s="694"/>
      <c r="J57" s="694"/>
      <c r="K57" s="694"/>
      <c r="L57" s="694"/>
      <c r="M57" s="694"/>
      <c r="N57" s="694"/>
      <c r="O57" s="694"/>
      <c r="P57" s="694"/>
      <c r="Q57" s="694"/>
      <c r="R57" s="694"/>
      <c r="S57" s="694"/>
      <c r="T57" s="694"/>
      <c r="U57" s="694"/>
      <c r="V57" s="694"/>
      <c r="W57" s="694"/>
      <c r="X57" s="694"/>
      <c r="Y57" s="694"/>
      <c r="Z57" s="694"/>
      <c r="AA57" s="694"/>
      <c r="AB57" s="694"/>
      <c r="AC57" s="694"/>
      <c r="AD57" s="507"/>
      <c r="AE57" s="517"/>
      <c r="AF57" s="517"/>
      <c r="AG57" s="706"/>
      <c r="AH57" s="706"/>
      <c r="AI57" s="706"/>
      <c r="AJ57" s="706"/>
      <c r="AK57" s="706"/>
      <c r="AL57" s="706"/>
      <c r="AM57" s="706"/>
      <c r="AN57" s="706"/>
      <c r="AO57" s="706"/>
      <c r="AP57" s="706"/>
      <c r="AQ57" s="706"/>
      <c r="AR57" s="706"/>
      <c r="AS57" s="706"/>
      <c r="AT57" s="706"/>
      <c r="AU57" s="706"/>
      <c r="AV57" s="706"/>
      <c r="AW57" s="706"/>
      <c r="AX57" s="706"/>
      <c r="AY57" s="706"/>
      <c r="AZ57" s="706"/>
      <c r="BA57" s="706"/>
      <c r="BB57" s="706"/>
      <c r="BC57" s="706"/>
      <c r="BD57" s="706"/>
      <c r="BE57" s="706"/>
      <c r="BF57" s="706"/>
      <c r="BG57" s="706"/>
    </row>
    <row r="58" spans="1:59" x14ac:dyDescent="0.2">
      <c r="B58" s="694"/>
      <c r="C58" s="694"/>
      <c r="D58" s="694"/>
      <c r="E58" s="694"/>
      <c r="F58" s="694"/>
      <c r="G58" s="694"/>
      <c r="H58" s="694"/>
      <c r="I58" s="694"/>
      <c r="J58" s="694"/>
      <c r="K58" s="694"/>
      <c r="L58" s="694"/>
      <c r="M58" s="694"/>
      <c r="N58" s="694"/>
      <c r="O58" s="694"/>
      <c r="P58" s="694"/>
      <c r="Q58" s="694"/>
      <c r="R58" s="694"/>
      <c r="S58" s="694"/>
      <c r="T58" s="694"/>
      <c r="U58" s="694"/>
      <c r="V58" s="694"/>
      <c r="W58" s="694"/>
      <c r="X58" s="694"/>
      <c r="Y58" s="694"/>
      <c r="Z58" s="694"/>
      <c r="AA58" s="694"/>
      <c r="AB58" s="694"/>
      <c r="AC58" s="694"/>
      <c r="AD58" s="507"/>
      <c r="AE58" s="517"/>
      <c r="AF58" s="517"/>
      <c r="AG58" s="706"/>
      <c r="AH58" s="706"/>
      <c r="AI58" s="706"/>
      <c r="AJ58" s="706"/>
      <c r="AK58" s="706"/>
      <c r="AL58" s="706"/>
      <c r="AM58" s="706"/>
      <c r="AN58" s="706"/>
      <c r="AO58" s="706"/>
      <c r="AP58" s="706"/>
      <c r="AQ58" s="706"/>
      <c r="AR58" s="706"/>
      <c r="AS58" s="706"/>
      <c r="AT58" s="706"/>
      <c r="AU58" s="706"/>
      <c r="AV58" s="706"/>
      <c r="AW58" s="706"/>
      <c r="AX58" s="706"/>
      <c r="AY58" s="706"/>
      <c r="AZ58" s="706"/>
      <c r="BA58" s="706"/>
      <c r="BB58" s="706"/>
      <c r="BC58" s="706"/>
      <c r="BD58" s="706"/>
      <c r="BE58" s="706"/>
      <c r="BF58" s="706"/>
      <c r="BG58" s="706"/>
    </row>
    <row r="59" spans="1:59" x14ac:dyDescent="0.2">
      <c r="B59" s="694"/>
      <c r="C59" s="694"/>
      <c r="D59" s="694"/>
      <c r="E59" s="694"/>
      <c r="F59" s="694"/>
      <c r="G59" s="694"/>
      <c r="H59" s="694"/>
      <c r="I59" s="694"/>
      <c r="J59" s="694"/>
      <c r="K59" s="694"/>
      <c r="L59" s="694"/>
      <c r="M59" s="694"/>
      <c r="N59" s="694"/>
      <c r="O59" s="694"/>
      <c r="P59" s="694"/>
      <c r="Q59" s="694"/>
      <c r="R59" s="694"/>
      <c r="S59" s="694"/>
      <c r="T59" s="694"/>
      <c r="U59" s="694"/>
      <c r="V59" s="694"/>
      <c r="W59" s="694"/>
      <c r="X59" s="694"/>
      <c r="Y59" s="694"/>
      <c r="Z59" s="694"/>
      <c r="AA59" s="694"/>
      <c r="AB59" s="694"/>
      <c r="AC59" s="694"/>
      <c r="AD59" s="507"/>
      <c r="AE59" s="517"/>
      <c r="AF59" s="517"/>
      <c r="AG59" s="706"/>
      <c r="AH59" s="706"/>
      <c r="AI59" s="706"/>
      <c r="AJ59" s="706"/>
      <c r="AK59" s="706"/>
      <c r="AL59" s="706"/>
      <c r="AM59" s="706"/>
      <c r="AN59" s="706"/>
      <c r="AO59" s="706"/>
      <c r="AP59" s="706"/>
      <c r="AQ59" s="706"/>
      <c r="AR59" s="706"/>
      <c r="AS59" s="706"/>
      <c r="AT59" s="706"/>
      <c r="AU59" s="706"/>
      <c r="AV59" s="706"/>
      <c r="AW59" s="706"/>
      <c r="AX59" s="706"/>
      <c r="AY59" s="706"/>
      <c r="AZ59" s="706"/>
      <c r="BA59" s="706"/>
      <c r="BB59" s="706"/>
      <c r="BC59" s="706"/>
      <c r="BD59" s="706"/>
      <c r="BE59" s="706"/>
      <c r="BF59" s="706"/>
      <c r="BG59" s="706"/>
    </row>
    <row r="60" spans="1:59" ht="11.25" customHeight="1" x14ac:dyDescent="0.2">
      <c r="B60" s="694"/>
      <c r="C60" s="694"/>
      <c r="D60" s="694"/>
      <c r="E60" s="694"/>
      <c r="F60" s="694"/>
      <c r="G60" s="694"/>
      <c r="H60" s="694"/>
      <c r="I60" s="694"/>
      <c r="J60" s="694"/>
      <c r="K60" s="694"/>
      <c r="L60" s="694"/>
      <c r="M60" s="694"/>
      <c r="N60" s="694"/>
      <c r="O60" s="694"/>
      <c r="P60" s="694"/>
      <c r="Q60" s="694"/>
      <c r="R60" s="694"/>
      <c r="S60" s="694"/>
      <c r="T60" s="694"/>
      <c r="U60" s="694"/>
      <c r="V60" s="694"/>
      <c r="W60" s="694"/>
      <c r="X60" s="694"/>
      <c r="Y60" s="694"/>
      <c r="Z60" s="694"/>
      <c r="AA60" s="694"/>
      <c r="AB60" s="694"/>
      <c r="AC60" s="694"/>
      <c r="AD60" s="507"/>
      <c r="AE60" s="517"/>
      <c r="AF60" s="517"/>
      <c r="AG60" s="706"/>
      <c r="AH60" s="706"/>
      <c r="AI60" s="706"/>
      <c r="AJ60" s="706"/>
      <c r="AK60" s="706"/>
      <c r="AL60" s="706"/>
      <c r="AM60" s="706"/>
      <c r="AN60" s="706"/>
      <c r="AO60" s="706"/>
      <c r="AP60" s="706"/>
      <c r="AQ60" s="706"/>
      <c r="AR60" s="706"/>
      <c r="AS60" s="706"/>
      <c r="AT60" s="706"/>
      <c r="AU60" s="706"/>
      <c r="AV60" s="706"/>
      <c r="AW60" s="706"/>
      <c r="AX60" s="706"/>
      <c r="AY60" s="706"/>
      <c r="AZ60" s="706"/>
      <c r="BA60" s="706"/>
      <c r="BB60" s="706"/>
      <c r="BC60" s="706"/>
      <c r="BD60" s="706"/>
      <c r="BE60" s="706"/>
      <c r="BF60" s="706"/>
      <c r="BG60" s="706"/>
    </row>
    <row r="61" spans="1:59" ht="11.25" customHeight="1" x14ac:dyDescent="0.2">
      <c r="B61" s="694"/>
      <c r="C61" s="694"/>
      <c r="D61" s="694"/>
      <c r="E61" s="694"/>
      <c r="F61" s="694"/>
      <c r="G61" s="694"/>
      <c r="H61" s="694"/>
      <c r="I61" s="694"/>
      <c r="J61" s="694"/>
      <c r="K61" s="694"/>
      <c r="L61" s="694"/>
      <c r="M61" s="694"/>
      <c r="N61" s="694"/>
      <c r="O61" s="694"/>
      <c r="P61" s="694"/>
      <c r="Q61" s="694"/>
      <c r="R61" s="694"/>
      <c r="S61" s="694"/>
      <c r="T61" s="694"/>
      <c r="U61" s="694"/>
      <c r="V61" s="694"/>
      <c r="W61" s="694"/>
      <c r="X61" s="694"/>
      <c r="Y61" s="694"/>
      <c r="Z61" s="694"/>
      <c r="AA61" s="694"/>
      <c r="AB61" s="694"/>
      <c r="AC61" s="694"/>
      <c r="AD61" s="507"/>
      <c r="AE61" s="518" t="s">
        <v>65</v>
      </c>
      <c r="AF61" s="704" t="s">
        <v>445</v>
      </c>
      <c r="AG61" s="704"/>
      <c r="AH61" s="704"/>
      <c r="AI61" s="704"/>
      <c r="AJ61" s="704"/>
      <c r="AK61" s="704"/>
      <c r="AL61" s="704"/>
      <c r="AM61" s="704"/>
      <c r="AN61" s="704"/>
      <c r="AO61" s="704"/>
      <c r="AP61" s="704"/>
      <c r="AQ61" s="704"/>
      <c r="AR61" s="704"/>
      <c r="AS61" s="704"/>
      <c r="AT61" s="704"/>
      <c r="AU61" s="704"/>
      <c r="AV61" s="704"/>
      <c r="AW61" s="704"/>
      <c r="AX61" s="704"/>
      <c r="AY61" s="704"/>
      <c r="AZ61" s="704"/>
      <c r="BA61" s="704"/>
      <c r="BB61" s="704"/>
      <c r="BC61" s="704"/>
      <c r="BD61" s="704"/>
      <c r="BE61" s="704"/>
      <c r="BF61" s="704"/>
      <c r="BG61" s="704"/>
    </row>
    <row r="62" spans="1:59" x14ac:dyDescent="0.2">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507"/>
      <c r="AE62" s="701" t="s">
        <v>64</v>
      </c>
      <c r="AF62" s="701"/>
      <c r="AG62" s="694" t="s">
        <v>941</v>
      </c>
      <c r="AH62" s="694"/>
      <c r="AI62" s="694"/>
      <c r="AJ62" s="694"/>
      <c r="AK62" s="694"/>
      <c r="AL62" s="694"/>
      <c r="AM62" s="694"/>
      <c r="AN62" s="694"/>
      <c r="AO62" s="694"/>
      <c r="AP62" s="694"/>
      <c r="AQ62" s="694"/>
      <c r="AR62" s="694"/>
      <c r="AS62" s="694"/>
      <c r="AT62" s="694"/>
      <c r="AU62" s="694"/>
      <c r="AV62" s="694"/>
      <c r="AW62" s="694"/>
      <c r="AX62" s="694"/>
      <c r="AY62" s="694"/>
      <c r="AZ62" s="694"/>
      <c r="BA62" s="694"/>
      <c r="BB62" s="694"/>
      <c r="BC62" s="694"/>
      <c r="BD62" s="694"/>
      <c r="BE62" s="694"/>
      <c r="BF62" s="694"/>
      <c r="BG62" s="694"/>
    </row>
    <row r="63" spans="1:59" x14ac:dyDescent="0.2">
      <c r="A63" s="695" t="s">
        <v>416</v>
      </c>
      <c r="B63" s="695"/>
      <c r="C63" s="695"/>
      <c r="D63" s="695"/>
      <c r="E63" s="695"/>
      <c r="F63" s="695"/>
      <c r="G63" s="695"/>
      <c r="H63" s="695"/>
      <c r="I63" s="695"/>
      <c r="J63" s="695"/>
      <c r="K63" s="695"/>
      <c r="L63" s="695"/>
      <c r="M63" s="695"/>
      <c r="N63" s="695"/>
      <c r="O63" s="695"/>
      <c r="P63" s="695"/>
      <c r="Q63" s="695"/>
      <c r="R63" s="695"/>
      <c r="S63" s="695"/>
      <c r="T63" s="695"/>
      <c r="U63" s="695"/>
      <c r="V63" s="695"/>
      <c r="W63" s="695"/>
      <c r="X63" s="695"/>
      <c r="Y63" s="695"/>
      <c r="Z63" s="695"/>
      <c r="AA63" s="695"/>
      <c r="AB63" s="695"/>
      <c r="AC63" s="695"/>
      <c r="AD63" s="507"/>
      <c r="AE63" s="517"/>
      <c r="AF63" s="517"/>
      <c r="AG63" s="694"/>
      <c r="AH63" s="694"/>
      <c r="AI63" s="694"/>
      <c r="AJ63" s="694"/>
      <c r="AK63" s="694"/>
      <c r="AL63" s="694"/>
      <c r="AM63" s="694"/>
      <c r="AN63" s="694"/>
      <c r="AO63" s="694"/>
      <c r="AP63" s="694"/>
      <c r="AQ63" s="694"/>
      <c r="AR63" s="694"/>
      <c r="AS63" s="694"/>
      <c r="AT63" s="694"/>
      <c r="AU63" s="694"/>
      <c r="AV63" s="694"/>
      <c r="AW63" s="694"/>
      <c r="AX63" s="694"/>
      <c r="AY63" s="694"/>
      <c r="AZ63" s="694"/>
      <c r="BA63" s="694"/>
      <c r="BB63" s="694"/>
      <c r="BC63" s="694"/>
      <c r="BD63" s="694"/>
      <c r="BE63" s="694"/>
      <c r="BF63" s="694"/>
      <c r="BG63" s="694"/>
    </row>
    <row r="64" spans="1:59" x14ac:dyDescent="0.2">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507"/>
      <c r="AE64" s="701" t="s">
        <v>62</v>
      </c>
      <c r="AF64" s="701"/>
      <c r="AG64" s="694" t="s">
        <v>865</v>
      </c>
      <c r="AH64" s="694"/>
      <c r="AI64" s="694"/>
      <c r="AJ64" s="694"/>
      <c r="AK64" s="694"/>
      <c r="AL64" s="694"/>
      <c r="AM64" s="694"/>
      <c r="AN64" s="694"/>
      <c r="AO64" s="694"/>
      <c r="AP64" s="694"/>
      <c r="AQ64" s="694"/>
      <c r="AR64" s="694"/>
      <c r="AS64" s="694"/>
      <c r="AT64" s="694"/>
      <c r="AU64" s="694"/>
      <c r="AV64" s="694"/>
      <c r="AW64" s="694"/>
      <c r="AX64" s="694"/>
      <c r="AY64" s="694"/>
      <c r="AZ64" s="694"/>
      <c r="BA64" s="694"/>
      <c r="BB64" s="694"/>
      <c r="BC64" s="694"/>
      <c r="BD64" s="694"/>
      <c r="BE64" s="694"/>
      <c r="BF64" s="694"/>
      <c r="BG64" s="694"/>
    </row>
    <row r="65" spans="1:59" x14ac:dyDescent="0.2">
      <c r="A65" s="511" t="s">
        <v>57</v>
      </c>
      <c r="B65" s="704" t="s">
        <v>56</v>
      </c>
      <c r="C65" s="704"/>
      <c r="D65" s="704"/>
      <c r="E65" s="704"/>
      <c r="F65" s="704"/>
      <c r="G65" s="704"/>
      <c r="H65" s="704"/>
      <c r="I65" s="704"/>
      <c r="J65" s="704"/>
      <c r="K65" s="704"/>
      <c r="L65" s="704"/>
      <c r="M65" s="704"/>
      <c r="N65" s="704"/>
      <c r="O65" s="704"/>
      <c r="P65" s="704"/>
      <c r="Q65" s="704"/>
      <c r="R65" s="704"/>
      <c r="S65" s="704"/>
      <c r="T65" s="704"/>
      <c r="U65" s="704"/>
      <c r="V65" s="704"/>
      <c r="W65" s="704"/>
      <c r="X65" s="704"/>
      <c r="Y65" s="704"/>
      <c r="Z65" s="704"/>
      <c r="AA65" s="704"/>
      <c r="AB65" s="704"/>
      <c r="AC65" s="704"/>
      <c r="AD65" s="507"/>
      <c r="AF65" s="519"/>
      <c r="AG65" s="694"/>
      <c r="AH65" s="694"/>
      <c r="AI65" s="694"/>
      <c r="AJ65" s="694"/>
      <c r="AK65" s="694"/>
      <c r="AL65" s="694"/>
      <c r="AM65" s="694"/>
      <c r="AN65" s="694"/>
      <c r="AO65" s="694"/>
      <c r="AP65" s="694"/>
      <c r="AQ65" s="694"/>
      <c r="AR65" s="694"/>
      <c r="AS65" s="694"/>
      <c r="AT65" s="694"/>
      <c r="AU65" s="694"/>
      <c r="AV65" s="694"/>
      <c r="AW65" s="694"/>
      <c r="AX65" s="694"/>
      <c r="AY65" s="694"/>
      <c r="AZ65" s="694"/>
      <c r="BA65" s="694"/>
      <c r="BB65" s="694"/>
      <c r="BC65" s="694"/>
      <c r="BD65" s="694"/>
      <c r="BE65" s="694"/>
      <c r="BF65" s="694"/>
      <c r="BG65" s="694"/>
    </row>
    <row r="66" spans="1:59" x14ac:dyDescent="0.2">
      <c r="A66" s="710" t="s">
        <v>54</v>
      </c>
      <c r="B66" s="710"/>
      <c r="C66" s="702" t="s">
        <v>441</v>
      </c>
      <c r="D66" s="702"/>
      <c r="E66" s="702"/>
      <c r="F66" s="702"/>
      <c r="G66" s="702"/>
      <c r="H66" s="702"/>
      <c r="I66" s="702"/>
      <c r="J66" s="702"/>
      <c r="K66" s="702"/>
      <c r="L66" s="702"/>
      <c r="M66" s="702"/>
      <c r="N66" s="702"/>
      <c r="O66" s="702"/>
      <c r="P66" s="702"/>
      <c r="Q66" s="702"/>
      <c r="R66" s="702"/>
      <c r="S66" s="702"/>
      <c r="T66" s="702"/>
      <c r="U66" s="702"/>
      <c r="V66" s="702"/>
      <c r="W66" s="702"/>
      <c r="X66" s="702"/>
      <c r="Y66" s="702"/>
      <c r="Z66" s="702"/>
      <c r="AA66" s="702"/>
      <c r="AB66" s="702"/>
      <c r="AC66" s="702"/>
      <c r="AD66" s="507"/>
      <c r="AE66" s="518"/>
      <c r="AF66" s="516"/>
      <c r="AG66" s="694"/>
      <c r="AH66" s="694"/>
      <c r="AI66" s="694"/>
      <c r="AJ66" s="694"/>
      <c r="AK66" s="694"/>
      <c r="AL66" s="694"/>
      <c r="AM66" s="694"/>
      <c r="AN66" s="694"/>
      <c r="AO66" s="694"/>
      <c r="AP66" s="694"/>
      <c r="AQ66" s="694"/>
      <c r="AR66" s="694"/>
      <c r="AS66" s="694"/>
      <c r="AT66" s="694"/>
      <c r="AU66" s="694"/>
      <c r="AV66" s="694"/>
      <c r="AW66" s="694"/>
      <c r="AX66" s="694"/>
      <c r="AY66" s="694"/>
      <c r="AZ66" s="694"/>
      <c r="BA66" s="694"/>
      <c r="BB66" s="694"/>
      <c r="BC66" s="694"/>
      <c r="BD66" s="694"/>
      <c r="BE66" s="694"/>
      <c r="BF66" s="694"/>
      <c r="BG66" s="694"/>
    </row>
    <row r="67" spans="1:59" x14ac:dyDescent="0.2">
      <c r="A67" s="710" t="s">
        <v>53</v>
      </c>
      <c r="B67" s="710"/>
      <c r="C67" s="694" t="s">
        <v>858</v>
      </c>
      <c r="D67" s="694"/>
      <c r="E67" s="694"/>
      <c r="F67" s="694"/>
      <c r="G67" s="694"/>
      <c r="H67" s="694"/>
      <c r="I67" s="694"/>
      <c r="J67" s="694"/>
      <c r="K67" s="694"/>
      <c r="L67" s="694"/>
      <c r="M67" s="694"/>
      <c r="N67" s="694"/>
      <c r="O67" s="694"/>
      <c r="P67" s="694"/>
      <c r="Q67" s="694"/>
      <c r="R67" s="694"/>
      <c r="S67" s="694"/>
      <c r="T67" s="694"/>
      <c r="U67" s="694"/>
      <c r="V67" s="694"/>
      <c r="W67" s="694"/>
      <c r="X67" s="694"/>
      <c r="Y67" s="694"/>
      <c r="Z67" s="694"/>
      <c r="AA67" s="694"/>
      <c r="AB67" s="694"/>
      <c r="AC67" s="694"/>
      <c r="AD67" s="507"/>
      <c r="AE67" s="518"/>
      <c r="AF67" s="516"/>
      <c r="AG67" s="694"/>
      <c r="AH67" s="694"/>
      <c r="AI67" s="694"/>
      <c r="AJ67" s="694"/>
      <c r="AK67" s="694"/>
      <c r="AL67" s="694"/>
      <c r="AM67" s="694"/>
      <c r="AN67" s="694"/>
      <c r="AO67" s="694"/>
      <c r="AP67" s="694"/>
      <c r="AQ67" s="694"/>
      <c r="AR67" s="694"/>
      <c r="AS67" s="694"/>
      <c r="AT67" s="694"/>
      <c r="AU67" s="694"/>
      <c r="AV67" s="694"/>
      <c r="AW67" s="694"/>
      <c r="AX67" s="694"/>
      <c r="AY67" s="694"/>
      <c r="AZ67" s="694"/>
      <c r="BA67" s="694"/>
      <c r="BB67" s="694"/>
      <c r="BC67" s="694"/>
      <c r="BD67" s="694"/>
      <c r="BE67" s="694"/>
      <c r="BF67" s="694"/>
      <c r="BG67" s="694"/>
    </row>
    <row r="68" spans="1:59" x14ac:dyDescent="0.2">
      <c r="A68" s="511"/>
      <c r="B68" s="511"/>
      <c r="C68" s="694"/>
      <c r="D68" s="694"/>
      <c r="E68" s="694"/>
      <c r="F68" s="694"/>
      <c r="G68" s="694"/>
      <c r="H68" s="694"/>
      <c r="I68" s="694"/>
      <c r="J68" s="694"/>
      <c r="K68" s="694"/>
      <c r="L68" s="694"/>
      <c r="M68" s="694"/>
      <c r="N68" s="694"/>
      <c r="O68" s="694"/>
      <c r="P68" s="694"/>
      <c r="Q68" s="694"/>
      <c r="R68" s="694"/>
      <c r="S68" s="694"/>
      <c r="T68" s="694"/>
      <c r="U68" s="694"/>
      <c r="V68" s="694"/>
      <c r="W68" s="694"/>
      <c r="X68" s="694"/>
      <c r="Y68" s="694"/>
      <c r="Z68" s="694"/>
      <c r="AA68" s="694"/>
      <c r="AB68" s="694"/>
      <c r="AC68" s="694"/>
      <c r="AD68" s="507"/>
      <c r="AE68" s="518"/>
      <c r="AF68" s="516"/>
      <c r="AG68" s="694"/>
      <c r="AH68" s="694"/>
      <c r="AI68" s="694"/>
      <c r="AJ68" s="694"/>
      <c r="AK68" s="694"/>
      <c r="AL68" s="694"/>
      <c r="AM68" s="694"/>
      <c r="AN68" s="694"/>
      <c r="AO68" s="694"/>
      <c r="AP68" s="694"/>
      <c r="AQ68" s="694"/>
      <c r="AR68" s="694"/>
      <c r="AS68" s="694"/>
      <c r="AT68" s="694"/>
      <c r="AU68" s="694"/>
      <c r="AV68" s="694"/>
      <c r="AW68" s="694"/>
      <c r="AX68" s="694"/>
      <c r="AY68" s="694"/>
      <c r="AZ68" s="694"/>
      <c r="BA68" s="694"/>
      <c r="BB68" s="694"/>
      <c r="BC68" s="694"/>
      <c r="BD68" s="694"/>
      <c r="BE68" s="694"/>
      <c r="BF68" s="694"/>
      <c r="BG68" s="694"/>
    </row>
    <row r="69" spans="1:59" x14ac:dyDescent="0.2">
      <c r="C69" s="694"/>
      <c r="D69" s="694"/>
      <c r="E69" s="694"/>
      <c r="F69" s="694"/>
      <c r="G69" s="694"/>
      <c r="H69" s="694"/>
      <c r="I69" s="694"/>
      <c r="J69" s="694"/>
      <c r="K69" s="694"/>
      <c r="L69" s="694"/>
      <c r="M69" s="694"/>
      <c r="N69" s="694"/>
      <c r="O69" s="694"/>
      <c r="P69" s="694"/>
      <c r="Q69" s="694"/>
      <c r="R69" s="694"/>
      <c r="S69" s="694"/>
      <c r="T69" s="694"/>
      <c r="U69" s="694"/>
      <c r="V69" s="694"/>
      <c r="W69" s="694"/>
      <c r="X69" s="694"/>
      <c r="Y69" s="694"/>
      <c r="Z69" s="694"/>
      <c r="AA69" s="694"/>
      <c r="AB69" s="694"/>
      <c r="AC69" s="694"/>
      <c r="AD69" s="507"/>
      <c r="AE69" s="518"/>
      <c r="AF69" s="516"/>
      <c r="AG69" s="694"/>
      <c r="AH69" s="694"/>
      <c r="AI69" s="694"/>
      <c r="AJ69" s="694"/>
      <c r="AK69" s="694"/>
      <c r="AL69" s="694"/>
      <c r="AM69" s="694"/>
      <c r="AN69" s="694"/>
      <c r="AO69" s="694"/>
      <c r="AP69" s="694"/>
      <c r="AQ69" s="694"/>
      <c r="AR69" s="694"/>
      <c r="AS69" s="694"/>
      <c r="AT69" s="694"/>
      <c r="AU69" s="694"/>
      <c r="AV69" s="694"/>
      <c r="AW69" s="694"/>
      <c r="AX69" s="694"/>
      <c r="AY69" s="694"/>
      <c r="AZ69" s="694"/>
      <c r="BA69" s="694"/>
      <c r="BB69" s="694"/>
      <c r="BC69" s="694"/>
      <c r="BD69" s="694"/>
      <c r="BE69" s="694"/>
      <c r="BF69" s="694"/>
      <c r="BG69" s="694"/>
    </row>
    <row r="70" spans="1:59" x14ac:dyDescent="0.2">
      <c r="A70" s="710" t="s">
        <v>52</v>
      </c>
      <c r="B70" s="710"/>
      <c r="C70" s="694" t="s">
        <v>442</v>
      </c>
      <c r="D70" s="694"/>
      <c r="E70" s="694"/>
      <c r="F70" s="694"/>
      <c r="G70" s="694"/>
      <c r="H70" s="694"/>
      <c r="I70" s="694"/>
      <c r="J70" s="694"/>
      <c r="K70" s="694"/>
      <c r="L70" s="694"/>
      <c r="M70" s="694"/>
      <c r="N70" s="694"/>
      <c r="O70" s="694"/>
      <c r="P70" s="694"/>
      <c r="Q70" s="694"/>
      <c r="R70" s="694"/>
      <c r="S70" s="694"/>
      <c r="T70" s="694"/>
      <c r="U70" s="694"/>
      <c r="V70" s="694"/>
      <c r="W70" s="694"/>
      <c r="X70" s="694"/>
      <c r="Y70" s="694"/>
      <c r="Z70" s="694"/>
      <c r="AA70" s="694"/>
      <c r="AB70" s="694"/>
      <c r="AC70" s="694"/>
      <c r="AD70" s="507"/>
      <c r="AE70" s="701" t="s">
        <v>61</v>
      </c>
      <c r="AF70" s="701"/>
      <c r="AG70" s="694" t="str">
        <f>"«Borc alan» təminat verir ki, əvvəllər heç vaxt krediti qaytarmama və ya kreditdən təyinatı üzrə istifadə etməmə hallarına yol  verməmişdir. «Borc alan» həmçinin təminat verir ki, "&amp;"krediti almaq üçün etdiyi müraciətdə göstərdiyi bütün məlumatlar, onun əmlak vəziyyəti barədə verdiyi məlumatlar da daxil olmaqla,  həqiqətə uyğundur, həmçinin hal hazırda «Borc alan»a qarşı heç bir məhkəmə"</f>
        <v>«Borc alan» təminat verir ki, əvvəllər heç vaxt krediti qaytarmama və ya kreditdən təyinatı üzrə istifadə etməmə hallarına yol  verməmişdir. «Borc alan» həmçinin təminat verir ki, krediti almaq üçün etdiyi müraciətdə göstərdiyi bütün məlumatlar, onun əmlak vəziyyəti barədə verdiyi məlumatlar da daxil olmaqla,  həqiqətə uyğundur, həmçinin hal hazırda «Borc alan»a qarşı heç bir məhkəmə</v>
      </c>
      <c r="AH70" s="694"/>
      <c r="AI70" s="694"/>
      <c r="AJ70" s="694"/>
      <c r="AK70" s="694"/>
      <c r="AL70" s="694"/>
      <c r="AM70" s="694"/>
      <c r="AN70" s="694"/>
      <c r="AO70" s="694"/>
      <c r="AP70" s="694"/>
      <c r="AQ70" s="694"/>
      <c r="AR70" s="694"/>
      <c r="AS70" s="694"/>
      <c r="AT70" s="694"/>
      <c r="AU70" s="694"/>
      <c r="AV70" s="694"/>
      <c r="AW70" s="694"/>
      <c r="AX70" s="694"/>
      <c r="AY70" s="694"/>
      <c r="AZ70" s="694"/>
      <c r="BA70" s="694"/>
      <c r="BB70" s="694"/>
      <c r="BC70" s="694"/>
      <c r="BD70" s="694"/>
      <c r="BE70" s="694"/>
      <c r="BF70" s="694"/>
      <c r="BG70" s="694"/>
    </row>
    <row r="71" spans="1:59" x14ac:dyDescent="0.2">
      <c r="C71" s="694"/>
      <c r="D71" s="694"/>
      <c r="E71" s="694"/>
      <c r="F71" s="694"/>
      <c r="G71" s="694"/>
      <c r="H71" s="694"/>
      <c r="I71" s="694"/>
      <c r="J71" s="694"/>
      <c r="K71" s="694"/>
      <c r="L71" s="694"/>
      <c r="M71" s="694"/>
      <c r="N71" s="694"/>
      <c r="O71" s="694"/>
      <c r="P71" s="694"/>
      <c r="Q71" s="694"/>
      <c r="R71" s="694"/>
      <c r="S71" s="694"/>
      <c r="T71" s="694"/>
      <c r="U71" s="694"/>
      <c r="V71" s="694"/>
      <c r="W71" s="694"/>
      <c r="X71" s="694"/>
      <c r="Y71" s="694"/>
      <c r="Z71" s="694"/>
      <c r="AA71" s="694"/>
      <c r="AB71" s="694"/>
      <c r="AC71" s="694"/>
      <c r="AD71" s="507"/>
      <c r="AE71" s="517"/>
      <c r="AF71" s="517"/>
      <c r="AG71" s="694"/>
      <c r="AH71" s="694"/>
      <c r="AI71" s="694"/>
      <c r="AJ71" s="694"/>
      <c r="AK71" s="694"/>
      <c r="AL71" s="694"/>
      <c r="AM71" s="694"/>
      <c r="AN71" s="694"/>
      <c r="AO71" s="694"/>
      <c r="AP71" s="694"/>
      <c r="AQ71" s="694"/>
      <c r="AR71" s="694"/>
      <c r="AS71" s="694"/>
      <c r="AT71" s="694"/>
      <c r="AU71" s="694"/>
      <c r="AV71" s="694"/>
      <c r="AW71" s="694"/>
      <c r="AX71" s="694"/>
      <c r="AY71" s="694"/>
      <c r="AZ71" s="694"/>
      <c r="BA71" s="694"/>
      <c r="BB71" s="694"/>
      <c r="BC71" s="694"/>
      <c r="BD71" s="694"/>
      <c r="BE71" s="694"/>
      <c r="BF71" s="694"/>
      <c r="BG71" s="694"/>
    </row>
    <row r="72" spans="1:59" ht="11.25" customHeight="1" x14ac:dyDescent="0.2">
      <c r="A72" s="710" t="s">
        <v>51</v>
      </c>
      <c r="B72" s="710"/>
      <c r="C72" s="694" t="str">
        <f>"«Borc verən» «Borc alan»ın bu müqavilə üzrə öhdəliyini vaxtında və lazımi qaydada icra edilməməsi ilə nəticələnə bilən "&amp;"aşağıdakı hallarda bu müqaviləyə birtərəfli qaydada vaxtından əvvəl xitam verə və bu müqavilə üzrə müəyyən edilmiş bütün öhdəliklərin icra edilməsini «Borc alan»dan tələ"&amp;"b edə bilər:"</f>
        <v>«Borc verən» «Borc alan»ın bu müqavilə üzrə öhdəliyini vaxtında və lazımi qaydada icra edilməməsi ilə nəticələnə bilən aşağıdakı hallarda bu müqaviləyə birtərəfli qaydada vaxtından əvvəl xitam verə və bu müqavilə üzrə müəyyən edilmiş bütün öhdəliklərin icra edilməsini «Borc alan»dan tələb edə bilər:</v>
      </c>
      <c r="D72" s="694"/>
      <c r="E72" s="694"/>
      <c r="F72" s="694"/>
      <c r="G72" s="694"/>
      <c r="H72" s="694"/>
      <c r="I72" s="694"/>
      <c r="J72" s="694"/>
      <c r="K72" s="694"/>
      <c r="L72" s="694"/>
      <c r="M72" s="694"/>
      <c r="N72" s="694"/>
      <c r="O72" s="694"/>
      <c r="P72" s="694"/>
      <c r="Q72" s="694"/>
      <c r="R72" s="694"/>
      <c r="S72" s="694"/>
      <c r="T72" s="694"/>
      <c r="U72" s="694"/>
      <c r="V72" s="694"/>
      <c r="W72" s="694"/>
      <c r="X72" s="694"/>
      <c r="Y72" s="694"/>
      <c r="Z72" s="694"/>
      <c r="AA72" s="694"/>
      <c r="AB72" s="694"/>
      <c r="AC72" s="694"/>
      <c r="AD72" s="507"/>
      <c r="AE72" s="517"/>
      <c r="AF72" s="517"/>
      <c r="AG72" s="694"/>
      <c r="AH72" s="694"/>
      <c r="AI72" s="694"/>
      <c r="AJ72" s="694"/>
      <c r="AK72" s="694"/>
      <c r="AL72" s="694"/>
      <c r="AM72" s="694"/>
      <c r="AN72" s="694"/>
      <c r="AO72" s="694"/>
      <c r="AP72" s="694"/>
      <c r="AQ72" s="694"/>
      <c r="AR72" s="694"/>
      <c r="AS72" s="694"/>
      <c r="AT72" s="694"/>
      <c r="AU72" s="694"/>
      <c r="AV72" s="694"/>
      <c r="AW72" s="694"/>
      <c r="AX72" s="694"/>
      <c r="AY72" s="694"/>
      <c r="AZ72" s="694"/>
      <c r="BA72" s="694"/>
      <c r="BB72" s="694"/>
      <c r="BC72" s="694"/>
      <c r="BD72" s="694"/>
      <c r="BE72" s="694"/>
      <c r="BF72" s="694"/>
      <c r="BG72" s="694"/>
    </row>
    <row r="73" spans="1:59" x14ac:dyDescent="0.2">
      <c r="C73" s="694"/>
      <c r="D73" s="694"/>
      <c r="E73" s="694"/>
      <c r="F73" s="694"/>
      <c r="G73" s="694"/>
      <c r="H73" s="694"/>
      <c r="I73" s="694"/>
      <c r="J73" s="694"/>
      <c r="K73" s="694"/>
      <c r="L73" s="694"/>
      <c r="M73" s="694"/>
      <c r="N73" s="694"/>
      <c r="O73" s="694"/>
      <c r="P73" s="694"/>
      <c r="Q73" s="694"/>
      <c r="R73" s="694"/>
      <c r="S73" s="694"/>
      <c r="T73" s="694"/>
      <c r="U73" s="694"/>
      <c r="V73" s="694"/>
      <c r="W73" s="694"/>
      <c r="X73" s="694"/>
      <c r="Y73" s="694"/>
      <c r="Z73" s="694"/>
      <c r="AA73" s="694"/>
      <c r="AB73" s="694"/>
      <c r="AC73" s="694"/>
      <c r="AD73" s="507"/>
      <c r="AE73" s="517"/>
      <c r="AF73" s="517"/>
      <c r="AG73" s="694"/>
      <c r="AH73" s="694"/>
      <c r="AI73" s="694"/>
      <c r="AJ73" s="694"/>
      <c r="AK73" s="694"/>
      <c r="AL73" s="694"/>
      <c r="AM73" s="694"/>
      <c r="AN73" s="694"/>
      <c r="AO73" s="694"/>
      <c r="AP73" s="694"/>
      <c r="AQ73" s="694"/>
      <c r="AR73" s="694"/>
      <c r="AS73" s="694"/>
      <c r="AT73" s="694"/>
      <c r="AU73" s="694"/>
      <c r="AV73" s="694"/>
      <c r="AW73" s="694"/>
      <c r="AX73" s="694"/>
      <c r="AY73" s="694"/>
      <c r="AZ73" s="694"/>
      <c r="BA73" s="694"/>
      <c r="BB73" s="694"/>
      <c r="BC73" s="694"/>
      <c r="BD73" s="694"/>
      <c r="BE73" s="694"/>
      <c r="BF73" s="694"/>
      <c r="BG73" s="694"/>
    </row>
    <row r="74" spans="1:59" x14ac:dyDescent="0.2">
      <c r="C74" s="694"/>
      <c r="D74" s="694"/>
      <c r="E74" s="694"/>
      <c r="F74" s="694"/>
      <c r="G74" s="694"/>
      <c r="H74" s="694"/>
      <c r="I74" s="694"/>
      <c r="J74" s="694"/>
      <c r="K74" s="694"/>
      <c r="L74" s="694"/>
      <c r="M74" s="694"/>
      <c r="N74" s="694"/>
      <c r="O74" s="694"/>
      <c r="P74" s="694"/>
      <c r="Q74" s="694"/>
      <c r="R74" s="694"/>
      <c r="S74" s="694"/>
      <c r="T74" s="694"/>
      <c r="U74" s="694"/>
      <c r="V74" s="694"/>
      <c r="W74" s="694"/>
      <c r="X74" s="694"/>
      <c r="Y74" s="694"/>
      <c r="Z74" s="694"/>
      <c r="AA74" s="694"/>
      <c r="AB74" s="694"/>
      <c r="AC74" s="694"/>
      <c r="AD74" s="507"/>
      <c r="AE74" s="517"/>
      <c r="AF74" s="517"/>
      <c r="AG74" s="694"/>
      <c r="AH74" s="694"/>
      <c r="AI74" s="694"/>
      <c r="AJ74" s="694"/>
      <c r="AK74" s="694"/>
      <c r="AL74" s="694"/>
      <c r="AM74" s="694"/>
      <c r="AN74" s="694"/>
      <c r="AO74" s="694"/>
      <c r="AP74" s="694"/>
      <c r="AQ74" s="694"/>
      <c r="AR74" s="694"/>
      <c r="AS74" s="694"/>
      <c r="AT74" s="694"/>
      <c r="AU74" s="694"/>
      <c r="AV74" s="694"/>
      <c r="AW74" s="694"/>
      <c r="AX74" s="694"/>
      <c r="AY74" s="694"/>
      <c r="AZ74" s="694"/>
      <c r="BA74" s="694"/>
      <c r="BB74" s="694"/>
      <c r="BC74" s="694"/>
      <c r="BD74" s="694"/>
      <c r="BE74" s="694"/>
      <c r="BF74" s="694"/>
      <c r="BG74" s="694"/>
    </row>
    <row r="75" spans="1:59" x14ac:dyDescent="0.2">
      <c r="B75" s="95"/>
      <c r="C75" s="694"/>
      <c r="D75" s="694"/>
      <c r="E75" s="694"/>
      <c r="F75" s="694"/>
      <c r="G75" s="694"/>
      <c r="H75" s="694"/>
      <c r="I75" s="694"/>
      <c r="J75" s="694"/>
      <c r="K75" s="694"/>
      <c r="L75" s="694"/>
      <c r="M75" s="694"/>
      <c r="N75" s="694"/>
      <c r="O75" s="694"/>
      <c r="P75" s="694"/>
      <c r="Q75" s="694"/>
      <c r="R75" s="694"/>
      <c r="S75" s="694"/>
      <c r="T75" s="694"/>
      <c r="U75" s="694"/>
      <c r="V75" s="694"/>
      <c r="W75" s="694"/>
      <c r="X75" s="694"/>
      <c r="Y75" s="694"/>
      <c r="Z75" s="694"/>
      <c r="AA75" s="694"/>
      <c r="AB75" s="694"/>
      <c r="AC75" s="694"/>
      <c r="AD75" s="507"/>
      <c r="AE75" s="517"/>
      <c r="AF75" s="517"/>
      <c r="AG75" s="694"/>
      <c r="AH75" s="694"/>
      <c r="AI75" s="694"/>
      <c r="AJ75" s="694"/>
      <c r="AK75" s="694"/>
      <c r="AL75" s="694"/>
      <c r="AM75" s="694"/>
      <c r="AN75" s="694"/>
      <c r="AO75" s="694"/>
      <c r="AP75" s="694"/>
      <c r="AQ75" s="694"/>
      <c r="AR75" s="694"/>
      <c r="AS75" s="694"/>
      <c r="AT75" s="694"/>
      <c r="AU75" s="694"/>
      <c r="AV75" s="694"/>
      <c r="AW75" s="694"/>
      <c r="AX75" s="694"/>
      <c r="AY75" s="694"/>
      <c r="AZ75" s="694"/>
      <c r="BA75" s="694"/>
      <c r="BB75" s="694"/>
      <c r="BC75" s="694"/>
      <c r="BD75" s="694"/>
      <c r="BE75" s="694"/>
      <c r="BF75" s="694"/>
      <c r="BG75" s="694"/>
    </row>
    <row r="76" spans="1:59" x14ac:dyDescent="0.2">
      <c r="B76" s="95"/>
      <c r="C76" s="694"/>
      <c r="D76" s="694"/>
      <c r="E76" s="694"/>
      <c r="F76" s="694"/>
      <c r="G76" s="694"/>
      <c r="H76" s="694"/>
      <c r="I76" s="694"/>
      <c r="J76" s="694"/>
      <c r="K76" s="694"/>
      <c r="L76" s="694"/>
      <c r="M76" s="694"/>
      <c r="N76" s="694"/>
      <c r="O76" s="694"/>
      <c r="P76" s="694"/>
      <c r="Q76" s="694"/>
      <c r="R76" s="694"/>
      <c r="S76" s="694"/>
      <c r="T76" s="694"/>
      <c r="U76" s="694"/>
      <c r="V76" s="694"/>
      <c r="W76" s="694"/>
      <c r="X76" s="694"/>
      <c r="Y76" s="694"/>
      <c r="Z76" s="694"/>
      <c r="AA76" s="694"/>
      <c r="AB76" s="694"/>
      <c r="AC76" s="694"/>
      <c r="AD76" s="507"/>
      <c r="AF76" s="519"/>
      <c r="AG76" s="519"/>
    </row>
    <row r="77" spans="1:59" ht="12" customHeight="1" x14ac:dyDescent="0.2">
      <c r="A77" s="512"/>
      <c r="B77" s="95"/>
      <c r="AD77" s="507"/>
      <c r="AF77" s="519"/>
      <c r="AG77" s="519"/>
    </row>
    <row r="78" spans="1:59" x14ac:dyDescent="0.2">
      <c r="B78" s="95"/>
      <c r="AD78" s="507"/>
      <c r="AF78" s="519"/>
      <c r="AG78" s="519"/>
    </row>
    <row r="79" spans="1:59" x14ac:dyDescent="0.2">
      <c r="A79" s="725" t="s">
        <v>860</v>
      </c>
      <c r="B79" s="725"/>
      <c r="C79" s="725"/>
      <c r="D79" s="725"/>
      <c r="E79" s="725"/>
      <c r="F79" s="725"/>
      <c r="G79" s="725"/>
      <c r="H79" s="725"/>
      <c r="I79" s="725"/>
      <c r="J79" s="725"/>
      <c r="K79" s="725"/>
      <c r="L79" s="725"/>
      <c r="M79" s="725"/>
      <c r="N79" s="725"/>
      <c r="O79" s="725"/>
      <c r="P79" s="725"/>
      <c r="Q79" s="725"/>
      <c r="R79" s="725"/>
      <c r="S79" s="725"/>
      <c r="T79" s="725"/>
      <c r="U79" s="725"/>
      <c r="V79" s="725"/>
      <c r="W79" s="725"/>
      <c r="X79" s="725"/>
      <c r="Y79" s="725"/>
      <c r="Z79" s="725"/>
      <c r="AA79" s="725"/>
      <c r="AB79" s="725"/>
      <c r="AC79" s="725"/>
      <c r="AD79" s="506"/>
      <c r="AE79" s="725" t="s">
        <v>443</v>
      </c>
      <c r="AF79" s="725"/>
      <c r="AG79" s="725"/>
      <c r="AH79" s="725"/>
      <c r="AI79" s="725"/>
      <c r="AJ79" s="725"/>
      <c r="AK79" s="725"/>
      <c r="AL79" s="725"/>
      <c r="AM79" s="725"/>
      <c r="AN79" s="725"/>
      <c r="AO79" s="725"/>
      <c r="AP79" s="725"/>
      <c r="AQ79" s="725"/>
      <c r="AR79" s="725"/>
      <c r="AS79" s="725"/>
      <c r="AT79" s="725"/>
      <c r="AU79" s="725"/>
      <c r="AV79" s="725"/>
      <c r="AW79" s="725"/>
      <c r="AX79" s="725"/>
      <c r="AY79" s="725"/>
      <c r="AZ79" s="725"/>
      <c r="BA79" s="725"/>
      <c r="BB79" s="725"/>
      <c r="BC79" s="725"/>
      <c r="BD79" s="725"/>
      <c r="BE79" s="725"/>
      <c r="BF79" s="725"/>
      <c r="BG79" s="725"/>
    </row>
    <row r="80" spans="1:59" x14ac:dyDescent="0.2">
      <c r="A80" s="520"/>
      <c r="B80" s="520"/>
      <c r="C80" s="694" t="str">
        <f>"və ya digər iddia, habelə «Borca"&amp;"lan»ın əmlak vəziyyətini pisləşdirə  biləcək üçüncü şəxslərlə hər hansı mübahisəsi yoxdur;"</f>
        <v>və ya digər iddia, habelə «Borcalan»ın əmlak vəziyyətini pisləşdirə  biləcək üçüncü şəxslərlə hər hansı mübahisəsi yoxdur;</v>
      </c>
      <c r="D80" s="694"/>
      <c r="E80" s="694"/>
      <c r="F80" s="694"/>
      <c r="G80" s="694"/>
      <c r="H80" s="694"/>
      <c r="I80" s="694"/>
      <c r="J80" s="694"/>
      <c r="K80" s="694"/>
      <c r="L80" s="694"/>
      <c r="M80" s="694"/>
      <c r="N80" s="694"/>
      <c r="O80" s="694"/>
      <c r="P80" s="694"/>
      <c r="Q80" s="694"/>
      <c r="R80" s="694"/>
      <c r="S80" s="694"/>
      <c r="T80" s="694"/>
      <c r="U80" s="694"/>
      <c r="V80" s="694"/>
      <c r="W80" s="694"/>
      <c r="X80" s="694"/>
      <c r="Y80" s="694"/>
      <c r="Z80" s="694"/>
      <c r="AA80" s="694"/>
      <c r="AB80" s="694"/>
      <c r="AC80" s="694"/>
      <c r="AD80" s="506"/>
      <c r="AE80" s="695" t="s">
        <v>646</v>
      </c>
      <c r="AF80" s="695"/>
      <c r="AG80" s="695"/>
      <c r="AH80" s="695"/>
      <c r="AI80" s="695"/>
      <c r="AJ80" s="695"/>
      <c r="AK80" s="695"/>
      <c r="AL80" s="695"/>
      <c r="AM80" s="695"/>
      <c r="AN80" s="695"/>
      <c r="AO80" s="695"/>
      <c r="AP80" s="695"/>
      <c r="AQ80" s="695"/>
      <c r="AR80" s="695"/>
      <c r="AS80" s="695"/>
      <c r="AT80" s="695"/>
      <c r="AU80" s="695"/>
      <c r="AV80" s="695"/>
      <c r="AW80" s="695"/>
      <c r="AX80" s="695"/>
      <c r="AY80" s="695"/>
      <c r="AZ80" s="695"/>
      <c r="BA80" s="695"/>
      <c r="BB80" s="695"/>
      <c r="BC80" s="695"/>
      <c r="BD80" s="695"/>
      <c r="BE80" s="695"/>
      <c r="BF80" s="695"/>
      <c r="BG80" s="505"/>
    </row>
    <row r="81" spans="1:59" x14ac:dyDescent="0.2">
      <c r="A81" s="520"/>
      <c r="B81" s="520"/>
      <c r="C81" s="694"/>
      <c r="D81" s="694"/>
      <c r="E81" s="694"/>
      <c r="F81" s="694"/>
      <c r="G81" s="694"/>
      <c r="H81" s="694"/>
      <c r="I81" s="694"/>
      <c r="J81" s="694"/>
      <c r="K81" s="694"/>
      <c r="L81" s="694"/>
      <c r="M81" s="694"/>
      <c r="N81" s="694"/>
      <c r="O81" s="694"/>
      <c r="P81" s="694"/>
      <c r="Q81" s="694"/>
      <c r="R81" s="694"/>
      <c r="S81" s="694"/>
      <c r="T81" s="694"/>
      <c r="U81" s="694"/>
      <c r="V81" s="694"/>
      <c r="W81" s="694"/>
      <c r="X81" s="694"/>
      <c r="Y81" s="694"/>
      <c r="Z81" s="694"/>
      <c r="AA81" s="694"/>
      <c r="AB81" s="694"/>
      <c r="AC81" s="694"/>
      <c r="AD81" s="506"/>
      <c r="AE81" s="507"/>
      <c r="AF81" s="507"/>
      <c r="AG81" s="507"/>
      <c r="AH81" s="507"/>
      <c r="AI81" s="507"/>
      <c r="AJ81" s="507"/>
      <c r="AK81" s="507"/>
      <c r="AL81" s="507"/>
      <c r="AM81" s="507"/>
      <c r="AN81" s="507"/>
      <c r="AO81" s="507"/>
      <c r="AP81" s="507"/>
      <c r="AQ81" s="507"/>
      <c r="AR81" s="507"/>
      <c r="AS81" s="507"/>
      <c r="AT81" s="507"/>
      <c r="AU81" s="507"/>
      <c r="AV81" s="507"/>
      <c r="AW81" s="507"/>
      <c r="AX81" s="507"/>
      <c r="AY81" s="507"/>
      <c r="AZ81" s="507"/>
      <c r="BA81" s="507"/>
      <c r="BB81" s="507"/>
      <c r="BC81" s="507"/>
      <c r="BD81" s="507"/>
      <c r="BE81" s="507"/>
      <c r="BF81" s="507"/>
      <c r="BG81" s="505"/>
    </row>
    <row r="82" spans="1:59" ht="11.25" customHeight="1" x14ac:dyDescent="0.2">
      <c r="A82" s="712" t="s">
        <v>58</v>
      </c>
      <c r="B82" s="712"/>
      <c r="C82" s="694" t="str">
        <f>"«Borc alan» təminat verir ki, əldə etdiyi kredit və onun bəhəri qanunsuz məqsədlər üçün istifadə edilməyəcək, öz fəaliyyətində ekologiya, ətraf mühitin mühafizəsi və əməyin mühafizəsi qaydalarına riayət edəcək, çirkli pulların yuyulması, cinayətkarlıq"&amp;" və terrorçuluğun maliyyələşdirilməsi hallarına yol verməyəcəkdir;"</f>
        <v>«Borc alan» təminat verir ki, əldə etdiyi kredit və onun bəhəri qanunsuz məqsədlər üçün istifadə edilməyəcək, öz fəaliyyətində ekologiya, ətraf mühitin mühafizəsi və əməyin mühafizəsi qaydalarına riayət edəcək, çirkli pulların yuyulması, cinayətkarlıq və terrorçuluğun maliyyələşdirilməsi hallarına yol verməyəcəkdir;</v>
      </c>
      <c r="D82" s="694"/>
      <c r="E82" s="694"/>
      <c r="F82" s="694"/>
      <c r="G82" s="694"/>
      <c r="H82" s="694"/>
      <c r="I82" s="694"/>
      <c r="J82" s="694"/>
      <c r="K82" s="694"/>
      <c r="L82" s="694"/>
      <c r="M82" s="694"/>
      <c r="N82" s="694"/>
      <c r="O82" s="694"/>
      <c r="P82" s="694"/>
      <c r="Q82" s="694"/>
      <c r="R82" s="694"/>
      <c r="S82" s="694"/>
      <c r="T82" s="694"/>
      <c r="U82" s="694"/>
      <c r="V82" s="694"/>
      <c r="W82" s="694"/>
      <c r="X82" s="694"/>
      <c r="Y82" s="694"/>
      <c r="Z82" s="694"/>
      <c r="AA82" s="694"/>
      <c r="AB82" s="694"/>
      <c r="AC82" s="694"/>
      <c r="AD82" s="506"/>
      <c r="AE82" s="509" t="s">
        <v>647</v>
      </c>
      <c r="AF82" s="694" t="str">
        <f>"Bu müqavilə rəsmiləşdirilən zaman tərəflərin bir-birinə təqdim etdiyi məlumatlar «Kommersiya sirri haqqında» Azərbaycan Respublikasının Qanunu ilə müəyyən edilmiş kommersiya sirrini təşkil edən məlumatlar kateqoriyasına aid edilir  və mövcud "&amp;"qanunvericiliklə müəyyən edilmiş qaydada açıqlanması halları istisna olmaqla üçüncü şəxslərə  ötürülməsi qadağandır."</f>
        <v>Bu müqavilə rəsmiləşdirilən zaman tərəflərin bir-birinə təqdim etdiyi məlumatlar «Kommersiya sirri haqqında» Azərbaycan Respublikasının Qanunu ilə müəyyən edilmiş kommersiya sirrini təşkil edən məlumatlar kateqoriyasına aid edilir  və mövcud qanunvericiliklə müəyyən edilmiş qaydada açıqlanması halları istisna olmaqla üçüncü şəxslərə  ötürülməsi qadağandır.</v>
      </c>
      <c r="AG82" s="694"/>
      <c r="AH82" s="694"/>
      <c r="AI82" s="694"/>
      <c r="AJ82" s="694"/>
      <c r="AK82" s="694"/>
      <c r="AL82" s="694"/>
      <c r="AM82" s="694"/>
      <c r="AN82" s="694"/>
      <c r="AO82" s="694"/>
      <c r="AP82" s="694"/>
      <c r="AQ82" s="694"/>
      <c r="AR82" s="694"/>
      <c r="AS82" s="694"/>
      <c r="AT82" s="694"/>
      <c r="AU82" s="694"/>
      <c r="AV82" s="694"/>
      <c r="AW82" s="694"/>
      <c r="AX82" s="694"/>
      <c r="AY82" s="694"/>
      <c r="AZ82" s="694"/>
      <c r="BA82" s="694"/>
      <c r="BB82" s="694"/>
      <c r="BC82" s="694"/>
      <c r="BD82" s="694"/>
      <c r="BE82" s="694"/>
      <c r="BF82" s="694"/>
      <c r="BG82" s="694"/>
    </row>
    <row r="83" spans="1:59" x14ac:dyDescent="0.2">
      <c r="A83" s="509"/>
      <c r="B83" s="509"/>
      <c r="C83" s="694"/>
      <c r="D83" s="694"/>
      <c r="E83" s="694"/>
      <c r="F83" s="694"/>
      <c r="G83" s="694"/>
      <c r="H83" s="694"/>
      <c r="I83" s="694"/>
      <c r="J83" s="694"/>
      <c r="K83" s="694"/>
      <c r="L83" s="694"/>
      <c r="M83" s="694"/>
      <c r="N83" s="694"/>
      <c r="O83" s="694"/>
      <c r="P83" s="694"/>
      <c r="Q83" s="694"/>
      <c r="R83" s="694"/>
      <c r="S83" s="694"/>
      <c r="T83" s="694"/>
      <c r="U83" s="694"/>
      <c r="V83" s="694"/>
      <c r="W83" s="694"/>
      <c r="X83" s="694"/>
      <c r="Y83" s="694"/>
      <c r="Z83" s="694"/>
      <c r="AA83" s="694"/>
      <c r="AB83" s="694"/>
      <c r="AC83" s="694"/>
      <c r="AD83" s="506"/>
      <c r="AF83" s="694"/>
      <c r="AG83" s="694"/>
      <c r="AH83" s="694"/>
      <c r="AI83" s="694"/>
      <c r="AJ83" s="694"/>
      <c r="AK83" s="694"/>
      <c r="AL83" s="694"/>
      <c r="AM83" s="694"/>
      <c r="AN83" s="694"/>
      <c r="AO83" s="694"/>
      <c r="AP83" s="694"/>
      <c r="AQ83" s="694"/>
      <c r="AR83" s="694"/>
      <c r="AS83" s="694"/>
      <c r="AT83" s="694"/>
      <c r="AU83" s="694"/>
      <c r="AV83" s="694"/>
      <c r="AW83" s="694"/>
      <c r="AX83" s="694"/>
      <c r="AY83" s="694"/>
      <c r="AZ83" s="694"/>
      <c r="BA83" s="694"/>
      <c r="BB83" s="694"/>
      <c r="BC83" s="694"/>
      <c r="BD83" s="694"/>
      <c r="BE83" s="694"/>
      <c r="BF83" s="694"/>
      <c r="BG83" s="694"/>
    </row>
    <row r="84" spans="1:59" x14ac:dyDescent="0.2">
      <c r="C84" s="694"/>
      <c r="D84" s="694"/>
      <c r="E84" s="694"/>
      <c r="F84" s="694"/>
      <c r="G84" s="694"/>
      <c r="H84" s="694"/>
      <c r="I84" s="694"/>
      <c r="J84" s="694"/>
      <c r="K84" s="694"/>
      <c r="L84" s="694"/>
      <c r="M84" s="694"/>
      <c r="N84" s="694"/>
      <c r="O84" s="694"/>
      <c r="P84" s="694"/>
      <c r="Q84" s="694"/>
      <c r="R84" s="694"/>
      <c r="S84" s="694"/>
      <c r="T84" s="694"/>
      <c r="U84" s="694"/>
      <c r="V84" s="694"/>
      <c r="W84" s="694"/>
      <c r="X84" s="694"/>
      <c r="Y84" s="694"/>
      <c r="Z84" s="694"/>
      <c r="AA84" s="694"/>
      <c r="AB84" s="694"/>
      <c r="AC84" s="694"/>
      <c r="AF84" s="694"/>
      <c r="AG84" s="694"/>
      <c r="AH84" s="694"/>
      <c r="AI84" s="694"/>
      <c r="AJ84" s="694"/>
      <c r="AK84" s="694"/>
      <c r="AL84" s="694"/>
      <c r="AM84" s="694"/>
      <c r="AN84" s="694"/>
      <c r="AO84" s="694"/>
      <c r="AP84" s="694"/>
      <c r="AQ84" s="694"/>
      <c r="AR84" s="694"/>
      <c r="AS84" s="694"/>
      <c r="AT84" s="694"/>
      <c r="AU84" s="694"/>
      <c r="AV84" s="694"/>
      <c r="AW84" s="694"/>
      <c r="AX84" s="694"/>
      <c r="AY84" s="694"/>
      <c r="AZ84" s="694"/>
      <c r="BA84" s="694"/>
      <c r="BB84" s="694"/>
      <c r="BC84" s="694"/>
      <c r="BD84" s="694"/>
      <c r="BE84" s="694"/>
      <c r="BF84" s="694"/>
      <c r="BG84" s="694"/>
    </row>
    <row r="85" spans="1:59" x14ac:dyDescent="0.2">
      <c r="C85" s="694"/>
      <c r="D85" s="694"/>
      <c r="E85" s="694"/>
      <c r="F85" s="694"/>
      <c r="G85" s="694"/>
      <c r="H85" s="694"/>
      <c r="I85" s="694"/>
      <c r="J85" s="694"/>
      <c r="K85" s="694"/>
      <c r="L85" s="694"/>
      <c r="M85" s="694"/>
      <c r="N85" s="694"/>
      <c r="O85" s="694"/>
      <c r="P85" s="694"/>
      <c r="Q85" s="694"/>
      <c r="R85" s="694"/>
      <c r="S85" s="694"/>
      <c r="T85" s="694"/>
      <c r="U85" s="694"/>
      <c r="V85" s="694"/>
      <c r="W85" s="694"/>
      <c r="X85" s="694"/>
      <c r="Y85" s="694"/>
      <c r="Z85" s="694"/>
      <c r="AA85" s="694"/>
      <c r="AB85" s="694"/>
      <c r="AC85" s="694"/>
      <c r="AF85" s="694"/>
      <c r="AG85" s="694"/>
      <c r="AH85" s="694"/>
      <c r="AI85" s="694"/>
      <c r="AJ85" s="694"/>
      <c r="AK85" s="694"/>
      <c r="AL85" s="694"/>
      <c r="AM85" s="694"/>
      <c r="AN85" s="694"/>
      <c r="AO85" s="694"/>
      <c r="AP85" s="694"/>
      <c r="AQ85" s="694"/>
      <c r="AR85" s="694"/>
      <c r="AS85" s="694"/>
      <c r="AT85" s="694"/>
      <c r="AU85" s="694"/>
      <c r="AV85" s="694"/>
      <c r="AW85" s="694"/>
      <c r="AX85" s="694"/>
      <c r="AY85" s="694"/>
      <c r="AZ85" s="694"/>
      <c r="BA85" s="694"/>
      <c r="BB85" s="694"/>
      <c r="BC85" s="694"/>
      <c r="BD85" s="694"/>
      <c r="BE85" s="694"/>
      <c r="BF85" s="694"/>
      <c r="BG85" s="694"/>
    </row>
    <row r="86" spans="1:59" x14ac:dyDescent="0.2">
      <c r="C86" s="694"/>
      <c r="D86" s="694"/>
      <c r="E86" s="694"/>
      <c r="F86" s="694"/>
      <c r="G86" s="694"/>
      <c r="H86" s="694"/>
      <c r="I86" s="694"/>
      <c r="J86" s="694"/>
      <c r="K86" s="694"/>
      <c r="L86" s="694"/>
      <c r="M86" s="694"/>
      <c r="N86" s="694"/>
      <c r="O86" s="694"/>
      <c r="P86" s="694"/>
      <c r="Q86" s="694"/>
      <c r="R86" s="694"/>
      <c r="S86" s="694"/>
      <c r="T86" s="694"/>
      <c r="U86" s="694"/>
      <c r="V86" s="694"/>
      <c r="W86" s="694"/>
      <c r="X86" s="694"/>
      <c r="Y86" s="694"/>
      <c r="Z86" s="694"/>
      <c r="AA86" s="694"/>
      <c r="AB86" s="694"/>
      <c r="AC86" s="694"/>
      <c r="AF86" s="694"/>
      <c r="AG86" s="694"/>
      <c r="AH86" s="694"/>
      <c r="AI86" s="694"/>
      <c r="AJ86" s="694"/>
      <c r="AK86" s="694"/>
      <c r="AL86" s="694"/>
      <c r="AM86" s="694"/>
      <c r="AN86" s="694"/>
      <c r="AO86" s="694"/>
      <c r="AP86" s="694"/>
      <c r="AQ86" s="694"/>
      <c r="AR86" s="694"/>
      <c r="AS86" s="694"/>
      <c r="AT86" s="694"/>
      <c r="AU86" s="694"/>
      <c r="AV86" s="694"/>
      <c r="AW86" s="694"/>
      <c r="AX86" s="694"/>
      <c r="AY86" s="694"/>
      <c r="AZ86" s="694"/>
      <c r="BA86" s="694"/>
      <c r="BB86" s="694"/>
      <c r="BC86" s="694"/>
      <c r="BD86" s="694"/>
      <c r="BE86" s="694"/>
      <c r="BF86" s="694"/>
      <c r="BG86" s="694"/>
    </row>
    <row r="87" spans="1:59" x14ac:dyDescent="0.2">
      <c r="A87" s="712" t="s">
        <v>55</v>
      </c>
      <c r="B87" s="712"/>
      <c r="C87" s="694" t="str">
        <f>"Bu müqavilə üzrə öhdəliklərini pozduqda və ya vaxtında icra etmədikdə "</f>
        <v xml:space="preserve">Bu müqavilə üzrə öhdəliklərini pozduqda və ya vaxtında icra etmədikdə </v>
      </c>
      <c r="D87" s="694"/>
      <c r="E87" s="694"/>
      <c r="F87" s="694"/>
      <c r="G87" s="694"/>
      <c r="H87" s="694"/>
      <c r="I87" s="694"/>
      <c r="J87" s="694"/>
      <c r="K87" s="694"/>
      <c r="L87" s="694"/>
      <c r="M87" s="694"/>
      <c r="N87" s="694"/>
      <c r="O87" s="694"/>
      <c r="P87" s="694"/>
      <c r="Q87" s="694"/>
      <c r="R87" s="694"/>
      <c r="S87" s="694"/>
      <c r="T87" s="694"/>
      <c r="U87" s="694"/>
      <c r="V87" s="694"/>
      <c r="W87" s="694"/>
      <c r="X87" s="694"/>
      <c r="Y87" s="694"/>
      <c r="Z87" s="694"/>
      <c r="AA87" s="694"/>
      <c r="AB87" s="694"/>
      <c r="AC87" s="694"/>
      <c r="AF87" s="694"/>
      <c r="AG87" s="694"/>
      <c r="AH87" s="694"/>
      <c r="AI87" s="694"/>
      <c r="AJ87" s="694"/>
      <c r="AK87" s="694"/>
      <c r="AL87" s="694"/>
      <c r="AM87" s="694"/>
      <c r="AN87" s="694"/>
      <c r="AO87" s="694"/>
      <c r="AP87" s="694"/>
      <c r="AQ87" s="694"/>
      <c r="AR87" s="694"/>
      <c r="AS87" s="694"/>
      <c r="AT87" s="694"/>
      <c r="AU87" s="694"/>
      <c r="AV87" s="694"/>
      <c r="AW87" s="694"/>
      <c r="AX87" s="694"/>
      <c r="AY87" s="694"/>
      <c r="AZ87" s="694"/>
      <c r="BA87" s="694"/>
      <c r="BB87" s="694"/>
      <c r="BC87" s="694"/>
      <c r="BD87" s="694"/>
      <c r="BE87" s="694"/>
      <c r="BF87" s="694"/>
      <c r="BG87" s="694"/>
    </row>
    <row r="88" spans="1:59" ht="11.25" customHeight="1" x14ac:dyDescent="0.2">
      <c r="C88" s="694" t="str">
        <f>"«Borc  verən» bu öhdəliklərinin icrasını təmin etmək üçün üçüncü şəxslərin xidmətindən"&amp;" istifadə etdikdə onun haqqında olan bütün məlumatların və sənədlərin «Borc verən»  tərəfindən"&amp;" üçüncü şəxslərə təqdim olunmasına əvvəlcədən razılıq verir və "&amp;"bu razılığını birtərəfli qaydada geri gö"&amp;"türə bilməz. Bu razılıq «Borc verən» tərəfindən tələb hüququ üçüncü şəxslərə güzəşt olunduqda da qüvvədədir."</f>
        <v>«Borc  verən» bu öhdəliklərinin icrasını təmin etmək üçün üçüncü şəxslərin xidmətindən istifadə etdikdə onun haqqında olan bütün məlumatların və sənədlərin «Borc verən»  tərəfindən üçüncü şəxslərə təqdim olunmasına əvvəlcədən razılıq verir və bu razılığını birtərəfli qaydada geri götürə bilməz. Bu razılıq «Borc verən» tərəfindən tələb hüququ üçüncü şəxslərə güzəşt olunduqda da qüvvədədir.</v>
      </c>
      <c r="D88" s="694"/>
      <c r="E88" s="694"/>
      <c r="F88" s="694"/>
      <c r="G88" s="694"/>
      <c r="H88" s="694"/>
      <c r="I88" s="694"/>
      <c r="J88" s="694"/>
      <c r="K88" s="694"/>
      <c r="L88" s="694"/>
      <c r="M88" s="694"/>
      <c r="N88" s="694"/>
      <c r="O88" s="694"/>
      <c r="P88" s="694"/>
      <c r="Q88" s="694"/>
      <c r="R88" s="694"/>
      <c r="S88" s="694"/>
      <c r="T88" s="694"/>
      <c r="U88" s="694"/>
      <c r="V88" s="694"/>
      <c r="W88" s="694"/>
      <c r="X88" s="694"/>
      <c r="Y88" s="694"/>
      <c r="Z88" s="694"/>
      <c r="AA88" s="694"/>
      <c r="AB88" s="694"/>
      <c r="AC88" s="694"/>
      <c r="AE88" s="509" t="s">
        <v>37</v>
      </c>
      <c r="AF88" s="694" t="str">
        <f>"«Borc alan» tərəfindən təqdim edilən məlumatlar «Borc verən» tərəfindən istənilən vaxt və qeyd-şərtsiz olaraq  «Borc verən»in rəsmi şəxslərinə və  təmsilçilərinə, həmçinin müqavilənin hazırlanması, icrası və qüvvədə olduğu müddət ərzində "&amp;"«Borc verən» tərəfindən cəlb edilən müstəqil məsləhətçilərə, ekspertlərə, müşavirlərə, kənar auditorlara  və siğorta təşkilatının əməkdaşlarına, o cümlədən Mərkəzləşdirilmiş Kredit Reyestrinə "&amp;"verilə bilər və bu məxfiliyin pozulması kimi qiymətləndirilə bilməz."</f>
        <v>«Borc alan» tərəfindən təqdim edilən məlumatlar «Borc verən» tərəfindən istənilən vaxt və qeyd-şərtsiz olaraq  «Borc verən»in rəsmi şəxslərinə və  təmsilçilərinə, həmçinin müqavilənin hazırlanması, icrası və qüvvədə olduğu müddət ərzində «Borc verən» tərəfindən cəlb edilən müstəqil məsləhətçilərə, ekspertlərə, müşavirlərə, kənar auditorlara  və siğorta təşkilatının əməkdaşlarına, o cümlədən Mərkəzləşdirilmiş Kredit Reyestrinə verilə bilər və bu məxfiliyin pozulması kimi qiymətləndirilə bilməz.</v>
      </c>
      <c r="AG88" s="694"/>
      <c r="AH88" s="694"/>
      <c r="AI88" s="694"/>
      <c r="AJ88" s="694"/>
      <c r="AK88" s="694"/>
      <c r="AL88" s="694"/>
      <c r="AM88" s="694"/>
      <c r="AN88" s="694"/>
      <c r="AO88" s="694"/>
      <c r="AP88" s="694"/>
      <c r="AQ88" s="694"/>
      <c r="AR88" s="694"/>
      <c r="AS88" s="694"/>
      <c r="AT88" s="694"/>
      <c r="AU88" s="694"/>
      <c r="AV88" s="694"/>
      <c r="AW88" s="694"/>
      <c r="AX88" s="694"/>
      <c r="AY88" s="694"/>
      <c r="AZ88" s="694"/>
      <c r="BA88" s="694"/>
      <c r="BB88" s="694"/>
      <c r="BC88" s="694"/>
      <c r="BD88" s="694"/>
      <c r="BE88" s="694"/>
      <c r="BF88" s="694"/>
      <c r="BG88" s="694"/>
    </row>
    <row r="89" spans="1:59" x14ac:dyDescent="0.2">
      <c r="C89" s="694"/>
      <c r="D89" s="694"/>
      <c r="E89" s="694"/>
      <c r="F89" s="694"/>
      <c r="G89" s="694"/>
      <c r="H89" s="694"/>
      <c r="I89" s="694"/>
      <c r="J89" s="694"/>
      <c r="K89" s="694"/>
      <c r="L89" s="694"/>
      <c r="M89" s="694"/>
      <c r="N89" s="694"/>
      <c r="O89" s="694"/>
      <c r="P89" s="694"/>
      <c r="Q89" s="694"/>
      <c r="R89" s="694"/>
      <c r="S89" s="694"/>
      <c r="T89" s="694"/>
      <c r="U89" s="694"/>
      <c r="V89" s="694"/>
      <c r="W89" s="694"/>
      <c r="X89" s="694"/>
      <c r="Y89" s="694"/>
      <c r="Z89" s="694"/>
      <c r="AA89" s="694"/>
      <c r="AB89" s="694"/>
      <c r="AC89" s="694"/>
      <c r="AF89" s="694"/>
      <c r="AG89" s="694"/>
      <c r="AH89" s="694"/>
      <c r="AI89" s="694"/>
      <c r="AJ89" s="694"/>
      <c r="AK89" s="694"/>
      <c r="AL89" s="694"/>
      <c r="AM89" s="694"/>
      <c r="AN89" s="694"/>
      <c r="AO89" s="694"/>
      <c r="AP89" s="694"/>
      <c r="AQ89" s="694"/>
      <c r="AR89" s="694"/>
      <c r="AS89" s="694"/>
      <c r="AT89" s="694"/>
      <c r="AU89" s="694"/>
      <c r="AV89" s="694"/>
      <c r="AW89" s="694"/>
      <c r="AX89" s="694"/>
      <c r="AY89" s="694"/>
      <c r="AZ89" s="694"/>
      <c r="BA89" s="694"/>
      <c r="BB89" s="694"/>
      <c r="BC89" s="694"/>
      <c r="BD89" s="694"/>
      <c r="BE89" s="694"/>
      <c r="BF89" s="694"/>
      <c r="BG89" s="694"/>
    </row>
    <row r="90" spans="1:59" x14ac:dyDescent="0.2">
      <c r="C90" s="694"/>
      <c r="D90" s="694"/>
      <c r="E90" s="694"/>
      <c r="F90" s="694"/>
      <c r="G90" s="694"/>
      <c r="H90" s="694"/>
      <c r="I90" s="694"/>
      <c r="J90" s="694"/>
      <c r="K90" s="694"/>
      <c r="L90" s="694"/>
      <c r="M90" s="694"/>
      <c r="N90" s="694"/>
      <c r="O90" s="694"/>
      <c r="P90" s="694"/>
      <c r="Q90" s="694"/>
      <c r="R90" s="694"/>
      <c r="S90" s="694"/>
      <c r="T90" s="694"/>
      <c r="U90" s="694"/>
      <c r="V90" s="694"/>
      <c r="W90" s="694"/>
      <c r="X90" s="694"/>
      <c r="Y90" s="694"/>
      <c r="Z90" s="694"/>
      <c r="AA90" s="694"/>
      <c r="AB90" s="694"/>
      <c r="AC90" s="694"/>
      <c r="AF90" s="694"/>
      <c r="AG90" s="694"/>
      <c r="AH90" s="694"/>
      <c r="AI90" s="694"/>
      <c r="AJ90" s="694"/>
      <c r="AK90" s="694"/>
      <c r="AL90" s="694"/>
      <c r="AM90" s="694"/>
      <c r="AN90" s="694"/>
      <c r="AO90" s="694"/>
      <c r="AP90" s="694"/>
      <c r="AQ90" s="694"/>
      <c r="AR90" s="694"/>
      <c r="AS90" s="694"/>
      <c r="AT90" s="694"/>
      <c r="AU90" s="694"/>
      <c r="AV90" s="694"/>
      <c r="AW90" s="694"/>
      <c r="AX90" s="694"/>
      <c r="AY90" s="694"/>
      <c r="AZ90" s="694"/>
      <c r="BA90" s="694"/>
      <c r="BB90" s="694"/>
      <c r="BC90" s="694"/>
      <c r="BD90" s="694"/>
      <c r="BE90" s="694"/>
      <c r="BF90" s="694"/>
      <c r="BG90" s="694"/>
    </row>
    <row r="91" spans="1:59" x14ac:dyDescent="0.2">
      <c r="C91" s="694"/>
      <c r="D91" s="694"/>
      <c r="E91" s="694"/>
      <c r="F91" s="694"/>
      <c r="G91" s="694"/>
      <c r="H91" s="694"/>
      <c r="I91" s="694"/>
      <c r="J91" s="694"/>
      <c r="K91" s="694"/>
      <c r="L91" s="694"/>
      <c r="M91" s="694"/>
      <c r="N91" s="694"/>
      <c r="O91" s="694"/>
      <c r="P91" s="694"/>
      <c r="Q91" s="694"/>
      <c r="R91" s="694"/>
      <c r="S91" s="694"/>
      <c r="T91" s="694"/>
      <c r="U91" s="694"/>
      <c r="V91" s="694"/>
      <c r="W91" s="694"/>
      <c r="X91" s="694"/>
      <c r="Y91" s="694"/>
      <c r="Z91" s="694"/>
      <c r="AA91" s="694"/>
      <c r="AB91" s="694"/>
      <c r="AC91" s="694"/>
      <c r="AF91" s="694"/>
      <c r="AG91" s="694"/>
      <c r="AH91" s="694"/>
      <c r="AI91" s="694"/>
      <c r="AJ91" s="694"/>
      <c r="AK91" s="694"/>
      <c r="AL91" s="694"/>
      <c r="AM91" s="694"/>
      <c r="AN91" s="694"/>
      <c r="AO91" s="694"/>
      <c r="AP91" s="694"/>
      <c r="AQ91" s="694"/>
      <c r="AR91" s="694"/>
      <c r="AS91" s="694"/>
      <c r="AT91" s="694"/>
      <c r="AU91" s="694"/>
      <c r="AV91" s="694"/>
      <c r="AW91" s="694"/>
      <c r="AX91" s="694"/>
      <c r="AY91" s="694"/>
      <c r="AZ91" s="694"/>
      <c r="BA91" s="694"/>
      <c r="BB91" s="694"/>
      <c r="BC91" s="694"/>
      <c r="BD91" s="694"/>
      <c r="BE91" s="694"/>
      <c r="BF91" s="694"/>
      <c r="BG91" s="694"/>
    </row>
    <row r="92" spans="1:59" ht="11.25" customHeight="1" x14ac:dyDescent="0.2">
      <c r="C92" s="694"/>
      <c r="D92" s="694"/>
      <c r="E92" s="694"/>
      <c r="F92" s="694"/>
      <c r="G92" s="694"/>
      <c r="H92" s="694"/>
      <c r="I92" s="694"/>
      <c r="J92" s="694"/>
      <c r="K92" s="694"/>
      <c r="L92" s="694"/>
      <c r="M92" s="694"/>
      <c r="N92" s="694"/>
      <c r="O92" s="694"/>
      <c r="P92" s="694"/>
      <c r="Q92" s="694"/>
      <c r="R92" s="694"/>
      <c r="S92" s="694"/>
      <c r="T92" s="694"/>
      <c r="U92" s="694"/>
      <c r="V92" s="694"/>
      <c r="W92" s="694"/>
      <c r="X92" s="694"/>
      <c r="Y92" s="694"/>
      <c r="Z92" s="694"/>
      <c r="AA92" s="694"/>
      <c r="AB92" s="694"/>
      <c r="AC92" s="694"/>
      <c r="AF92" s="694"/>
      <c r="AG92" s="694"/>
      <c r="AH92" s="694"/>
      <c r="AI92" s="694"/>
      <c r="AJ92" s="694"/>
      <c r="AK92" s="694"/>
      <c r="AL92" s="694"/>
      <c r="AM92" s="694"/>
      <c r="AN92" s="694"/>
      <c r="AO92" s="694"/>
      <c r="AP92" s="694"/>
      <c r="AQ92" s="694"/>
      <c r="AR92" s="694"/>
      <c r="AS92" s="694"/>
      <c r="AT92" s="694"/>
      <c r="AU92" s="694"/>
      <c r="AV92" s="694"/>
      <c r="AW92" s="694"/>
      <c r="AX92" s="694"/>
      <c r="AY92" s="694"/>
      <c r="AZ92" s="694"/>
      <c r="BA92" s="694"/>
      <c r="BB92" s="694"/>
      <c r="BC92" s="694"/>
      <c r="BD92" s="694"/>
      <c r="BE92" s="694"/>
      <c r="BF92" s="694"/>
      <c r="BG92" s="694"/>
    </row>
    <row r="93" spans="1:59" x14ac:dyDescent="0.2">
      <c r="C93" s="694"/>
      <c r="D93" s="694"/>
      <c r="E93" s="694"/>
      <c r="F93" s="694"/>
      <c r="G93" s="694"/>
      <c r="H93" s="694"/>
      <c r="I93" s="694"/>
      <c r="J93" s="694"/>
      <c r="K93" s="694"/>
      <c r="L93" s="694"/>
      <c r="M93" s="694"/>
      <c r="N93" s="694"/>
      <c r="O93" s="694"/>
      <c r="P93" s="694"/>
      <c r="Q93" s="694"/>
      <c r="R93" s="694"/>
      <c r="S93" s="694"/>
      <c r="T93" s="694"/>
      <c r="U93" s="694"/>
      <c r="V93" s="694"/>
      <c r="W93" s="694"/>
      <c r="X93" s="694"/>
      <c r="Y93" s="694"/>
      <c r="Z93" s="694"/>
      <c r="AA93" s="694"/>
      <c r="AB93" s="694"/>
      <c r="AC93" s="694"/>
      <c r="AF93" s="694"/>
      <c r="AG93" s="694"/>
      <c r="AH93" s="694"/>
      <c r="AI93" s="694"/>
      <c r="AJ93" s="694"/>
      <c r="AK93" s="694"/>
      <c r="AL93" s="694"/>
      <c r="AM93" s="694"/>
      <c r="AN93" s="694"/>
      <c r="AO93" s="694"/>
      <c r="AP93" s="694"/>
      <c r="AQ93" s="694"/>
      <c r="AR93" s="694"/>
      <c r="AS93" s="694"/>
      <c r="AT93" s="694"/>
      <c r="AU93" s="694"/>
      <c r="AV93" s="694"/>
      <c r="AW93" s="694"/>
      <c r="AX93" s="694"/>
      <c r="AY93" s="694"/>
      <c r="AZ93" s="694"/>
      <c r="BA93" s="694"/>
      <c r="BB93" s="694"/>
      <c r="BC93" s="694"/>
      <c r="BD93" s="694"/>
      <c r="BE93" s="694"/>
      <c r="BF93" s="694"/>
      <c r="BG93" s="694"/>
    </row>
    <row r="94" spans="1:59" x14ac:dyDescent="0.2">
      <c r="A94" s="699" t="s">
        <v>472</v>
      </c>
      <c r="B94" s="699"/>
      <c r="C94" s="694" t="s">
        <v>448</v>
      </c>
      <c r="D94" s="694"/>
      <c r="E94" s="694"/>
      <c r="F94" s="694"/>
      <c r="G94" s="694"/>
      <c r="H94" s="694"/>
      <c r="I94" s="694"/>
      <c r="J94" s="694"/>
      <c r="K94" s="694"/>
      <c r="L94" s="694"/>
      <c r="M94" s="694"/>
      <c r="N94" s="694"/>
      <c r="O94" s="694"/>
      <c r="P94" s="694"/>
      <c r="Q94" s="694"/>
      <c r="R94" s="694"/>
      <c r="S94" s="694"/>
      <c r="T94" s="694"/>
      <c r="U94" s="694"/>
      <c r="V94" s="694"/>
      <c r="W94" s="694"/>
      <c r="X94" s="694"/>
      <c r="Y94" s="694"/>
      <c r="Z94" s="694"/>
      <c r="AA94" s="694"/>
      <c r="AB94" s="694"/>
      <c r="AC94" s="694"/>
      <c r="AF94" s="694"/>
      <c r="AG94" s="694"/>
      <c r="AH94" s="694"/>
      <c r="AI94" s="694"/>
      <c r="AJ94" s="694"/>
      <c r="AK94" s="694"/>
      <c r="AL94" s="694"/>
      <c r="AM94" s="694"/>
      <c r="AN94" s="694"/>
      <c r="AO94" s="694"/>
      <c r="AP94" s="694"/>
      <c r="AQ94" s="694"/>
      <c r="AR94" s="694"/>
      <c r="AS94" s="694"/>
      <c r="AT94" s="694"/>
      <c r="AU94" s="694"/>
      <c r="AV94" s="694"/>
      <c r="AW94" s="694"/>
      <c r="AX94" s="694"/>
      <c r="AY94" s="694"/>
      <c r="AZ94" s="694"/>
      <c r="BA94" s="694"/>
      <c r="BB94" s="694"/>
      <c r="BC94" s="694"/>
      <c r="BD94" s="694"/>
      <c r="BE94" s="694"/>
      <c r="BF94" s="694"/>
      <c r="BG94" s="694"/>
    </row>
    <row r="95" spans="1:59" x14ac:dyDescent="0.2">
      <c r="A95" s="510"/>
      <c r="B95" s="510"/>
      <c r="C95" s="694"/>
      <c r="D95" s="694"/>
      <c r="E95" s="694"/>
      <c r="F95" s="694"/>
      <c r="G95" s="694"/>
      <c r="H95" s="694"/>
      <c r="I95" s="694"/>
      <c r="J95" s="694"/>
      <c r="K95" s="694"/>
      <c r="L95" s="694"/>
      <c r="M95" s="694"/>
      <c r="N95" s="694"/>
      <c r="O95" s="694"/>
      <c r="P95" s="694"/>
      <c r="Q95" s="694"/>
      <c r="R95" s="694"/>
      <c r="S95" s="694"/>
      <c r="T95" s="694"/>
      <c r="U95" s="694"/>
      <c r="V95" s="694"/>
      <c r="W95" s="694"/>
      <c r="X95" s="694"/>
      <c r="Y95" s="694"/>
      <c r="Z95" s="694"/>
      <c r="AA95" s="694"/>
      <c r="AB95" s="694"/>
      <c r="AC95" s="694"/>
      <c r="AE95" s="509" t="s">
        <v>859</v>
      </c>
      <c r="AF95" s="694" t="s">
        <v>866</v>
      </c>
      <c r="AG95" s="694"/>
      <c r="AH95" s="694"/>
      <c r="AI95" s="694"/>
      <c r="AJ95" s="694"/>
      <c r="AK95" s="694"/>
      <c r="AL95" s="694"/>
      <c r="AM95" s="694"/>
      <c r="AN95" s="694"/>
      <c r="AO95" s="694"/>
      <c r="AP95" s="694"/>
      <c r="AQ95" s="694"/>
      <c r="AR95" s="694"/>
      <c r="AS95" s="694"/>
      <c r="AT95" s="694"/>
      <c r="AU95" s="694"/>
      <c r="AV95" s="694"/>
      <c r="AW95" s="694"/>
      <c r="AX95" s="694"/>
      <c r="AY95" s="694"/>
      <c r="AZ95" s="694"/>
      <c r="BA95" s="694"/>
      <c r="BB95" s="694"/>
      <c r="BC95" s="694"/>
      <c r="BD95" s="694"/>
      <c r="BE95" s="694"/>
      <c r="BF95" s="694"/>
      <c r="BG95" s="694"/>
    </row>
    <row r="96" spans="1:59" x14ac:dyDescent="0.2">
      <c r="A96" s="517"/>
      <c r="B96" s="517"/>
      <c r="C96" s="694"/>
      <c r="D96" s="694"/>
      <c r="E96" s="694"/>
      <c r="F96" s="694"/>
      <c r="G96" s="694"/>
      <c r="H96" s="694"/>
      <c r="I96" s="694"/>
      <c r="J96" s="694"/>
      <c r="K96" s="694"/>
      <c r="L96" s="694"/>
      <c r="M96" s="694"/>
      <c r="N96" s="694"/>
      <c r="O96" s="694"/>
      <c r="P96" s="694"/>
      <c r="Q96" s="694"/>
      <c r="R96" s="694"/>
      <c r="S96" s="694"/>
      <c r="T96" s="694"/>
      <c r="U96" s="694"/>
      <c r="V96" s="694"/>
      <c r="W96" s="694"/>
      <c r="X96" s="694"/>
      <c r="Y96" s="694"/>
      <c r="Z96" s="694"/>
      <c r="AA96" s="694"/>
      <c r="AB96" s="694"/>
      <c r="AC96" s="694"/>
      <c r="AF96" s="694"/>
      <c r="AG96" s="694"/>
      <c r="AH96" s="694"/>
      <c r="AI96" s="694"/>
      <c r="AJ96" s="694"/>
      <c r="AK96" s="694"/>
      <c r="AL96" s="694"/>
      <c r="AM96" s="694"/>
      <c r="AN96" s="694"/>
      <c r="AO96" s="694"/>
      <c r="AP96" s="694"/>
      <c r="AQ96" s="694"/>
      <c r="AR96" s="694"/>
      <c r="AS96" s="694"/>
      <c r="AT96" s="694"/>
      <c r="AU96" s="694"/>
      <c r="AV96" s="694"/>
      <c r="AW96" s="694"/>
      <c r="AX96" s="694"/>
      <c r="AY96" s="694"/>
      <c r="AZ96" s="694"/>
      <c r="BA96" s="694"/>
      <c r="BB96" s="694"/>
      <c r="BC96" s="694"/>
      <c r="BD96" s="694"/>
      <c r="BE96" s="694"/>
      <c r="BF96" s="694"/>
      <c r="BG96" s="694"/>
    </row>
    <row r="97" spans="1:59" x14ac:dyDescent="0.2">
      <c r="A97" s="509"/>
      <c r="B97" s="509"/>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F97" s="694"/>
      <c r="AG97" s="694"/>
      <c r="AH97" s="694"/>
      <c r="AI97" s="694"/>
      <c r="AJ97" s="694"/>
      <c r="AK97" s="694"/>
      <c r="AL97" s="694"/>
      <c r="AM97" s="694"/>
      <c r="AN97" s="694"/>
      <c r="AO97" s="694"/>
      <c r="AP97" s="694"/>
      <c r="AQ97" s="694"/>
      <c r="AR97" s="694"/>
      <c r="AS97" s="694"/>
      <c r="AT97" s="694"/>
      <c r="AU97" s="694"/>
      <c r="AV97" s="694"/>
      <c r="AW97" s="694"/>
      <c r="AX97" s="694"/>
      <c r="AY97" s="694"/>
      <c r="AZ97" s="694"/>
      <c r="BA97" s="694"/>
      <c r="BB97" s="694"/>
      <c r="BC97" s="694"/>
      <c r="BD97" s="694"/>
      <c r="BE97" s="694"/>
      <c r="BF97" s="694"/>
      <c r="BG97" s="694"/>
    </row>
    <row r="98" spans="1:59" x14ac:dyDescent="0.2">
      <c r="A98" s="711" t="s">
        <v>50</v>
      </c>
      <c r="B98" s="711"/>
      <c r="C98" s="711"/>
      <c r="D98" s="711"/>
      <c r="E98" s="711"/>
      <c r="F98" s="711"/>
      <c r="G98" s="711"/>
      <c r="H98" s="711"/>
      <c r="I98" s="711"/>
      <c r="J98" s="711"/>
      <c r="K98" s="711"/>
      <c r="L98" s="711"/>
      <c r="M98" s="711"/>
      <c r="N98" s="711"/>
      <c r="O98" s="711"/>
      <c r="P98" s="711"/>
      <c r="Q98" s="711"/>
      <c r="R98" s="711"/>
      <c r="S98" s="711"/>
      <c r="T98" s="711"/>
      <c r="U98" s="711"/>
      <c r="V98" s="711"/>
      <c r="W98" s="711"/>
      <c r="X98" s="711"/>
      <c r="Y98" s="711"/>
      <c r="Z98" s="711"/>
      <c r="AA98" s="711"/>
      <c r="AB98" s="711"/>
      <c r="AC98" s="711"/>
      <c r="AF98" s="694"/>
      <c r="AG98" s="694"/>
      <c r="AH98" s="694"/>
      <c r="AI98" s="694"/>
      <c r="AJ98" s="694"/>
      <c r="AK98" s="694"/>
      <c r="AL98" s="694"/>
      <c r="AM98" s="694"/>
      <c r="AN98" s="694"/>
      <c r="AO98" s="694"/>
      <c r="AP98" s="694"/>
      <c r="AQ98" s="694"/>
      <c r="AR98" s="694"/>
      <c r="AS98" s="694"/>
      <c r="AT98" s="694"/>
      <c r="AU98" s="694"/>
      <c r="AV98" s="694"/>
      <c r="AW98" s="694"/>
      <c r="AX98" s="694"/>
      <c r="AY98" s="694"/>
      <c r="AZ98" s="694"/>
      <c r="BA98" s="694"/>
      <c r="BB98" s="694"/>
      <c r="BC98" s="694"/>
      <c r="BD98" s="694"/>
      <c r="BE98" s="694"/>
      <c r="BF98" s="694"/>
      <c r="BG98" s="694"/>
    </row>
    <row r="99" spans="1:59" ht="11.25" customHeight="1" x14ac:dyDescent="0.2">
      <c r="A99" s="508"/>
      <c r="B99" s="508"/>
      <c r="C99" s="508"/>
      <c r="D99" s="508"/>
      <c r="E99" s="508"/>
      <c r="F99" s="508"/>
      <c r="G99" s="508"/>
      <c r="H99" s="508"/>
      <c r="I99" s="508"/>
      <c r="J99" s="508"/>
      <c r="K99" s="508"/>
      <c r="L99" s="508"/>
      <c r="M99" s="508"/>
      <c r="N99" s="508"/>
      <c r="O99" s="508"/>
      <c r="P99" s="508"/>
      <c r="Q99" s="508"/>
      <c r="R99" s="508"/>
      <c r="S99" s="508"/>
      <c r="T99" s="508"/>
      <c r="U99" s="508"/>
      <c r="V99" s="508"/>
      <c r="W99" s="508"/>
      <c r="X99" s="508"/>
      <c r="Y99" s="508"/>
      <c r="Z99" s="508"/>
      <c r="AA99" s="508"/>
      <c r="AB99" s="508"/>
      <c r="AC99" s="508"/>
      <c r="AF99" s="694"/>
      <c r="AG99" s="694"/>
      <c r="AH99" s="694"/>
      <c r="AI99" s="694"/>
      <c r="AJ99" s="694"/>
      <c r="AK99" s="694"/>
      <c r="AL99" s="694"/>
      <c r="AM99" s="694"/>
      <c r="AN99" s="694"/>
      <c r="AO99" s="694"/>
      <c r="AP99" s="694"/>
      <c r="AQ99" s="694"/>
      <c r="AR99" s="694"/>
      <c r="AS99" s="694"/>
      <c r="AT99" s="694"/>
      <c r="AU99" s="694"/>
      <c r="AV99" s="694"/>
      <c r="AW99" s="694"/>
      <c r="AX99" s="694"/>
      <c r="AY99" s="694"/>
      <c r="AZ99" s="694"/>
      <c r="BA99" s="694"/>
      <c r="BB99" s="694"/>
      <c r="BC99" s="694"/>
      <c r="BD99" s="694"/>
      <c r="BE99" s="694"/>
      <c r="BF99" s="694"/>
      <c r="BG99" s="694"/>
    </row>
    <row r="100" spans="1:59" x14ac:dyDescent="0.2">
      <c r="A100" s="509" t="s">
        <v>48</v>
      </c>
      <c r="B100" s="694" t="str">
        <f>"«Borc alan» kreditin ödənilməsi üzrə öhdəliyi vaxtlı-vaxtında yerinə yetirmədiyi və kreditdən istifadəyə görə faizləri və krediti ödəmədiyi təqdirdə gecikdirilmiş  əsas məbləğin 1 (bir) faizi mə"&amp;"bləğində dəbbə pulunu (cərimə) hər yubanma günü üçün «Borc verən»in  xeyrinə ödəməyə borcludur."</f>
        <v>«Borc alan» kreditin ödənilməsi üzrə öhdəliyi vaxtlı-vaxtında yerinə yetirmədiyi və kreditdən istifadəyə görə faizləri və krediti ödəmədiyi təqdirdə gecikdirilmiş  əsas məbləğin 1 (bir) faizi məbləğində dəbbə pulunu (cərimə) hər yubanma günü üçün «Borc verən»in  xeyrinə ödəməyə borcludur.</v>
      </c>
      <c r="C100" s="694"/>
      <c r="D100" s="694"/>
      <c r="E100" s="694"/>
      <c r="F100" s="694"/>
      <c r="G100" s="694"/>
      <c r="H100" s="694"/>
      <c r="I100" s="694"/>
      <c r="J100" s="694"/>
      <c r="K100" s="694"/>
      <c r="L100" s="694"/>
      <c r="M100" s="694"/>
      <c r="N100" s="694"/>
      <c r="O100" s="694"/>
      <c r="P100" s="694"/>
      <c r="Q100" s="694"/>
      <c r="R100" s="694"/>
      <c r="S100" s="694"/>
      <c r="T100" s="694"/>
      <c r="U100" s="694"/>
      <c r="V100" s="694"/>
      <c r="W100" s="694"/>
      <c r="X100" s="694"/>
      <c r="Y100" s="694"/>
      <c r="Z100" s="694"/>
      <c r="AA100" s="694"/>
      <c r="AB100" s="694"/>
      <c r="AC100" s="694"/>
    </row>
    <row r="101" spans="1:59" x14ac:dyDescent="0.2">
      <c r="B101" s="694"/>
      <c r="C101" s="694"/>
      <c r="D101" s="694"/>
      <c r="E101" s="694"/>
      <c r="F101" s="694"/>
      <c r="G101" s="694"/>
      <c r="H101" s="694"/>
      <c r="I101" s="694"/>
      <c r="J101" s="694"/>
      <c r="K101" s="694"/>
      <c r="L101" s="694"/>
      <c r="M101" s="694"/>
      <c r="N101" s="694"/>
      <c r="O101" s="694"/>
      <c r="P101" s="694"/>
      <c r="Q101" s="694"/>
      <c r="R101" s="694"/>
      <c r="S101" s="694"/>
      <c r="T101" s="694"/>
      <c r="U101" s="694"/>
      <c r="V101" s="694"/>
      <c r="W101" s="694"/>
      <c r="X101" s="694"/>
      <c r="Y101" s="694"/>
      <c r="Z101" s="694"/>
      <c r="AA101" s="694"/>
      <c r="AB101" s="694"/>
      <c r="AC101" s="694"/>
      <c r="AE101" s="707" t="s">
        <v>648</v>
      </c>
      <c r="AF101" s="707"/>
      <c r="AG101" s="707"/>
      <c r="AH101" s="707"/>
      <c r="AI101" s="707"/>
      <c r="AJ101" s="707"/>
      <c r="AK101" s="707"/>
      <c r="AL101" s="707"/>
      <c r="AM101" s="707"/>
      <c r="AN101" s="707"/>
      <c r="AO101" s="707"/>
      <c r="AP101" s="707"/>
      <c r="AQ101" s="707"/>
      <c r="AR101" s="707"/>
      <c r="AS101" s="707"/>
      <c r="AT101" s="707"/>
      <c r="AU101" s="707"/>
      <c r="AV101" s="707"/>
      <c r="AW101" s="707"/>
      <c r="AX101" s="707"/>
      <c r="AY101" s="707"/>
      <c r="AZ101" s="707"/>
      <c r="BA101" s="707"/>
      <c r="BB101" s="707"/>
      <c r="BC101" s="707"/>
      <c r="BD101" s="707"/>
      <c r="BE101" s="707"/>
      <c r="BF101" s="707"/>
      <c r="BG101" s="707"/>
    </row>
    <row r="102" spans="1:59" x14ac:dyDescent="0.2">
      <c r="B102" s="694"/>
      <c r="C102" s="694"/>
      <c r="D102" s="694"/>
      <c r="E102" s="694"/>
      <c r="F102" s="694"/>
      <c r="G102" s="694"/>
      <c r="H102" s="694"/>
      <c r="I102" s="694"/>
      <c r="J102" s="694"/>
      <c r="K102" s="694"/>
      <c r="L102" s="694"/>
      <c r="M102" s="694"/>
      <c r="N102" s="694"/>
      <c r="O102" s="694"/>
      <c r="P102" s="694"/>
      <c r="Q102" s="694"/>
      <c r="R102" s="694"/>
      <c r="S102" s="694"/>
      <c r="T102" s="694"/>
      <c r="U102" s="694"/>
      <c r="V102" s="694"/>
      <c r="W102" s="694"/>
      <c r="X102" s="694"/>
      <c r="Y102" s="694"/>
      <c r="Z102" s="694"/>
      <c r="AA102" s="694"/>
      <c r="AB102" s="694"/>
      <c r="AC102" s="694"/>
      <c r="AE102" s="514"/>
      <c r="AF102" s="515"/>
      <c r="AG102" s="515"/>
      <c r="AH102" s="515"/>
      <c r="AI102" s="515"/>
      <c r="AJ102" s="515"/>
      <c r="AK102" s="515"/>
      <c r="AL102" s="515"/>
      <c r="AM102" s="515"/>
      <c r="AN102" s="515"/>
      <c r="AO102" s="515"/>
      <c r="AP102" s="515"/>
      <c r="AQ102" s="515"/>
      <c r="AR102" s="515"/>
      <c r="AS102" s="515"/>
      <c r="AT102" s="515"/>
      <c r="AU102" s="515"/>
      <c r="AV102" s="515"/>
      <c r="AW102" s="515"/>
      <c r="AX102" s="515"/>
      <c r="AY102" s="515"/>
      <c r="AZ102" s="515"/>
      <c r="BA102" s="515"/>
      <c r="BB102" s="515"/>
      <c r="BC102" s="515"/>
      <c r="BD102" s="515"/>
      <c r="BE102" s="515"/>
      <c r="BF102" s="515"/>
      <c r="BG102" s="515"/>
    </row>
    <row r="103" spans="1:59" x14ac:dyDescent="0.2">
      <c r="B103" s="694"/>
      <c r="C103" s="694"/>
      <c r="D103" s="694"/>
      <c r="E103" s="694"/>
      <c r="F103" s="694"/>
      <c r="G103" s="694"/>
      <c r="H103" s="694"/>
      <c r="I103" s="694"/>
      <c r="J103" s="694"/>
      <c r="K103" s="694"/>
      <c r="L103" s="694"/>
      <c r="M103" s="694"/>
      <c r="N103" s="694"/>
      <c r="O103" s="694"/>
      <c r="P103" s="694"/>
      <c r="Q103" s="694"/>
      <c r="R103" s="694"/>
      <c r="S103" s="694"/>
      <c r="T103" s="694"/>
      <c r="U103" s="694"/>
      <c r="V103" s="694"/>
      <c r="W103" s="694"/>
      <c r="X103" s="694"/>
      <c r="Y103" s="694"/>
      <c r="Z103" s="694"/>
      <c r="AA103" s="694"/>
      <c r="AB103" s="694"/>
      <c r="AC103" s="694"/>
      <c r="AE103" s="179" t="s">
        <v>110</v>
      </c>
      <c r="AF103" s="709" t="s">
        <v>425</v>
      </c>
      <c r="AG103" s="709"/>
      <c r="AH103" s="709"/>
      <c r="AI103" s="709"/>
      <c r="AJ103" s="709"/>
      <c r="AK103" s="709"/>
      <c r="AL103" s="709"/>
      <c r="AM103" s="709"/>
      <c r="AN103" s="709"/>
      <c r="AO103" s="709"/>
      <c r="AP103" s="709"/>
      <c r="AQ103" s="709"/>
      <c r="AR103" s="709"/>
      <c r="AS103" s="709"/>
      <c r="AT103" s="709"/>
      <c r="AU103" s="709"/>
      <c r="AV103" s="709"/>
      <c r="AW103" s="709"/>
      <c r="AX103" s="709"/>
      <c r="AY103" s="709"/>
      <c r="AZ103" s="709"/>
      <c r="BA103" s="709"/>
      <c r="BB103" s="709"/>
      <c r="BC103" s="709"/>
      <c r="BD103" s="709"/>
      <c r="BE103" s="709"/>
      <c r="BF103" s="709"/>
      <c r="BG103" s="709"/>
    </row>
    <row r="104" spans="1:59" x14ac:dyDescent="0.2">
      <c r="A104" s="95"/>
      <c r="B104" s="694"/>
      <c r="C104" s="694"/>
      <c r="D104" s="694"/>
      <c r="E104" s="694"/>
      <c r="F104" s="694"/>
      <c r="G104" s="694"/>
      <c r="H104" s="694"/>
      <c r="I104" s="694"/>
      <c r="J104" s="694"/>
      <c r="K104" s="694"/>
      <c r="L104" s="694"/>
      <c r="M104" s="694"/>
      <c r="N104" s="694"/>
      <c r="O104" s="694"/>
      <c r="P104" s="694"/>
      <c r="Q104" s="694"/>
      <c r="R104" s="694"/>
      <c r="S104" s="694"/>
      <c r="T104" s="694"/>
      <c r="U104" s="694"/>
      <c r="V104" s="694"/>
      <c r="W104" s="694"/>
      <c r="X104" s="694"/>
      <c r="Y104" s="694"/>
      <c r="Z104" s="694"/>
      <c r="AA104" s="694"/>
      <c r="AB104" s="694"/>
      <c r="AC104" s="694"/>
      <c r="AE104" s="521"/>
      <c r="AF104" s="709"/>
      <c r="AG104" s="709"/>
      <c r="AH104" s="709"/>
      <c r="AI104" s="709"/>
      <c r="AJ104" s="709"/>
      <c r="AK104" s="709"/>
      <c r="AL104" s="709"/>
      <c r="AM104" s="709"/>
      <c r="AN104" s="709"/>
      <c r="AO104" s="709"/>
      <c r="AP104" s="709"/>
      <c r="AQ104" s="709"/>
      <c r="AR104" s="709"/>
      <c r="AS104" s="709"/>
      <c r="AT104" s="709"/>
      <c r="AU104" s="709"/>
      <c r="AV104" s="709"/>
      <c r="AW104" s="709"/>
      <c r="AX104" s="709"/>
      <c r="AY104" s="709"/>
      <c r="AZ104" s="709"/>
      <c r="BA104" s="709"/>
      <c r="BB104" s="709"/>
      <c r="BC104" s="709"/>
      <c r="BD104" s="709"/>
      <c r="BE104" s="709"/>
      <c r="BF104" s="709"/>
      <c r="BG104" s="709"/>
    </row>
    <row r="105" spans="1:59" ht="11.25" customHeight="1" x14ac:dyDescent="0.2">
      <c r="AE105" s="521"/>
      <c r="AF105" s="709"/>
      <c r="AG105" s="709"/>
      <c r="AH105" s="709"/>
      <c r="AI105" s="709"/>
      <c r="AJ105" s="709"/>
      <c r="AK105" s="709"/>
      <c r="AL105" s="709"/>
      <c r="AM105" s="709"/>
      <c r="AN105" s="709"/>
      <c r="AO105" s="709"/>
      <c r="AP105" s="709"/>
      <c r="AQ105" s="709"/>
      <c r="AR105" s="709"/>
      <c r="AS105" s="709"/>
      <c r="AT105" s="709"/>
      <c r="AU105" s="709"/>
      <c r="AV105" s="709"/>
      <c r="AW105" s="709"/>
      <c r="AX105" s="709"/>
      <c r="AY105" s="709"/>
      <c r="AZ105" s="709"/>
      <c r="BA105" s="709"/>
      <c r="BB105" s="709"/>
      <c r="BC105" s="709"/>
      <c r="BD105" s="709"/>
      <c r="BE105" s="709"/>
      <c r="BF105" s="709"/>
      <c r="BG105" s="709"/>
    </row>
    <row r="106" spans="1:59" x14ac:dyDescent="0.2">
      <c r="A106" s="711" t="s">
        <v>643</v>
      </c>
      <c r="B106" s="711"/>
      <c r="C106" s="711"/>
      <c r="D106" s="711"/>
      <c r="E106" s="711"/>
      <c r="F106" s="711"/>
      <c r="G106" s="711"/>
      <c r="H106" s="711"/>
      <c r="I106" s="711"/>
      <c r="J106" s="711"/>
      <c r="K106" s="711"/>
      <c r="L106" s="711"/>
      <c r="M106" s="711"/>
      <c r="N106" s="711"/>
      <c r="O106" s="711"/>
      <c r="P106" s="711"/>
      <c r="Q106" s="711"/>
      <c r="R106" s="711"/>
      <c r="S106" s="711"/>
      <c r="T106" s="711"/>
      <c r="U106" s="711"/>
      <c r="V106" s="711"/>
      <c r="W106" s="711"/>
      <c r="X106" s="711"/>
      <c r="Y106" s="711"/>
      <c r="Z106" s="711"/>
      <c r="AA106" s="711"/>
      <c r="AB106" s="711"/>
      <c r="AC106" s="711"/>
      <c r="AE106" s="179" t="s">
        <v>42</v>
      </c>
      <c r="AF106" s="709" t="s">
        <v>426</v>
      </c>
      <c r="AG106" s="709"/>
      <c r="AH106" s="709"/>
      <c r="AI106" s="709"/>
      <c r="AJ106" s="709"/>
      <c r="AK106" s="709"/>
      <c r="AL106" s="709"/>
      <c r="AM106" s="709"/>
      <c r="AN106" s="709"/>
      <c r="AO106" s="709"/>
      <c r="AP106" s="709"/>
      <c r="AQ106" s="709"/>
      <c r="AR106" s="709"/>
      <c r="AS106" s="709"/>
      <c r="AT106" s="709"/>
      <c r="AU106" s="709"/>
      <c r="AV106" s="709"/>
      <c r="AW106" s="709"/>
      <c r="AX106" s="709"/>
      <c r="AY106" s="709"/>
      <c r="AZ106" s="709"/>
      <c r="BA106" s="709"/>
      <c r="BB106" s="709"/>
      <c r="BC106" s="709"/>
      <c r="BD106" s="709"/>
      <c r="BE106" s="709"/>
      <c r="BF106" s="709"/>
      <c r="BG106" s="709"/>
    </row>
    <row r="107" spans="1:59" ht="11.25" customHeight="1" x14ac:dyDescent="0.2">
      <c r="A107" s="508"/>
      <c r="B107" s="508"/>
      <c r="C107" s="508"/>
      <c r="D107" s="508"/>
      <c r="E107" s="508"/>
      <c r="F107" s="508"/>
      <c r="G107" s="508"/>
      <c r="H107" s="508"/>
      <c r="I107" s="508"/>
      <c r="J107" s="508"/>
      <c r="K107" s="508"/>
      <c r="L107" s="508"/>
      <c r="M107" s="508"/>
      <c r="N107" s="508"/>
      <c r="O107" s="508"/>
      <c r="P107" s="508"/>
      <c r="Q107" s="508"/>
      <c r="R107" s="508"/>
      <c r="S107" s="508"/>
      <c r="T107" s="508"/>
      <c r="U107" s="508"/>
      <c r="V107" s="508"/>
      <c r="W107" s="508"/>
      <c r="X107" s="508"/>
      <c r="Y107" s="508"/>
      <c r="Z107" s="508"/>
      <c r="AA107" s="508"/>
      <c r="AB107" s="508"/>
      <c r="AC107" s="508"/>
      <c r="AE107" s="521"/>
      <c r="AF107" s="709"/>
      <c r="AG107" s="709"/>
      <c r="AH107" s="709"/>
      <c r="AI107" s="709"/>
      <c r="AJ107" s="709"/>
      <c r="AK107" s="709"/>
      <c r="AL107" s="709"/>
      <c r="AM107" s="709"/>
      <c r="AN107" s="709"/>
      <c r="AO107" s="709"/>
      <c r="AP107" s="709"/>
      <c r="AQ107" s="709"/>
      <c r="AR107" s="709"/>
      <c r="AS107" s="709"/>
      <c r="AT107" s="709"/>
      <c r="AU107" s="709"/>
      <c r="AV107" s="709"/>
      <c r="AW107" s="709"/>
      <c r="AX107" s="709"/>
      <c r="AY107" s="709"/>
      <c r="AZ107" s="709"/>
      <c r="BA107" s="709"/>
      <c r="BB107" s="709"/>
      <c r="BC107" s="709"/>
      <c r="BD107" s="709"/>
      <c r="BE107" s="709"/>
      <c r="BF107" s="709"/>
      <c r="BG107" s="709"/>
    </row>
    <row r="108" spans="1:59" x14ac:dyDescent="0.2">
      <c r="A108" s="511" t="s">
        <v>45</v>
      </c>
      <c r="B108" s="694" t="s">
        <v>38</v>
      </c>
      <c r="C108" s="694"/>
      <c r="D108" s="694"/>
      <c r="E108" s="694"/>
      <c r="F108" s="694"/>
      <c r="G108" s="694"/>
      <c r="H108" s="694"/>
      <c r="I108" s="694"/>
      <c r="J108" s="694"/>
      <c r="K108" s="694"/>
      <c r="L108" s="694"/>
      <c r="M108" s="694"/>
      <c r="N108" s="694"/>
      <c r="O108" s="694"/>
      <c r="P108" s="694"/>
      <c r="Q108" s="694"/>
      <c r="R108" s="694"/>
      <c r="S108" s="694"/>
      <c r="T108" s="694"/>
      <c r="U108" s="694"/>
      <c r="V108" s="694"/>
      <c r="W108" s="694"/>
      <c r="X108" s="694"/>
      <c r="Y108" s="694"/>
      <c r="Z108" s="694"/>
      <c r="AA108" s="694"/>
      <c r="AB108" s="694"/>
      <c r="AC108" s="694"/>
      <c r="AE108" s="521"/>
      <c r="AF108" s="709"/>
      <c r="AG108" s="709"/>
      <c r="AH108" s="709"/>
      <c r="AI108" s="709"/>
      <c r="AJ108" s="709"/>
      <c r="AK108" s="709"/>
      <c r="AL108" s="709"/>
      <c r="AM108" s="709"/>
      <c r="AN108" s="709"/>
      <c r="AO108" s="709"/>
      <c r="AP108" s="709"/>
      <c r="AQ108" s="709"/>
      <c r="AR108" s="709"/>
      <c r="AS108" s="709"/>
      <c r="AT108" s="709"/>
      <c r="AU108" s="709"/>
      <c r="AV108" s="709"/>
      <c r="AW108" s="709"/>
      <c r="AX108" s="709"/>
      <c r="AY108" s="709"/>
      <c r="AZ108" s="709"/>
      <c r="BA108" s="709"/>
      <c r="BB108" s="709"/>
      <c r="BC108" s="709"/>
      <c r="BD108" s="709"/>
      <c r="BE108" s="709"/>
      <c r="BF108" s="709"/>
      <c r="BG108" s="709"/>
    </row>
    <row r="109" spans="1:59" x14ac:dyDescent="0.2">
      <c r="B109" s="694"/>
      <c r="C109" s="694"/>
      <c r="D109" s="694"/>
      <c r="E109" s="694"/>
      <c r="F109" s="694"/>
      <c r="G109" s="694"/>
      <c r="H109" s="694"/>
      <c r="I109" s="694"/>
      <c r="J109" s="694"/>
      <c r="K109" s="694"/>
      <c r="L109" s="694"/>
      <c r="M109" s="694"/>
      <c r="N109" s="694"/>
      <c r="O109" s="694"/>
      <c r="P109" s="694"/>
      <c r="Q109" s="694"/>
      <c r="R109" s="694"/>
      <c r="S109" s="694"/>
      <c r="T109" s="694"/>
      <c r="U109" s="694"/>
      <c r="V109" s="694"/>
      <c r="W109" s="694"/>
      <c r="X109" s="694"/>
      <c r="Y109" s="694"/>
      <c r="Z109" s="694"/>
      <c r="AA109" s="694"/>
      <c r="AB109" s="694"/>
      <c r="AC109" s="694"/>
      <c r="AE109" s="695" t="s">
        <v>649</v>
      </c>
      <c r="AF109" s="695"/>
      <c r="AG109" s="695"/>
      <c r="AH109" s="695"/>
      <c r="AI109" s="695"/>
      <c r="AJ109" s="695"/>
      <c r="AK109" s="695"/>
      <c r="AL109" s="695"/>
      <c r="AM109" s="695"/>
      <c r="AN109" s="695"/>
      <c r="AO109" s="695"/>
      <c r="AP109" s="695"/>
      <c r="AQ109" s="695"/>
      <c r="AR109" s="695"/>
      <c r="AS109" s="695"/>
      <c r="AT109" s="695"/>
      <c r="AU109" s="695"/>
      <c r="AV109" s="695"/>
      <c r="AW109" s="695"/>
      <c r="AX109" s="695"/>
      <c r="AY109" s="695"/>
      <c r="AZ109" s="695"/>
      <c r="BA109" s="695"/>
      <c r="BB109" s="695"/>
      <c r="BC109" s="695"/>
      <c r="BD109" s="695"/>
      <c r="BE109" s="695"/>
      <c r="BF109" s="695"/>
      <c r="BG109" s="695"/>
    </row>
    <row r="110" spans="1:59" ht="11.25" customHeight="1" x14ac:dyDescent="0.2">
      <c r="B110" s="694"/>
      <c r="C110" s="694"/>
      <c r="D110" s="694"/>
      <c r="E110" s="694"/>
      <c r="F110" s="694"/>
      <c r="G110" s="694"/>
      <c r="H110" s="694"/>
      <c r="I110" s="694"/>
      <c r="J110" s="694"/>
      <c r="K110" s="694"/>
      <c r="L110" s="694"/>
      <c r="M110" s="694"/>
      <c r="N110" s="694"/>
      <c r="O110" s="694"/>
      <c r="P110" s="694"/>
      <c r="Q110" s="694"/>
      <c r="R110" s="694"/>
      <c r="S110" s="694"/>
      <c r="T110" s="694"/>
      <c r="U110" s="694"/>
      <c r="V110" s="694"/>
      <c r="W110" s="694"/>
      <c r="X110" s="694"/>
      <c r="Y110" s="694"/>
      <c r="Z110" s="694"/>
      <c r="AA110" s="694"/>
      <c r="AB110" s="694"/>
      <c r="AC110" s="694"/>
      <c r="AE110" s="507"/>
      <c r="AF110" s="507"/>
      <c r="AG110" s="507"/>
      <c r="AH110" s="507"/>
      <c r="AI110" s="507"/>
      <c r="AJ110" s="507"/>
      <c r="AK110" s="507"/>
      <c r="AL110" s="507"/>
      <c r="AM110" s="507"/>
      <c r="AN110" s="507"/>
      <c r="AO110" s="507"/>
      <c r="AP110" s="507"/>
      <c r="AQ110" s="507"/>
      <c r="AR110" s="507"/>
      <c r="AS110" s="507"/>
      <c r="AT110" s="507"/>
      <c r="AU110" s="507"/>
      <c r="AV110" s="507"/>
      <c r="AW110" s="507"/>
      <c r="AX110" s="507"/>
      <c r="AY110" s="507"/>
      <c r="AZ110" s="507"/>
      <c r="BA110" s="507"/>
      <c r="BB110" s="507"/>
      <c r="BC110" s="507"/>
      <c r="BD110" s="507"/>
      <c r="BE110" s="507"/>
      <c r="BF110" s="507"/>
      <c r="BG110" s="507"/>
    </row>
    <row r="111" spans="1:59" x14ac:dyDescent="0.2">
      <c r="A111" s="511" t="s">
        <v>44</v>
      </c>
      <c r="B111" s="694" t="s">
        <v>642</v>
      </c>
      <c r="C111" s="694"/>
      <c r="D111" s="694"/>
      <c r="E111" s="694"/>
      <c r="F111" s="694"/>
      <c r="G111" s="694"/>
      <c r="H111" s="694"/>
      <c r="I111" s="694"/>
      <c r="J111" s="694"/>
      <c r="K111" s="694"/>
      <c r="L111" s="694"/>
      <c r="M111" s="694"/>
      <c r="N111" s="694"/>
      <c r="O111" s="694"/>
      <c r="P111" s="694"/>
      <c r="Q111" s="694"/>
      <c r="R111" s="694"/>
      <c r="S111" s="694"/>
      <c r="T111" s="694"/>
      <c r="U111" s="694"/>
      <c r="V111" s="694"/>
      <c r="W111" s="694"/>
      <c r="X111" s="694"/>
      <c r="Y111" s="694"/>
      <c r="Z111" s="694"/>
      <c r="AA111" s="694"/>
      <c r="AB111" s="694"/>
      <c r="AC111" s="694"/>
      <c r="AE111" s="509" t="s">
        <v>650</v>
      </c>
      <c r="AF111" s="694" t="str">
        <f>"Bu müqavilənin məqsədlərinin həyata keçirilməsi ilə bağlı tərəflər arasında yaranan bütün mübahisələr Azərbaycan Respublikasının qanunvericiliyi ilə tənzimlənir. Bu zaman tərəflər "&amp;"arasında yaranan mübahisələr qanunvericiliklə tənzim edilə bilmədikdə bu sahədə təşəkkül tapan və geniş tətbiq edilən işgüzar adətlər tətbiq edilir."</f>
        <v>Bu müqavilənin məqsədlərinin həyata keçirilməsi ilə bağlı tərəflər arasında yaranan bütün mübahisələr Azərbaycan Respublikasının qanunvericiliyi ilə tənzimlənir. Bu zaman tərəflər arasında yaranan mübahisələr qanunvericiliklə tənzim edilə bilmədikdə bu sahədə təşəkkül tapan və geniş tətbiq edilən işgüzar adətlər tətbiq edilir.</v>
      </c>
      <c r="AG111" s="694"/>
      <c r="AH111" s="694"/>
      <c r="AI111" s="694"/>
      <c r="AJ111" s="694"/>
      <c r="AK111" s="694"/>
      <c r="AL111" s="694"/>
      <c r="AM111" s="694"/>
      <c r="AN111" s="694"/>
      <c r="AO111" s="694"/>
      <c r="AP111" s="694"/>
      <c r="AQ111" s="694"/>
      <c r="AR111" s="694"/>
      <c r="AS111" s="694"/>
      <c r="AT111" s="694"/>
      <c r="AU111" s="694"/>
      <c r="AV111" s="694"/>
      <c r="AW111" s="694"/>
      <c r="AX111" s="694"/>
      <c r="AY111" s="694"/>
      <c r="AZ111" s="694"/>
      <c r="BA111" s="694"/>
      <c r="BB111" s="694"/>
      <c r="BC111" s="694"/>
      <c r="BD111" s="694"/>
      <c r="BE111" s="694"/>
      <c r="BF111" s="694"/>
      <c r="BG111" s="694"/>
    </row>
    <row r="112" spans="1:59" x14ac:dyDescent="0.2">
      <c r="A112" s="95"/>
      <c r="B112" s="694"/>
      <c r="C112" s="694"/>
      <c r="D112" s="694"/>
      <c r="E112" s="694"/>
      <c r="F112" s="694"/>
      <c r="G112" s="694"/>
      <c r="H112" s="694"/>
      <c r="I112" s="694"/>
      <c r="J112" s="694"/>
      <c r="K112" s="694"/>
      <c r="L112" s="694"/>
      <c r="M112" s="694"/>
      <c r="N112" s="694"/>
      <c r="O112" s="694"/>
      <c r="P112" s="694"/>
      <c r="Q112" s="694"/>
      <c r="R112" s="694"/>
      <c r="S112" s="694"/>
      <c r="T112" s="694"/>
      <c r="U112" s="694"/>
      <c r="V112" s="694"/>
      <c r="W112" s="694"/>
      <c r="X112" s="694"/>
      <c r="Y112" s="694"/>
      <c r="Z112" s="694"/>
      <c r="AA112" s="694"/>
      <c r="AB112" s="694"/>
      <c r="AC112" s="694"/>
      <c r="AE112" s="509"/>
      <c r="AF112" s="694"/>
      <c r="AG112" s="694"/>
      <c r="AH112" s="694"/>
      <c r="AI112" s="694"/>
      <c r="AJ112" s="694"/>
      <c r="AK112" s="694"/>
      <c r="AL112" s="694"/>
      <c r="AM112" s="694"/>
      <c r="AN112" s="694"/>
      <c r="AO112" s="694"/>
      <c r="AP112" s="694"/>
      <c r="AQ112" s="694"/>
      <c r="AR112" s="694"/>
      <c r="AS112" s="694"/>
      <c r="AT112" s="694"/>
      <c r="AU112" s="694"/>
      <c r="AV112" s="694"/>
      <c r="AW112" s="694"/>
      <c r="AX112" s="694"/>
      <c r="AY112" s="694"/>
      <c r="AZ112" s="694"/>
      <c r="BA112" s="694"/>
      <c r="BB112" s="694"/>
      <c r="BC112" s="694"/>
      <c r="BD112" s="694"/>
      <c r="BE112" s="694"/>
      <c r="BF112" s="694"/>
      <c r="BG112" s="694"/>
    </row>
    <row r="113" spans="1:59" x14ac:dyDescent="0.2">
      <c r="A113" s="511" t="s">
        <v>644</v>
      </c>
      <c r="B113" s="694" t="str">
        <f>"«Borc alan» iş və ya ev ünvanını, şəxsiyyət vəsiqəsi məlumatlarını və ya şəxsiyyət vəsiqəsini, məşğul olduğu fəaliyyət sahəsini və ya iş yerini dəyişdiyi hallarda 10 (on) gün müddətinə  «Borc verən»ə yazılı şəkildə məlumat v"&amp;"erməlidir. Müqavilənin  bu tələbinə riayət edilməməsinə görə, habelə «Borc alan»ın biznesinin mahiyyəti mühüm dərəcədə dəyişdikdə  «Borc verən»  vurulmuş ziyanın öd"&amp;"ənilməsi  tələbi ilə çıxış etməklə bərabər, müqaviləyə xitam verməklə əsas  borcu, hesablanmış faizləri və bu müqavilə üzrə digər ödənişləri qabaqcadan vaxtından əvvəl geri tə"&amp;"ləb etmək hüququna malikdir."</f>
        <v>«Borc alan» iş və ya ev ünvanını, şəxsiyyət vəsiqəsi məlumatlarını və ya şəxsiyyət vəsiqəsini, məşğul olduğu fəaliyyət sahəsini və ya iş yerini dəyişdiyi hallarda 10 (on) gün müddətinə  «Borc verən»ə yazılı şəkildə məlumat verməlidir. Müqavilənin  bu tələbinə riayət edilməməsinə görə, habelə «Borc alan»ın biznesinin mahiyyəti mühüm dərəcədə dəyişdikdə  «Borc verən»  vurulmuş ziyanın ödənilməsi  tələbi ilə çıxış etməklə bərabər, müqaviləyə xitam verməklə əsas  borcu, hesablanmış faizləri və bu müqavilə üzrə digər ödənişləri qabaqcadan vaxtından əvvəl geri tələb etmək hüququna malikdir.</v>
      </c>
      <c r="C113" s="694"/>
      <c r="D113" s="694"/>
      <c r="E113" s="694"/>
      <c r="F113" s="694"/>
      <c r="G113" s="694"/>
      <c r="H113" s="694"/>
      <c r="I113" s="694"/>
      <c r="J113" s="694"/>
      <c r="K113" s="694"/>
      <c r="L113" s="694"/>
      <c r="M113" s="694"/>
      <c r="N113" s="694"/>
      <c r="O113" s="694"/>
      <c r="P113" s="694"/>
      <c r="Q113" s="694"/>
      <c r="R113" s="694"/>
      <c r="S113" s="694"/>
      <c r="T113" s="694"/>
      <c r="U113" s="694"/>
      <c r="V113" s="694"/>
      <c r="W113" s="694"/>
      <c r="X113" s="694"/>
      <c r="Y113" s="694"/>
      <c r="Z113" s="694"/>
      <c r="AA113" s="694"/>
      <c r="AB113" s="694"/>
      <c r="AC113" s="694"/>
      <c r="AF113" s="694"/>
      <c r="AG113" s="694"/>
      <c r="AH113" s="694"/>
      <c r="AI113" s="694"/>
      <c r="AJ113" s="694"/>
      <c r="AK113" s="694"/>
      <c r="AL113" s="694"/>
      <c r="AM113" s="694"/>
      <c r="AN113" s="694"/>
      <c r="AO113" s="694"/>
      <c r="AP113" s="694"/>
      <c r="AQ113" s="694"/>
      <c r="AR113" s="694"/>
      <c r="AS113" s="694"/>
      <c r="AT113" s="694"/>
      <c r="AU113" s="694"/>
      <c r="AV113" s="694"/>
      <c r="AW113" s="694"/>
      <c r="AX113" s="694"/>
      <c r="AY113" s="694"/>
      <c r="AZ113" s="694"/>
      <c r="BA113" s="694"/>
      <c r="BB113" s="694"/>
      <c r="BC113" s="694"/>
      <c r="BD113" s="694"/>
      <c r="BE113" s="694"/>
      <c r="BF113" s="694"/>
      <c r="BG113" s="694"/>
    </row>
    <row r="114" spans="1:59" x14ac:dyDescent="0.2">
      <c r="B114" s="694"/>
      <c r="C114" s="694"/>
      <c r="D114" s="694"/>
      <c r="E114" s="694"/>
      <c r="F114" s="694"/>
      <c r="G114" s="694"/>
      <c r="H114" s="694"/>
      <c r="I114" s="694"/>
      <c r="J114" s="694"/>
      <c r="K114" s="694"/>
      <c r="L114" s="694"/>
      <c r="M114" s="694"/>
      <c r="N114" s="694"/>
      <c r="O114" s="694"/>
      <c r="P114" s="694"/>
      <c r="Q114" s="694"/>
      <c r="R114" s="694"/>
      <c r="S114" s="694"/>
      <c r="T114" s="694"/>
      <c r="U114" s="694"/>
      <c r="V114" s="694"/>
      <c r="W114" s="694"/>
      <c r="X114" s="694"/>
      <c r="Y114" s="694"/>
      <c r="Z114" s="694"/>
      <c r="AA114" s="694"/>
      <c r="AB114" s="694"/>
      <c r="AC114" s="694"/>
      <c r="AF114" s="694"/>
      <c r="AG114" s="694"/>
      <c r="AH114" s="694"/>
      <c r="AI114" s="694"/>
      <c r="AJ114" s="694"/>
      <c r="AK114" s="694"/>
      <c r="AL114" s="694"/>
      <c r="AM114" s="694"/>
      <c r="AN114" s="694"/>
      <c r="AO114" s="694"/>
      <c r="AP114" s="694"/>
      <c r="AQ114" s="694"/>
      <c r="AR114" s="694"/>
      <c r="AS114" s="694"/>
      <c r="AT114" s="694"/>
      <c r="AU114" s="694"/>
      <c r="AV114" s="694"/>
      <c r="AW114" s="694"/>
      <c r="AX114" s="694"/>
      <c r="AY114" s="694"/>
      <c r="AZ114" s="694"/>
      <c r="BA114" s="694"/>
      <c r="BB114" s="694"/>
      <c r="BC114" s="694"/>
      <c r="BD114" s="694"/>
      <c r="BE114" s="694"/>
      <c r="BF114" s="694"/>
      <c r="BG114" s="694"/>
    </row>
    <row r="115" spans="1:59" ht="11.25" customHeight="1" x14ac:dyDescent="0.2">
      <c r="B115" s="694"/>
      <c r="C115" s="694"/>
      <c r="D115" s="694"/>
      <c r="E115" s="694"/>
      <c r="F115" s="694"/>
      <c r="G115" s="694"/>
      <c r="H115" s="694"/>
      <c r="I115" s="694"/>
      <c r="J115" s="694"/>
      <c r="K115" s="694"/>
      <c r="L115" s="694"/>
      <c r="M115" s="694"/>
      <c r="N115" s="694"/>
      <c r="O115" s="694"/>
      <c r="P115" s="694"/>
      <c r="Q115" s="694"/>
      <c r="R115" s="694"/>
      <c r="S115" s="694"/>
      <c r="T115" s="694"/>
      <c r="U115" s="694"/>
      <c r="V115" s="694"/>
      <c r="W115" s="694"/>
      <c r="X115" s="694"/>
      <c r="Y115" s="694"/>
      <c r="Z115" s="694"/>
      <c r="AA115" s="694"/>
      <c r="AB115" s="694"/>
      <c r="AC115" s="694"/>
      <c r="AF115" s="694"/>
      <c r="AG115" s="694"/>
      <c r="AH115" s="694"/>
      <c r="AI115" s="694"/>
      <c r="AJ115" s="694"/>
      <c r="AK115" s="694"/>
      <c r="AL115" s="694"/>
      <c r="AM115" s="694"/>
      <c r="AN115" s="694"/>
      <c r="AO115" s="694"/>
      <c r="AP115" s="694"/>
      <c r="AQ115" s="694"/>
      <c r="AR115" s="694"/>
      <c r="AS115" s="694"/>
      <c r="AT115" s="694"/>
      <c r="AU115" s="694"/>
      <c r="AV115" s="694"/>
      <c r="AW115" s="694"/>
      <c r="AX115" s="694"/>
      <c r="AY115" s="694"/>
      <c r="AZ115" s="694"/>
      <c r="BA115" s="694"/>
      <c r="BB115" s="694"/>
      <c r="BC115" s="694"/>
      <c r="BD115" s="694"/>
      <c r="BE115" s="694"/>
      <c r="BF115" s="694"/>
      <c r="BG115" s="694"/>
    </row>
    <row r="116" spans="1:59" ht="11.25" customHeight="1" x14ac:dyDescent="0.2">
      <c r="B116" s="694"/>
      <c r="C116" s="694"/>
      <c r="D116" s="694"/>
      <c r="E116" s="694"/>
      <c r="F116" s="694"/>
      <c r="G116" s="694"/>
      <c r="H116" s="694"/>
      <c r="I116" s="694"/>
      <c r="J116" s="694"/>
      <c r="K116" s="694"/>
      <c r="L116" s="694"/>
      <c r="M116" s="694"/>
      <c r="N116" s="694"/>
      <c r="O116" s="694"/>
      <c r="P116" s="694"/>
      <c r="Q116" s="694"/>
      <c r="R116" s="694"/>
      <c r="S116" s="694"/>
      <c r="T116" s="694"/>
      <c r="U116" s="694"/>
      <c r="V116" s="694"/>
      <c r="W116" s="694"/>
      <c r="X116" s="694"/>
      <c r="Y116" s="694"/>
      <c r="Z116" s="694"/>
      <c r="AA116" s="694"/>
      <c r="AB116" s="694"/>
      <c r="AC116" s="694"/>
      <c r="AE116" s="509" t="s">
        <v>40</v>
      </c>
      <c r="AF116" s="694" t="str">
        <f>"Tərəflər arasında bu müqavilənin icrası ilə bağlı yarana biləcək hər hansı fikir ayrılığı tərəflərin qarşılıqlı razılığı əsasında, belə razılıq əldə edilmədikdə isə Azərbaycan "&amp;"Respublikasının qanunvericiliyinə müvafiq qaydada aidiyyatı məhkəmələr tərəfindən həll edilir."</f>
        <v>Tərəflər arasında bu müqavilənin icrası ilə bağlı yarana biləcək hər hansı fikir ayrılığı tərəflərin qarşılıqlı razılığı əsasında, belə razılıq əldə edilmədikdə isə Azərbaycan Respublikasının qanunvericiliyinə müvafiq qaydada aidiyyatı məhkəmələr tərəfindən həll edilir.</v>
      </c>
      <c r="AG116" s="694"/>
      <c r="AH116" s="694"/>
      <c r="AI116" s="694"/>
      <c r="AJ116" s="694"/>
      <c r="AK116" s="694"/>
      <c r="AL116" s="694"/>
      <c r="AM116" s="694"/>
      <c r="AN116" s="694"/>
      <c r="AO116" s="694"/>
      <c r="AP116" s="694"/>
      <c r="AQ116" s="694"/>
      <c r="AR116" s="694"/>
      <c r="AS116" s="694"/>
      <c r="AT116" s="694"/>
      <c r="AU116" s="694"/>
      <c r="AV116" s="694"/>
      <c r="AW116" s="694"/>
      <c r="AX116" s="694"/>
      <c r="AY116" s="694"/>
      <c r="AZ116" s="694"/>
      <c r="BA116" s="694"/>
      <c r="BB116" s="694"/>
      <c r="BC116" s="694"/>
      <c r="BD116" s="694"/>
      <c r="BE116" s="694"/>
      <c r="BF116" s="694"/>
      <c r="BG116" s="694"/>
    </row>
    <row r="117" spans="1:59" x14ac:dyDescent="0.2">
      <c r="B117" s="694"/>
      <c r="C117" s="694"/>
      <c r="D117" s="694"/>
      <c r="E117" s="694"/>
      <c r="F117" s="694"/>
      <c r="G117" s="694"/>
      <c r="H117" s="694"/>
      <c r="I117" s="694"/>
      <c r="J117" s="694"/>
      <c r="K117" s="694"/>
      <c r="L117" s="694"/>
      <c r="M117" s="694"/>
      <c r="N117" s="694"/>
      <c r="O117" s="694"/>
      <c r="P117" s="694"/>
      <c r="Q117" s="694"/>
      <c r="R117" s="694"/>
      <c r="S117" s="694"/>
      <c r="T117" s="694"/>
      <c r="U117" s="694"/>
      <c r="V117" s="694"/>
      <c r="W117" s="694"/>
      <c r="X117" s="694"/>
      <c r="Y117" s="694"/>
      <c r="Z117" s="694"/>
      <c r="AA117" s="694"/>
      <c r="AB117" s="694"/>
      <c r="AC117" s="694"/>
      <c r="AF117" s="694"/>
      <c r="AG117" s="694"/>
      <c r="AH117" s="694"/>
      <c r="AI117" s="694"/>
      <c r="AJ117" s="694"/>
      <c r="AK117" s="694"/>
      <c r="AL117" s="694"/>
      <c r="AM117" s="694"/>
      <c r="AN117" s="694"/>
      <c r="AO117" s="694"/>
      <c r="AP117" s="694"/>
      <c r="AQ117" s="694"/>
      <c r="AR117" s="694"/>
      <c r="AS117" s="694"/>
      <c r="AT117" s="694"/>
      <c r="AU117" s="694"/>
      <c r="AV117" s="694"/>
      <c r="AW117" s="694"/>
      <c r="AX117" s="694"/>
      <c r="AY117" s="694"/>
      <c r="AZ117" s="694"/>
      <c r="BA117" s="694"/>
      <c r="BB117" s="694"/>
      <c r="BC117" s="694"/>
      <c r="BD117" s="694"/>
      <c r="BE117" s="694"/>
      <c r="BF117" s="694"/>
      <c r="BG117" s="694"/>
    </row>
    <row r="118" spans="1:59" x14ac:dyDescent="0.2">
      <c r="B118" s="694"/>
      <c r="C118" s="694"/>
      <c r="D118" s="694"/>
      <c r="E118" s="694"/>
      <c r="F118" s="694"/>
      <c r="G118" s="694"/>
      <c r="H118" s="694"/>
      <c r="I118" s="694"/>
      <c r="J118" s="694"/>
      <c r="K118" s="694"/>
      <c r="L118" s="694"/>
      <c r="M118" s="694"/>
      <c r="N118" s="694"/>
      <c r="O118" s="694"/>
      <c r="P118" s="694"/>
      <c r="Q118" s="694"/>
      <c r="R118" s="694"/>
      <c r="S118" s="694"/>
      <c r="T118" s="694"/>
      <c r="U118" s="694"/>
      <c r="V118" s="694"/>
      <c r="W118" s="694"/>
      <c r="X118" s="694"/>
      <c r="Y118" s="694"/>
      <c r="Z118" s="694"/>
      <c r="AA118" s="694"/>
      <c r="AB118" s="694"/>
      <c r="AC118" s="694"/>
      <c r="AF118" s="694"/>
      <c r="AG118" s="694"/>
      <c r="AH118" s="694"/>
      <c r="AI118" s="694"/>
      <c r="AJ118" s="694"/>
      <c r="AK118" s="694"/>
      <c r="AL118" s="694"/>
      <c r="AM118" s="694"/>
      <c r="AN118" s="694"/>
      <c r="AO118" s="694"/>
      <c r="AP118" s="694"/>
      <c r="AQ118" s="694"/>
      <c r="AR118" s="694"/>
      <c r="AS118" s="694"/>
      <c r="AT118" s="694"/>
      <c r="AU118" s="694"/>
      <c r="AV118" s="694"/>
      <c r="AW118" s="694"/>
      <c r="AX118" s="694"/>
      <c r="AY118" s="694"/>
      <c r="AZ118" s="694"/>
      <c r="BA118" s="694"/>
      <c r="BB118" s="694"/>
      <c r="BC118" s="694"/>
      <c r="BD118" s="694"/>
      <c r="BE118" s="694"/>
      <c r="BF118" s="694"/>
      <c r="BG118" s="694"/>
    </row>
    <row r="119" spans="1:59" x14ac:dyDescent="0.2">
      <c r="B119" s="694"/>
      <c r="C119" s="694"/>
      <c r="D119" s="694"/>
      <c r="E119" s="694"/>
      <c r="F119" s="694"/>
      <c r="G119" s="694"/>
      <c r="H119" s="694"/>
      <c r="I119" s="694"/>
      <c r="J119" s="694"/>
      <c r="K119" s="694"/>
      <c r="L119" s="694"/>
      <c r="M119" s="694"/>
      <c r="N119" s="694"/>
      <c r="O119" s="694"/>
      <c r="P119" s="694"/>
      <c r="Q119" s="694"/>
      <c r="R119" s="694"/>
      <c r="S119" s="694"/>
      <c r="T119" s="694"/>
      <c r="U119" s="694"/>
      <c r="V119" s="694"/>
      <c r="W119" s="694"/>
      <c r="X119" s="694"/>
      <c r="Y119" s="694"/>
      <c r="Z119" s="694"/>
      <c r="AA119" s="694"/>
      <c r="AB119" s="694"/>
      <c r="AC119" s="694"/>
      <c r="AF119" s="694"/>
      <c r="AG119" s="694"/>
      <c r="AH119" s="694"/>
      <c r="AI119" s="694"/>
      <c r="AJ119" s="694"/>
      <c r="AK119" s="694"/>
      <c r="AL119" s="694"/>
      <c r="AM119" s="694"/>
      <c r="AN119" s="694"/>
      <c r="AO119" s="694"/>
      <c r="AP119" s="694"/>
      <c r="AQ119" s="694"/>
      <c r="AR119" s="694"/>
      <c r="AS119" s="694"/>
      <c r="AT119" s="694"/>
      <c r="AU119" s="694"/>
      <c r="AV119" s="694"/>
      <c r="AW119" s="694"/>
      <c r="AX119" s="694"/>
      <c r="AY119" s="694"/>
      <c r="AZ119" s="694"/>
      <c r="BA119" s="694"/>
      <c r="BB119" s="694"/>
      <c r="BC119" s="694"/>
      <c r="BD119" s="694"/>
      <c r="BE119" s="694"/>
      <c r="BF119" s="694"/>
      <c r="BG119" s="694"/>
    </row>
    <row r="120" spans="1:59" x14ac:dyDescent="0.2">
      <c r="B120" s="694"/>
      <c r="C120" s="694"/>
      <c r="D120" s="694"/>
      <c r="E120" s="694"/>
      <c r="F120" s="694"/>
      <c r="G120" s="694"/>
      <c r="H120" s="694"/>
      <c r="I120" s="694"/>
      <c r="J120" s="694"/>
      <c r="K120" s="694"/>
      <c r="L120" s="694"/>
      <c r="M120" s="694"/>
      <c r="N120" s="694"/>
      <c r="O120" s="694"/>
      <c r="P120" s="694"/>
      <c r="Q120" s="694"/>
      <c r="R120" s="694"/>
      <c r="S120" s="694"/>
      <c r="T120" s="694"/>
      <c r="U120" s="694"/>
      <c r="V120" s="694"/>
      <c r="W120" s="694"/>
      <c r="X120" s="694"/>
      <c r="Y120" s="694"/>
      <c r="Z120" s="694"/>
      <c r="AA120" s="694"/>
      <c r="AB120" s="694"/>
      <c r="AC120" s="694"/>
      <c r="AF120" s="694"/>
      <c r="AG120" s="694"/>
      <c r="AH120" s="694"/>
      <c r="AI120" s="694"/>
      <c r="AJ120" s="694"/>
      <c r="AK120" s="694"/>
      <c r="AL120" s="694"/>
      <c r="AM120" s="694"/>
      <c r="AN120" s="694"/>
      <c r="AO120" s="694"/>
      <c r="AP120" s="694"/>
      <c r="AQ120" s="694"/>
      <c r="AR120" s="694"/>
      <c r="AS120" s="694"/>
      <c r="AT120" s="694"/>
      <c r="AU120" s="694"/>
      <c r="AV120" s="694"/>
      <c r="AW120" s="694"/>
      <c r="AX120" s="694"/>
      <c r="AY120" s="694"/>
      <c r="AZ120" s="694"/>
      <c r="BA120" s="694"/>
      <c r="BB120" s="694"/>
      <c r="BC120" s="694"/>
      <c r="BD120" s="694"/>
      <c r="BE120" s="694"/>
      <c r="BF120" s="694"/>
      <c r="BG120" s="694"/>
    </row>
    <row r="121" spans="1:59" x14ac:dyDescent="0.2">
      <c r="B121" s="694"/>
      <c r="C121" s="694"/>
      <c r="D121" s="694"/>
      <c r="E121" s="694"/>
      <c r="F121" s="694"/>
      <c r="G121" s="694"/>
      <c r="H121" s="694"/>
      <c r="I121" s="694"/>
      <c r="J121" s="694"/>
      <c r="K121" s="694"/>
      <c r="L121" s="694"/>
      <c r="M121" s="694"/>
      <c r="N121" s="694"/>
      <c r="O121" s="694"/>
      <c r="P121" s="694"/>
      <c r="Q121" s="694"/>
      <c r="R121" s="694"/>
      <c r="S121" s="694"/>
      <c r="T121" s="694"/>
      <c r="U121" s="694"/>
      <c r="V121" s="694"/>
      <c r="W121" s="694"/>
      <c r="X121" s="694"/>
      <c r="Y121" s="694"/>
      <c r="Z121" s="694"/>
      <c r="AA121" s="694"/>
      <c r="AB121" s="694"/>
      <c r="AC121" s="694"/>
      <c r="AE121" s="695" t="s">
        <v>854</v>
      </c>
      <c r="AF121" s="695"/>
      <c r="AG121" s="695"/>
      <c r="AH121" s="695"/>
      <c r="AI121" s="695"/>
      <c r="AJ121" s="695"/>
      <c r="AK121" s="695"/>
      <c r="AL121" s="695"/>
      <c r="AM121" s="695"/>
      <c r="AN121" s="695"/>
      <c r="AO121" s="695"/>
      <c r="AP121" s="695"/>
      <c r="AQ121" s="695"/>
      <c r="AR121" s="695"/>
      <c r="AS121" s="695"/>
      <c r="AT121" s="695"/>
      <c r="AU121" s="695"/>
      <c r="AV121" s="695"/>
      <c r="AW121" s="695"/>
      <c r="AX121" s="695"/>
      <c r="AY121" s="695"/>
      <c r="AZ121" s="695"/>
      <c r="BA121" s="695"/>
      <c r="BB121" s="695"/>
      <c r="BC121" s="695"/>
      <c r="BD121" s="695"/>
      <c r="BE121" s="695"/>
      <c r="BF121" s="695"/>
      <c r="BG121" s="505"/>
    </row>
    <row r="122" spans="1:59" ht="14.25" customHeight="1" x14ac:dyDescent="0.2">
      <c r="A122" s="507" t="s">
        <v>645</v>
      </c>
      <c r="B122" s="694" t="s">
        <v>446</v>
      </c>
      <c r="C122" s="694"/>
      <c r="D122" s="694"/>
      <c r="E122" s="694"/>
      <c r="F122" s="694"/>
      <c r="G122" s="694"/>
      <c r="H122" s="694"/>
      <c r="I122" s="694"/>
      <c r="J122" s="694"/>
      <c r="K122" s="694"/>
      <c r="L122" s="694"/>
      <c r="M122" s="694"/>
      <c r="N122" s="694"/>
      <c r="O122" s="694"/>
      <c r="P122" s="694"/>
      <c r="Q122" s="694"/>
      <c r="R122" s="694"/>
      <c r="S122" s="694"/>
      <c r="T122" s="694"/>
      <c r="U122" s="694"/>
      <c r="V122" s="694"/>
      <c r="W122" s="694"/>
      <c r="X122" s="694"/>
      <c r="Y122" s="694"/>
      <c r="Z122" s="694"/>
      <c r="AA122" s="694"/>
      <c r="AB122" s="694"/>
      <c r="AC122" s="694"/>
      <c r="AE122" s="507"/>
      <c r="AF122" s="507"/>
      <c r="AG122" s="507"/>
      <c r="AH122" s="507"/>
      <c r="AI122" s="507"/>
      <c r="AJ122" s="507"/>
      <c r="AK122" s="507"/>
      <c r="AL122" s="507"/>
      <c r="AM122" s="507"/>
      <c r="AN122" s="507"/>
      <c r="AO122" s="507"/>
      <c r="AP122" s="507"/>
      <c r="AQ122" s="507"/>
      <c r="AR122" s="507"/>
      <c r="AS122" s="507"/>
      <c r="AT122" s="507"/>
      <c r="AU122" s="507"/>
      <c r="AV122" s="507"/>
      <c r="AW122" s="507"/>
      <c r="AX122" s="507"/>
      <c r="AY122" s="507"/>
      <c r="AZ122" s="507"/>
      <c r="BA122" s="507"/>
      <c r="BB122" s="507"/>
      <c r="BC122" s="507"/>
      <c r="BD122" s="507"/>
      <c r="BE122" s="507"/>
      <c r="BF122" s="507"/>
      <c r="BG122" s="505"/>
    </row>
    <row r="123" spans="1:59" x14ac:dyDescent="0.2">
      <c r="B123" s="694"/>
      <c r="C123" s="694"/>
      <c r="D123" s="694"/>
      <c r="E123" s="694"/>
      <c r="F123" s="694"/>
      <c r="G123" s="694"/>
      <c r="H123" s="694"/>
      <c r="I123" s="694"/>
      <c r="J123" s="694"/>
      <c r="K123" s="694"/>
      <c r="L123" s="694"/>
      <c r="M123" s="694"/>
      <c r="N123" s="694"/>
      <c r="O123" s="694"/>
      <c r="P123" s="694"/>
      <c r="Q123" s="694"/>
      <c r="R123" s="694"/>
      <c r="S123" s="694"/>
      <c r="T123" s="694"/>
      <c r="U123" s="694"/>
      <c r="V123" s="694"/>
      <c r="W123" s="694"/>
      <c r="X123" s="694"/>
      <c r="Y123" s="694"/>
      <c r="Z123" s="694"/>
      <c r="AA123" s="694"/>
      <c r="AB123" s="694"/>
      <c r="AC123" s="694"/>
      <c r="AE123" s="509" t="s">
        <v>855</v>
      </c>
      <c r="AF123" s="694" t="s">
        <v>447</v>
      </c>
      <c r="AG123" s="694"/>
      <c r="AH123" s="694"/>
      <c r="AI123" s="694"/>
      <c r="AJ123" s="694"/>
      <c r="AK123" s="694"/>
      <c r="AL123" s="694"/>
      <c r="AM123" s="694"/>
      <c r="AN123" s="694"/>
      <c r="AO123" s="694"/>
      <c r="AP123" s="694"/>
      <c r="AQ123" s="694"/>
      <c r="AR123" s="694"/>
      <c r="AS123" s="694"/>
      <c r="AT123" s="694"/>
      <c r="AU123" s="694"/>
      <c r="AV123" s="694"/>
      <c r="AW123" s="694"/>
      <c r="AX123" s="694"/>
      <c r="AY123" s="694"/>
      <c r="AZ123" s="694"/>
      <c r="BA123" s="694"/>
      <c r="BB123" s="694"/>
      <c r="BC123" s="694"/>
      <c r="BD123" s="694"/>
      <c r="BE123" s="694"/>
      <c r="BF123" s="694"/>
      <c r="BG123" s="694"/>
    </row>
    <row r="124" spans="1:59" x14ac:dyDescent="0.2">
      <c r="A124" s="507" t="s">
        <v>41</v>
      </c>
      <c r="B124" s="694" t="str">
        <f>"Tərəflər razılaşırlar ki, «Borc alan» tərəfindən yubatma və ya krediti qaytarmaqdan imtina ilə əlaqədar  «Borc verən» tərəfindən çəkilən  bütün xərclər «Borc alan» tərəfindən"&amp;" ödənilməlidir. Bu xərclərə məhkəməyə müraciət etmək üçün ödənilən dövlət rüsumu, nümayəndəlik xərcləri, o cümlədən  «Borc verən»in nümayəndəsi ilə bağlı olan ezamiyyə, nəqliyyat və digər xərclər, məhkəmə qərarlarının icrası ilə bağlı bütün "&amp;"xərclər, «Borc alan»la yazışmaya sərf edilən poçt xərcləri, tələbin müqavilə üzrə nəzərdə tutulan hər hansı bir təminata yönəldilməsi ilə ə"&amp;"laqədar meydana çıxan bütün xərclər də daxildir, lakin xərclər bununla məhdudlaşmır."</f>
        <v>Tərəflər razılaşırlar ki, «Borc alan» tərəfindən yubatma və ya krediti qaytarmaqdan imtina ilə əlaqədar  «Borc verən» tərəfindən çəkilən  bütün xərclər «Borc alan» tərəfindən ödənilməlidir. Bu xərclərə məhkəməyə müraciət etmək üçün ödənilən dövlət rüsumu, nümayəndəlik xərcləri, o cümlədən  «Borc verən»in nümayəndəsi ilə bağlı olan ezamiyyə, nəqliyyat və digər xərclər, məhkəmə qərarlarının icrası ilə bağlı bütün xərclər, «Borc alan»la yazışmaya sərf edilən poçt xərcləri, tələbin müqavilə üzrə nəzərdə tutulan hər hansı bir təminata yönəldilməsi ilə əlaqədar meydana çıxan bütün xərclər də daxildir, lakin xərclər bununla məhdudlaşmır.</v>
      </c>
      <c r="C124" s="694"/>
      <c r="D124" s="694"/>
      <c r="E124" s="694"/>
      <c r="F124" s="694"/>
      <c r="G124" s="694"/>
      <c r="H124" s="694"/>
      <c r="I124" s="694"/>
      <c r="J124" s="694"/>
      <c r="K124" s="694"/>
      <c r="L124" s="694"/>
      <c r="M124" s="694"/>
      <c r="N124" s="694"/>
      <c r="O124" s="694"/>
      <c r="P124" s="694"/>
      <c r="Q124" s="694"/>
      <c r="R124" s="694"/>
      <c r="S124" s="694"/>
      <c r="T124" s="694"/>
      <c r="U124" s="694"/>
      <c r="V124" s="694"/>
      <c r="W124" s="694"/>
      <c r="X124" s="694"/>
      <c r="Y124" s="694"/>
      <c r="Z124" s="694"/>
      <c r="AA124" s="694"/>
      <c r="AB124" s="694"/>
      <c r="AC124" s="694"/>
      <c r="AF124" s="694"/>
      <c r="AG124" s="694"/>
      <c r="AH124" s="694"/>
      <c r="AI124" s="694"/>
      <c r="AJ124" s="694"/>
      <c r="AK124" s="694"/>
      <c r="AL124" s="694"/>
      <c r="AM124" s="694"/>
      <c r="AN124" s="694"/>
      <c r="AO124" s="694"/>
      <c r="AP124" s="694"/>
      <c r="AQ124" s="694"/>
      <c r="AR124" s="694"/>
      <c r="AS124" s="694"/>
      <c r="AT124" s="694"/>
      <c r="AU124" s="694"/>
      <c r="AV124" s="694"/>
      <c r="AW124" s="694"/>
      <c r="AX124" s="694"/>
      <c r="AY124" s="694"/>
      <c r="AZ124" s="694"/>
      <c r="BA124" s="694"/>
      <c r="BB124" s="694"/>
      <c r="BC124" s="694"/>
      <c r="BD124" s="694"/>
      <c r="BE124" s="694"/>
      <c r="BF124" s="694"/>
      <c r="BG124" s="694"/>
    </row>
    <row r="125" spans="1:59" x14ac:dyDescent="0.2">
      <c r="B125" s="694"/>
      <c r="C125" s="694"/>
      <c r="D125" s="694"/>
      <c r="E125" s="694"/>
      <c r="F125" s="694"/>
      <c r="G125" s="694"/>
      <c r="H125" s="694"/>
      <c r="I125" s="694"/>
      <c r="J125" s="694"/>
      <c r="K125" s="694"/>
      <c r="L125" s="694"/>
      <c r="M125" s="694"/>
      <c r="N125" s="694"/>
      <c r="O125" s="694"/>
      <c r="P125" s="694"/>
      <c r="Q125" s="694"/>
      <c r="R125" s="694"/>
      <c r="S125" s="694"/>
      <c r="T125" s="694"/>
      <c r="U125" s="694"/>
      <c r="V125" s="694"/>
      <c r="W125" s="694"/>
      <c r="X125" s="694"/>
      <c r="Y125" s="694"/>
      <c r="Z125" s="694"/>
      <c r="AA125" s="694"/>
      <c r="AB125" s="694"/>
      <c r="AC125" s="694"/>
      <c r="AE125" s="95"/>
      <c r="AF125" s="694"/>
      <c r="AG125" s="694"/>
      <c r="AH125" s="694"/>
      <c r="AI125" s="694"/>
      <c r="AJ125" s="694"/>
      <c r="AK125" s="694"/>
      <c r="AL125" s="694"/>
      <c r="AM125" s="694"/>
      <c r="AN125" s="694"/>
      <c r="AO125" s="694"/>
      <c r="AP125" s="694"/>
      <c r="AQ125" s="694"/>
      <c r="AR125" s="694"/>
      <c r="AS125" s="694"/>
      <c r="AT125" s="694"/>
      <c r="AU125" s="694"/>
      <c r="AV125" s="694"/>
      <c r="AW125" s="694"/>
      <c r="AX125" s="694"/>
      <c r="AY125" s="694"/>
      <c r="AZ125" s="694"/>
      <c r="BA125" s="694"/>
      <c r="BB125" s="694"/>
      <c r="BC125" s="694"/>
      <c r="BD125" s="694"/>
      <c r="BE125" s="694"/>
      <c r="BF125" s="694"/>
      <c r="BG125" s="694"/>
    </row>
    <row r="126" spans="1:59" x14ac:dyDescent="0.2">
      <c r="B126" s="694"/>
      <c r="C126" s="694"/>
      <c r="D126" s="694"/>
      <c r="E126" s="694"/>
      <c r="F126" s="694"/>
      <c r="G126" s="694"/>
      <c r="H126" s="694"/>
      <c r="I126" s="694"/>
      <c r="J126" s="694"/>
      <c r="K126" s="694"/>
      <c r="L126" s="694"/>
      <c r="M126" s="694"/>
      <c r="N126" s="694"/>
      <c r="O126" s="694"/>
      <c r="P126" s="694"/>
      <c r="Q126" s="694"/>
      <c r="R126" s="694"/>
      <c r="S126" s="694"/>
      <c r="T126" s="694"/>
      <c r="U126" s="694"/>
      <c r="V126" s="694"/>
      <c r="W126" s="694"/>
      <c r="X126" s="694"/>
      <c r="Y126" s="694"/>
      <c r="Z126" s="694"/>
      <c r="AA126" s="694"/>
      <c r="AB126" s="694"/>
      <c r="AC126" s="694"/>
      <c r="AE126" s="509" t="s">
        <v>856</v>
      </c>
      <c r="AF126" s="694" t="s">
        <v>36</v>
      </c>
      <c r="AG126" s="694"/>
      <c r="AH126" s="694"/>
      <c r="AI126" s="694"/>
      <c r="AJ126" s="694"/>
      <c r="AK126" s="694"/>
      <c r="AL126" s="694"/>
      <c r="AM126" s="694"/>
      <c r="AN126" s="694"/>
      <c r="AO126" s="694"/>
      <c r="AP126" s="694"/>
      <c r="AQ126" s="694"/>
      <c r="AR126" s="694"/>
      <c r="AS126" s="694"/>
      <c r="AT126" s="694"/>
      <c r="AU126" s="694"/>
      <c r="AV126" s="694"/>
      <c r="AW126" s="694"/>
      <c r="AX126" s="694"/>
      <c r="AY126" s="694"/>
      <c r="AZ126" s="694"/>
      <c r="BA126" s="694"/>
      <c r="BB126" s="694"/>
      <c r="BC126" s="694"/>
      <c r="BD126" s="694"/>
      <c r="BE126" s="694"/>
      <c r="BF126" s="694"/>
      <c r="BG126" s="694"/>
    </row>
    <row r="127" spans="1:59" ht="11.25" customHeight="1" x14ac:dyDescent="0.2">
      <c r="B127" s="694"/>
      <c r="C127" s="694"/>
      <c r="D127" s="694"/>
      <c r="E127" s="694"/>
      <c r="F127" s="694"/>
      <c r="G127" s="694"/>
      <c r="H127" s="694"/>
      <c r="I127" s="694"/>
      <c r="J127" s="694"/>
      <c r="K127" s="694"/>
      <c r="L127" s="694"/>
      <c r="M127" s="694"/>
      <c r="N127" s="694"/>
      <c r="O127" s="694"/>
      <c r="P127" s="694"/>
      <c r="Q127" s="694"/>
      <c r="R127" s="694"/>
      <c r="S127" s="694"/>
      <c r="T127" s="694"/>
      <c r="U127" s="694"/>
      <c r="V127" s="694"/>
      <c r="W127" s="694"/>
      <c r="X127" s="694"/>
      <c r="Y127" s="694"/>
      <c r="Z127" s="694"/>
      <c r="AA127" s="694"/>
      <c r="AB127" s="694"/>
      <c r="AC127" s="694"/>
      <c r="AE127" s="509"/>
      <c r="AF127" s="694"/>
      <c r="AG127" s="694"/>
      <c r="AH127" s="694"/>
      <c r="AI127" s="694"/>
      <c r="AJ127" s="694"/>
      <c r="AK127" s="694"/>
      <c r="AL127" s="694"/>
      <c r="AM127" s="694"/>
      <c r="AN127" s="694"/>
      <c r="AO127" s="694"/>
      <c r="AP127" s="694"/>
      <c r="AQ127" s="694"/>
      <c r="AR127" s="694"/>
      <c r="AS127" s="694"/>
      <c r="AT127" s="694"/>
      <c r="AU127" s="694"/>
      <c r="AV127" s="694"/>
      <c r="AW127" s="694"/>
      <c r="AX127" s="694"/>
      <c r="AY127" s="694"/>
      <c r="AZ127" s="694"/>
      <c r="BA127" s="694"/>
      <c r="BB127" s="694"/>
      <c r="BC127" s="694"/>
      <c r="BD127" s="694"/>
      <c r="BE127" s="694"/>
      <c r="BF127" s="694"/>
      <c r="BG127" s="694"/>
    </row>
    <row r="128" spans="1:59" x14ac:dyDescent="0.2">
      <c r="B128" s="694"/>
      <c r="C128" s="694"/>
      <c r="D128" s="694"/>
      <c r="E128" s="694"/>
      <c r="F128" s="694"/>
      <c r="G128" s="694"/>
      <c r="H128" s="694"/>
      <c r="I128" s="694"/>
      <c r="J128" s="694"/>
      <c r="K128" s="694"/>
      <c r="L128" s="694"/>
      <c r="M128" s="694"/>
      <c r="N128" s="694"/>
      <c r="O128" s="694"/>
      <c r="P128" s="694"/>
      <c r="Q128" s="694"/>
      <c r="R128" s="694"/>
      <c r="S128" s="694"/>
      <c r="T128" s="694"/>
      <c r="U128" s="694"/>
      <c r="V128" s="694"/>
      <c r="W128" s="694"/>
      <c r="X128" s="694"/>
      <c r="Y128" s="694"/>
      <c r="Z128" s="694"/>
      <c r="AA128" s="694"/>
      <c r="AB128" s="694"/>
      <c r="AC128" s="694"/>
      <c r="AF128" s="694"/>
      <c r="AG128" s="694"/>
      <c r="AH128" s="694"/>
      <c r="AI128" s="694"/>
      <c r="AJ128" s="694"/>
      <c r="AK128" s="694"/>
      <c r="AL128" s="694"/>
      <c r="AM128" s="694"/>
      <c r="AN128" s="694"/>
      <c r="AO128" s="694"/>
      <c r="AP128" s="694"/>
      <c r="AQ128" s="694"/>
      <c r="AR128" s="694"/>
      <c r="AS128" s="694"/>
      <c r="AT128" s="694"/>
      <c r="AU128" s="694"/>
      <c r="AV128" s="694"/>
      <c r="AW128" s="694"/>
      <c r="AX128" s="694"/>
      <c r="AY128" s="694"/>
      <c r="AZ128" s="694"/>
      <c r="BA128" s="694"/>
      <c r="BB128" s="694"/>
      <c r="BC128" s="694"/>
      <c r="BD128" s="694"/>
      <c r="BE128" s="694"/>
      <c r="BF128" s="694"/>
      <c r="BG128" s="694"/>
    </row>
    <row r="129" spans="1:59" x14ac:dyDescent="0.2">
      <c r="B129" s="694"/>
      <c r="C129" s="694"/>
      <c r="D129" s="694"/>
      <c r="E129" s="694"/>
      <c r="F129" s="694"/>
      <c r="G129" s="694"/>
      <c r="H129" s="694"/>
      <c r="I129" s="694"/>
      <c r="J129" s="694"/>
      <c r="K129" s="694"/>
      <c r="L129" s="694"/>
      <c r="M129" s="694"/>
      <c r="N129" s="694"/>
      <c r="O129" s="694"/>
      <c r="P129" s="694"/>
      <c r="Q129" s="694"/>
      <c r="R129" s="694"/>
      <c r="S129" s="694"/>
      <c r="T129" s="694"/>
      <c r="U129" s="694"/>
      <c r="V129" s="694"/>
      <c r="W129" s="694"/>
      <c r="X129" s="694"/>
      <c r="Y129" s="694"/>
      <c r="Z129" s="694"/>
      <c r="AA129" s="694"/>
      <c r="AB129" s="694"/>
      <c r="AC129" s="694"/>
      <c r="AF129" s="694"/>
      <c r="AG129" s="694"/>
      <c r="AH129" s="694"/>
      <c r="AI129" s="694"/>
      <c r="AJ129" s="694"/>
      <c r="AK129" s="694"/>
      <c r="AL129" s="694"/>
      <c r="AM129" s="694"/>
      <c r="AN129" s="694"/>
      <c r="AO129" s="694"/>
      <c r="AP129" s="694"/>
      <c r="AQ129" s="694"/>
      <c r="AR129" s="694"/>
      <c r="AS129" s="694"/>
      <c r="AT129" s="694"/>
      <c r="AU129" s="694"/>
      <c r="AV129" s="694"/>
      <c r="AW129" s="694"/>
      <c r="AX129" s="694"/>
      <c r="AY129" s="694"/>
      <c r="AZ129" s="694"/>
      <c r="BA129" s="694"/>
      <c r="BB129" s="694"/>
      <c r="BC129" s="694"/>
      <c r="BD129" s="694"/>
      <c r="BE129" s="694"/>
      <c r="BF129" s="694"/>
      <c r="BG129" s="694"/>
    </row>
    <row r="130" spans="1:59" ht="11.25" customHeight="1" x14ac:dyDescent="0.2">
      <c r="B130" s="694"/>
      <c r="C130" s="694"/>
      <c r="D130" s="694"/>
      <c r="E130" s="694"/>
      <c r="F130" s="694"/>
      <c r="G130" s="694"/>
      <c r="H130" s="694"/>
      <c r="I130" s="694"/>
      <c r="J130" s="694"/>
      <c r="K130" s="694"/>
      <c r="L130" s="694"/>
      <c r="M130" s="694"/>
      <c r="N130" s="694"/>
      <c r="O130" s="694"/>
      <c r="P130" s="694"/>
      <c r="Q130" s="694"/>
      <c r="R130" s="694"/>
      <c r="S130" s="694"/>
      <c r="T130" s="694"/>
      <c r="U130" s="694"/>
      <c r="V130" s="694"/>
      <c r="W130" s="694"/>
      <c r="X130" s="694"/>
      <c r="Y130" s="694"/>
      <c r="Z130" s="694"/>
      <c r="AA130" s="694"/>
      <c r="AB130" s="694"/>
      <c r="AC130" s="694"/>
      <c r="AE130" s="92" t="s">
        <v>857</v>
      </c>
      <c r="AF130" s="694" t="s">
        <v>417</v>
      </c>
      <c r="AG130" s="694"/>
      <c r="AH130" s="694"/>
      <c r="AI130" s="694"/>
      <c r="AJ130" s="694"/>
      <c r="AK130" s="694"/>
      <c r="AL130" s="694"/>
      <c r="AM130" s="694"/>
      <c r="AN130" s="694"/>
      <c r="AO130" s="694"/>
      <c r="AP130" s="694"/>
      <c r="AQ130" s="694"/>
      <c r="AR130" s="694"/>
      <c r="AS130" s="694"/>
      <c r="AT130" s="694"/>
      <c r="AU130" s="694"/>
      <c r="AV130" s="694"/>
      <c r="AW130" s="694"/>
      <c r="AX130" s="694"/>
      <c r="AY130" s="694"/>
      <c r="AZ130" s="694"/>
      <c r="BA130" s="694"/>
      <c r="BB130" s="694"/>
      <c r="BC130" s="694"/>
      <c r="BD130" s="694"/>
      <c r="BE130" s="694"/>
      <c r="BF130" s="694"/>
      <c r="BG130" s="694"/>
    </row>
    <row r="131" spans="1:59" x14ac:dyDescent="0.2">
      <c r="B131" s="694"/>
      <c r="C131" s="694"/>
      <c r="D131" s="694"/>
      <c r="E131" s="694"/>
      <c r="F131" s="694"/>
      <c r="G131" s="694"/>
      <c r="H131" s="694"/>
      <c r="I131" s="694"/>
      <c r="J131" s="694"/>
      <c r="K131" s="694"/>
      <c r="L131" s="694"/>
      <c r="M131" s="694"/>
      <c r="N131" s="694"/>
      <c r="O131" s="694"/>
      <c r="P131" s="694"/>
      <c r="Q131" s="694"/>
      <c r="R131" s="694"/>
      <c r="S131" s="694"/>
      <c r="T131" s="694"/>
      <c r="U131" s="694"/>
      <c r="V131" s="694"/>
      <c r="W131" s="694"/>
      <c r="X131" s="694"/>
      <c r="Y131" s="694"/>
      <c r="Z131" s="694"/>
      <c r="AA131" s="694"/>
      <c r="AB131" s="694"/>
      <c r="AC131" s="694"/>
      <c r="AE131" s="92"/>
      <c r="AF131" s="694"/>
      <c r="AG131" s="694"/>
      <c r="AH131" s="694"/>
      <c r="AI131" s="694"/>
      <c r="AJ131" s="694"/>
      <c r="AK131" s="694"/>
      <c r="AL131" s="694"/>
      <c r="AM131" s="694"/>
      <c r="AN131" s="694"/>
      <c r="AO131" s="694"/>
      <c r="AP131" s="694"/>
      <c r="AQ131" s="694"/>
      <c r="AR131" s="694"/>
      <c r="AS131" s="694"/>
      <c r="AT131" s="694"/>
      <c r="AU131" s="694"/>
      <c r="AV131" s="694"/>
      <c r="AW131" s="694"/>
      <c r="AX131" s="694"/>
      <c r="AY131" s="694"/>
      <c r="AZ131" s="694"/>
      <c r="BA131" s="694"/>
      <c r="BB131" s="694"/>
      <c r="BC131" s="694"/>
      <c r="BD131" s="694"/>
      <c r="BE131" s="694"/>
      <c r="BF131" s="694"/>
      <c r="BG131" s="694"/>
    </row>
    <row r="132" spans="1:59" x14ac:dyDescent="0.2">
      <c r="B132" s="694"/>
      <c r="C132" s="694"/>
      <c r="D132" s="694"/>
      <c r="E132" s="694"/>
      <c r="F132" s="694"/>
      <c r="G132" s="694"/>
      <c r="H132" s="694"/>
      <c r="I132" s="694"/>
      <c r="J132" s="694"/>
      <c r="K132" s="694"/>
      <c r="L132" s="694"/>
      <c r="M132" s="694"/>
      <c r="N132" s="694"/>
      <c r="O132" s="694"/>
      <c r="P132" s="694"/>
      <c r="Q132" s="694"/>
      <c r="R132" s="694"/>
      <c r="S132" s="694"/>
      <c r="T132" s="694"/>
      <c r="U132" s="694"/>
      <c r="V132" s="694"/>
      <c r="W132" s="694"/>
      <c r="X132" s="694"/>
      <c r="Y132" s="694"/>
      <c r="Z132" s="694"/>
      <c r="AA132" s="694"/>
      <c r="AB132" s="694"/>
      <c r="AC132" s="694"/>
      <c r="AF132" s="694"/>
      <c r="AG132" s="694"/>
      <c r="AH132" s="694"/>
      <c r="AI132" s="694"/>
      <c r="AJ132" s="694"/>
      <c r="AK132" s="694"/>
      <c r="AL132" s="694"/>
      <c r="AM132" s="694"/>
      <c r="AN132" s="694"/>
      <c r="AO132" s="694"/>
      <c r="AP132" s="694"/>
      <c r="AQ132" s="694"/>
      <c r="AR132" s="694"/>
      <c r="AS132" s="694"/>
      <c r="AT132" s="694"/>
      <c r="AU132" s="694"/>
      <c r="AV132" s="694"/>
      <c r="AW132" s="694"/>
      <c r="AX132" s="694"/>
      <c r="AY132" s="694"/>
      <c r="AZ132" s="694"/>
      <c r="BA132" s="694"/>
      <c r="BB132" s="694"/>
      <c r="BC132" s="694"/>
      <c r="BD132" s="694"/>
      <c r="BE132" s="694"/>
      <c r="BF132" s="694"/>
      <c r="BG132" s="694"/>
    </row>
    <row r="133" spans="1:59" x14ac:dyDescent="0.2">
      <c r="AD133" s="87"/>
      <c r="AF133" s="694"/>
      <c r="AG133" s="694"/>
      <c r="AH133" s="694"/>
      <c r="AI133" s="694"/>
      <c r="AJ133" s="694"/>
      <c r="AK133" s="694"/>
      <c r="AL133" s="694"/>
      <c r="AM133" s="694"/>
      <c r="AN133" s="694"/>
      <c r="AO133" s="694"/>
      <c r="AP133" s="694"/>
      <c r="AQ133" s="694"/>
      <c r="AR133" s="694"/>
      <c r="AS133" s="694"/>
      <c r="AT133" s="694"/>
      <c r="AU133" s="694"/>
      <c r="AV133" s="694"/>
      <c r="AW133" s="694"/>
      <c r="AX133" s="694"/>
      <c r="AY133" s="694"/>
      <c r="AZ133" s="694"/>
      <c r="BA133" s="694"/>
      <c r="BB133" s="694"/>
      <c r="BC133" s="694"/>
      <c r="BD133" s="694"/>
      <c r="BE133" s="694"/>
      <c r="BF133" s="694"/>
      <c r="BG133" s="694"/>
    </row>
    <row r="134" spans="1:59" ht="11.25" customHeight="1" x14ac:dyDescent="0.2">
      <c r="AD134" s="87"/>
      <c r="AF134" s="519"/>
      <c r="AG134" s="519"/>
    </row>
    <row r="135" spans="1:59" ht="11.25" customHeight="1" x14ac:dyDescent="0.2">
      <c r="A135" s="720" t="s">
        <v>35</v>
      </c>
      <c r="B135" s="720"/>
      <c r="C135" s="720"/>
      <c r="D135" s="720"/>
      <c r="E135" s="720"/>
      <c r="F135" s="720"/>
      <c r="G135" s="720"/>
      <c r="H135" s="720"/>
      <c r="I135" s="720"/>
      <c r="J135" s="720"/>
      <c r="K135" s="720"/>
      <c r="L135" s="720"/>
      <c r="M135" s="720"/>
      <c r="N135" s="720"/>
      <c r="O135" s="720"/>
      <c r="P135" s="720"/>
      <c r="Q135" s="720"/>
      <c r="R135" s="720"/>
      <c r="S135" s="720"/>
      <c r="T135" s="720"/>
      <c r="U135" s="720"/>
      <c r="V135" s="720"/>
      <c r="W135" s="720"/>
      <c r="X135" s="720"/>
      <c r="Y135" s="720"/>
      <c r="Z135" s="720"/>
      <c r="AA135" s="720"/>
      <c r="AB135" s="720"/>
      <c r="AC135" s="720"/>
      <c r="AD135" s="720"/>
      <c r="AE135" s="720"/>
      <c r="AF135" s="720"/>
      <c r="AG135" s="720"/>
      <c r="AH135" s="720"/>
      <c r="AI135" s="720"/>
      <c r="AJ135" s="720"/>
      <c r="AK135" s="720"/>
      <c r="AL135" s="720"/>
      <c r="AM135" s="720"/>
      <c r="AN135" s="720"/>
      <c r="AO135" s="720"/>
      <c r="AP135" s="720"/>
      <c r="AQ135" s="720"/>
      <c r="AR135" s="720"/>
      <c r="AS135" s="720"/>
      <c r="AT135" s="720"/>
      <c r="AU135" s="720"/>
      <c r="AV135" s="720"/>
      <c r="AW135" s="720"/>
      <c r="AX135" s="720"/>
      <c r="AY135" s="720"/>
      <c r="AZ135" s="720"/>
      <c r="BA135" s="720"/>
      <c r="BB135" s="720"/>
      <c r="BC135" s="720"/>
      <c r="BD135" s="720"/>
      <c r="BE135" s="720"/>
      <c r="BF135" s="720"/>
      <c r="BG135" s="720"/>
    </row>
    <row r="136" spans="1:59" x14ac:dyDescent="0.2">
      <c r="A136" s="522"/>
      <c r="B136" s="522"/>
      <c r="C136" s="522"/>
      <c r="D136" s="522"/>
      <c r="E136" s="522"/>
      <c r="F136" s="522"/>
      <c r="G136" s="522"/>
      <c r="H136" s="522"/>
      <c r="I136" s="522"/>
      <c r="J136" s="522"/>
      <c r="K136" s="522"/>
      <c r="L136" s="522"/>
      <c r="M136" s="522"/>
      <c r="N136" s="522"/>
      <c r="O136" s="522"/>
      <c r="P136" s="522"/>
      <c r="Q136" s="522"/>
      <c r="R136" s="522"/>
      <c r="S136" s="522"/>
      <c r="T136" s="522"/>
      <c r="U136" s="522"/>
      <c r="V136" s="522"/>
      <c r="W136" s="522"/>
      <c r="X136" s="522"/>
      <c r="Y136" s="522"/>
      <c r="Z136" s="522"/>
      <c r="AA136" s="522"/>
      <c r="AB136" s="522"/>
      <c r="AC136" s="522"/>
      <c r="AD136" s="522"/>
      <c r="AE136" s="522"/>
      <c r="AF136" s="522"/>
      <c r="AG136" s="522"/>
      <c r="AH136" s="522"/>
      <c r="AI136" s="522"/>
      <c r="AJ136" s="522"/>
      <c r="AK136" s="522"/>
      <c r="AL136" s="522"/>
      <c r="AM136" s="522"/>
      <c r="AN136" s="522"/>
      <c r="AO136" s="522"/>
      <c r="AP136" s="522"/>
      <c r="AQ136" s="522"/>
      <c r="AR136" s="522"/>
      <c r="AS136" s="522"/>
      <c r="AT136" s="522"/>
      <c r="AU136" s="522"/>
      <c r="AV136" s="522"/>
      <c r="AW136" s="522"/>
      <c r="AX136" s="522"/>
      <c r="AY136" s="522"/>
      <c r="AZ136" s="522"/>
      <c r="BA136" s="522"/>
      <c r="BB136" s="522"/>
      <c r="BC136" s="522"/>
      <c r="BD136" s="522"/>
      <c r="BE136" s="522"/>
      <c r="BF136" s="522"/>
      <c r="BG136" s="522"/>
    </row>
    <row r="137" spans="1:59" x14ac:dyDescent="0.2">
      <c r="A137" s="721" t="s">
        <v>867</v>
      </c>
      <c r="B137" s="722"/>
      <c r="C137" s="722"/>
      <c r="D137" s="722"/>
      <c r="E137" s="722"/>
      <c r="F137" s="722"/>
      <c r="G137" s="722"/>
      <c r="H137" s="722"/>
      <c r="I137" s="722"/>
      <c r="J137" s="722"/>
      <c r="K137" s="722"/>
      <c r="L137" s="722"/>
      <c r="M137" s="722"/>
      <c r="N137" s="722"/>
      <c r="O137" s="722"/>
      <c r="P137" s="722"/>
      <c r="Q137" s="722"/>
      <c r="R137" s="722"/>
      <c r="S137" s="722"/>
      <c r="T137" s="722"/>
      <c r="U137" s="722"/>
      <c r="V137" s="722"/>
      <c r="W137" s="722"/>
      <c r="X137" s="722"/>
      <c r="Y137" s="722"/>
      <c r="Z137" s="722"/>
      <c r="AA137" s="722"/>
      <c r="AB137" s="722"/>
      <c r="AC137" s="722"/>
      <c r="AD137" s="723"/>
      <c r="AE137" s="721" t="s">
        <v>861</v>
      </c>
      <c r="AF137" s="722"/>
      <c r="AG137" s="722"/>
      <c r="AH137" s="722"/>
      <c r="AI137" s="722"/>
      <c r="AJ137" s="722"/>
      <c r="AK137" s="722"/>
      <c r="AL137" s="722"/>
      <c r="AM137" s="722"/>
      <c r="AN137" s="722"/>
      <c r="AO137" s="722"/>
      <c r="AP137" s="722"/>
      <c r="AQ137" s="722"/>
      <c r="AR137" s="722"/>
      <c r="AS137" s="722"/>
      <c r="AT137" s="722"/>
      <c r="AU137" s="722"/>
      <c r="AV137" s="722"/>
      <c r="AW137" s="722"/>
      <c r="AX137" s="722"/>
      <c r="AY137" s="722"/>
      <c r="AZ137" s="722"/>
      <c r="BA137" s="722"/>
      <c r="BB137" s="722"/>
      <c r="BC137" s="722"/>
      <c r="BD137" s="722"/>
      <c r="BE137" s="722"/>
      <c r="BF137" s="722"/>
      <c r="BG137" s="723"/>
    </row>
    <row r="138" spans="1:59" x14ac:dyDescent="0.2">
      <c r="A138" s="103"/>
      <c r="B138" s="506"/>
      <c r="C138" s="506"/>
      <c r="D138" s="506"/>
      <c r="E138" s="506"/>
      <c r="F138" s="506"/>
      <c r="G138" s="506"/>
      <c r="H138" s="506"/>
      <c r="I138" s="715"/>
      <c r="J138" s="715"/>
      <c r="K138" s="715"/>
      <c r="L138" s="715"/>
      <c r="M138" s="715"/>
      <c r="N138" s="715"/>
      <c r="O138" s="715"/>
      <c r="P138" s="715"/>
      <c r="Q138" s="715"/>
      <c r="R138" s="715"/>
      <c r="S138" s="715"/>
      <c r="T138" s="715"/>
      <c r="U138" s="715"/>
      <c r="V138" s="715"/>
      <c r="W138" s="715"/>
      <c r="X138" s="715"/>
      <c r="Y138" s="92"/>
      <c r="Z138" s="92"/>
      <c r="AA138" s="92"/>
      <c r="AB138" s="92"/>
      <c r="AC138" s="92"/>
      <c r="AD138" s="92"/>
      <c r="AE138" s="473"/>
      <c r="AF138" s="474"/>
      <c r="AG138" s="474"/>
      <c r="AH138" s="474"/>
      <c r="AI138" s="474"/>
      <c r="AJ138" s="474"/>
      <c r="AK138" s="474"/>
      <c r="AL138" s="474"/>
      <c r="AM138" s="474"/>
      <c r="AN138" s="474"/>
      <c r="AO138" s="474"/>
      <c r="AP138" s="474"/>
      <c r="AQ138" s="474"/>
      <c r="AR138" s="474"/>
      <c r="AS138" s="474"/>
      <c r="AT138" s="474"/>
      <c r="AU138" s="474"/>
      <c r="AV138" s="474"/>
      <c r="AW138" s="475"/>
      <c r="AX138" s="475"/>
      <c r="AY138" s="475"/>
      <c r="AZ138" s="475"/>
      <c r="BA138" s="475"/>
      <c r="BB138" s="475"/>
      <c r="BC138" s="475"/>
      <c r="BD138" s="476"/>
      <c r="BE138" s="476"/>
      <c r="BF138" s="476"/>
      <c r="BG138" s="477"/>
    </row>
    <row r="139" spans="1:59" x14ac:dyDescent="0.2">
      <c r="A139" s="105"/>
      <c r="B139" s="102"/>
      <c r="C139" s="102"/>
      <c r="D139" s="715" t="s">
        <v>868</v>
      </c>
      <c r="E139" s="715"/>
      <c r="F139" s="715"/>
      <c r="G139" s="715"/>
      <c r="H139" s="715"/>
      <c r="I139" s="715"/>
      <c r="J139" s="715"/>
      <c r="K139" s="715"/>
      <c r="L139" s="715"/>
      <c r="M139" s="715"/>
      <c r="N139" s="715"/>
      <c r="O139" s="715"/>
      <c r="P139" s="715"/>
      <c r="Q139" s="715"/>
      <c r="R139" s="715"/>
      <c r="S139" s="715"/>
      <c r="T139" s="715"/>
      <c r="U139" s="715"/>
      <c r="V139" s="715"/>
      <c r="W139" s="715"/>
      <c r="X139" s="715"/>
      <c r="Y139" s="715"/>
      <c r="Z139" s="715"/>
      <c r="AA139" s="715"/>
      <c r="AB139" s="715"/>
      <c r="AC139" s="106"/>
      <c r="AD139" s="106"/>
      <c r="AE139" s="107"/>
      <c r="AF139" s="512"/>
      <c r="AG139" s="102"/>
      <c r="AH139" s="102"/>
      <c r="AI139" s="512"/>
      <c r="AJ139" s="512"/>
      <c r="AK139" s="512"/>
      <c r="AL139" s="512"/>
      <c r="AM139" s="512"/>
      <c r="AN139" s="512"/>
      <c r="AO139" s="512"/>
      <c r="AP139" s="716" t="str">
        <f>SURNAME_KREDITOR&amp;" "&amp;NAME_KREDITOR&amp;" "&amp;FATHERNAME_KREDITOR&amp;" "&amp;G_KREDITOR</f>
        <v>Həsənov Kənan Asdan qızı</v>
      </c>
      <c r="AQ139" s="716"/>
      <c r="AR139" s="716"/>
      <c r="AS139" s="716"/>
      <c r="AT139" s="716"/>
      <c r="AU139" s="716"/>
      <c r="AV139" s="716"/>
      <c r="AW139" s="716"/>
      <c r="AX139" s="716"/>
      <c r="AY139" s="716"/>
      <c r="AZ139" s="716"/>
      <c r="BA139" s="716"/>
      <c r="BB139" s="716"/>
      <c r="BC139" s="716"/>
      <c r="BD139" s="716"/>
      <c r="BE139" s="716"/>
      <c r="BF139" s="512"/>
      <c r="BG139" s="104"/>
    </row>
    <row r="140" spans="1:59" ht="11.25" customHeight="1" x14ac:dyDescent="0.2">
      <c r="A140" s="105"/>
      <c r="B140" s="106"/>
      <c r="C140" s="106"/>
      <c r="D140" s="106"/>
      <c r="E140" s="715" t="str">
        <f>NAME_BRANCH&amp;" "&amp;POSITION_MENEGER_BRANCH&amp;"
 "&amp;SURNAME_MENEGER_BRANCH&amp;" "&amp;NAME_MENEGER_BRANCH&amp;" "&amp;FATHERNAME_MENEGER_BRANCH&amp;" "&amp;G_MENEGER_BRANCH</f>
        <v>Ağcabədi  Filialının kredit meneceri
 Əhmədov  Bəhruz  Tofiq  oğlu</v>
      </c>
      <c r="F140" s="715"/>
      <c r="G140" s="715"/>
      <c r="H140" s="715"/>
      <c r="I140" s="715"/>
      <c r="J140" s="715"/>
      <c r="K140" s="715"/>
      <c r="L140" s="715"/>
      <c r="M140" s="715"/>
      <c r="N140" s="715"/>
      <c r="O140" s="715"/>
      <c r="P140" s="715"/>
      <c r="Q140" s="715"/>
      <c r="R140" s="715"/>
      <c r="S140" s="715"/>
      <c r="T140" s="715"/>
      <c r="U140" s="715"/>
      <c r="V140" s="715"/>
      <c r="W140" s="715"/>
      <c r="X140" s="715"/>
      <c r="Y140" s="715"/>
      <c r="Z140" s="715"/>
      <c r="AA140" s="715"/>
      <c r="AB140" s="512"/>
      <c r="AC140" s="512"/>
      <c r="AD140" s="512"/>
      <c r="AE140" s="105"/>
      <c r="AF140" s="719" t="str">
        <f>IF(OR(AP140=0,AP140=""),"","Şəxsiyyət vəsiqəsi: ")</f>
        <v xml:space="preserve">Şəxsiyyət vəsiqəsi: </v>
      </c>
      <c r="AG140" s="719"/>
      <c r="AH140" s="719"/>
      <c r="AI140" s="719"/>
      <c r="AJ140" s="719"/>
      <c r="AK140" s="719"/>
      <c r="AL140" s="719"/>
      <c r="AM140" s="719"/>
      <c r="AN140" s="719"/>
      <c r="AO140" s="719"/>
      <c r="AP140" s="698" t="str">
        <f>IF(OR(SHV_SN_KREDITOR=0,SHV_D_KREDITOR=0,SHV_R_KREDITOR=0,SHV_SN_KREDITOR="",SHV_D_KREDITOR="",SHV_R_KREDITOR=""),"",SHV_SN_KREDITOR&amp;"  "&amp;SHV_D_KREDITOR_SOZLE&amp;" "&amp;SHV_R_KREDITOR&amp;" tərəfindən verilmişdir.")</f>
        <v>AZE № 14577224  «27» May 2014-cü il Mingəçevir ŞPŞ tərəfindən verilmişdir.</v>
      </c>
      <c r="AQ140" s="698"/>
      <c r="AR140" s="698"/>
      <c r="AS140" s="698"/>
      <c r="AT140" s="698"/>
      <c r="AU140" s="698"/>
      <c r="AV140" s="698"/>
      <c r="AW140" s="698"/>
      <c r="AX140" s="698"/>
      <c r="AY140" s="698"/>
      <c r="AZ140" s="698"/>
      <c r="BA140" s="698"/>
      <c r="BB140" s="698"/>
      <c r="BC140" s="698"/>
      <c r="BD140" s="698"/>
      <c r="BE140" s="698"/>
      <c r="BF140" s="698"/>
      <c r="BG140" s="104"/>
    </row>
    <row r="141" spans="1:59" ht="11.25" customHeight="1" x14ac:dyDescent="0.2">
      <c r="A141" s="105"/>
      <c r="B141" s="512"/>
      <c r="C141" s="512"/>
      <c r="D141" s="512"/>
      <c r="E141" s="715"/>
      <c r="F141" s="715"/>
      <c r="G141" s="715"/>
      <c r="H141" s="715"/>
      <c r="I141" s="715"/>
      <c r="J141" s="715"/>
      <c r="K141" s="715"/>
      <c r="L141" s="715"/>
      <c r="M141" s="715"/>
      <c r="N141" s="715"/>
      <c r="O141" s="715"/>
      <c r="P141" s="715"/>
      <c r="Q141" s="715"/>
      <c r="R141" s="715"/>
      <c r="S141" s="715"/>
      <c r="T141" s="715"/>
      <c r="U141" s="715"/>
      <c r="V141" s="715"/>
      <c r="W141" s="715"/>
      <c r="X141" s="715"/>
      <c r="Y141" s="715"/>
      <c r="Z141" s="715"/>
      <c r="AA141" s="715"/>
      <c r="AB141" s="108"/>
      <c r="AC141" s="108"/>
      <c r="AD141" s="108"/>
      <c r="AE141" s="109"/>
      <c r="AF141" s="108"/>
      <c r="AG141" s="512"/>
      <c r="AH141" s="512"/>
      <c r="AI141" s="108"/>
      <c r="AJ141" s="108"/>
      <c r="AK141" s="108"/>
      <c r="AL141" s="108"/>
      <c r="AM141" s="108"/>
      <c r="AN141" s="108"/>
      <c r="AO141" s="108"/>
      <c r="AP141" s="698"/>
      <c r="AQ141" s="698"/>
      <c r="AR141" s="698"/>
      <c r="AS141" s="698"/>
      <c r="AT141" s="698"/>
      <c r="AU141" s="698"/>
      <c r="AV141" s="698"/>
      <c r="AW141" s="698"/>
      <c r="AX141" s="698"/>
      <c r="AY141" s="698"/>
      <c r="AZ141" s="698"/>
      <c r="BA141" s="698"/>
      <c r="BB141" s="698"/>
      <c r="BC141" s="698"/>
      <c r="BD141" s="698"/>
      <c r="BE141" s="698"/>
      <c r="BF141" s="698"/>
      <c r="BG141" s="104"/>
    </row>
    <row r="142" spans="1:59" x14ac:dyDescent="0.2">
      <c r="A142" s="105"/>
      <c r="B142" s="512"/>
      <c r="C142" s="512"/>
      <c r="D142" s="512"/>
      <c r="E142" s="512"/>
      <c r="F142" s="512"/>
      <c r="G142" s="717" t="s">
        <v>33</v>
      </c>
      <c r="H142" s="717"/>
      <c r="I142" s="717"/>
      <c r="J142" s="717"/>
      <c r="K142" s="698" t="str">
        <f>NAME_REGION &amp;", "&amp;ADDRESS_REGION</f>
        <v>Ağcabədi şəhəri, İ.Qayıbov 2</v>
      </c>
      <c r="L142" s="698"/>
      <c r="M142" s="698"/>
      <c r="N142" s="698"/>
      <c r="O142" s="698"/>
      <c r="P142" s="698"/>
      <c r="Q142" s="698"/>
      <c r="R142" s="698"/>
      <c r="S142" s="698"/>
      <c r="T142" s="698"/>
      <c r="U142" s="698"/>
      <c r="V142" s="698"/>
      <c r="W142" s="698"/>
      <c r="X142" s="698"/>
      <c r="Y142" s="698"/>
      <c r="Z142" s="698"/>
      <c r="AA142" s="106"/>
      <c r="AB142" s="512"/>
      <c r="AC142" s="512"/>
      <c r="AD142" s="512"/>
      <c r="AE142" s="105"/>
      <c r="AF142" s="512"/>
      <c r="AG142" s="512"/>
      <c r="AH142" s="512"/>
      <c r="AI142" s="512"/>
      <c r="AJ142" s="512"/>
      <c r="AK142" s="512"/>
      <c r="AL142" s="512"/>
      <c r="AM142" s="512"/>
      <c r="AN142" s="512"/>
      <c r="AO142" s="512"/>
      <c r="AP142" s="698"/>
      <c r="AQ142" s="698"/>
      <c r="AR142" s="698"/>
      <c r="AS142" s="698"/>
      <c r="AT142" s="698"/>
      <c r="AU142" s="698"/>
      <c r="AV142" s="698"/>
      <c r="AW142" s="698"/>
      <c r="AX142" s="698"/>
      <c r="AY142" s="698"/>
      <c r="AZ142" s="698"/>
      <c r="BA142" s="698"/>
      <c r="BB142" s="698"/>
      <c r="BC142" s="698"/>
      <c r="BD142" s="698"/>
      <c r="BE142" s="698"/>
      <c r="BF142" s="698"/>
      <c r="BG142" s="104"/>
    </row>
    <row r="143" spans="1:59" x14ac:dyDescent="0.2">
      <c r="A143" s="110"/>
      <c r="B143" s="513"/>
      <c r="C143" s="513"/>
      <c r="D143" s="513"/>
      <c r="E143" s="512"/>
      <c r="F143" s="512"/>
      <c r="G143" s="717"/>
      <c r="H143" s="717"/>
      <c r="I143" s="717"/>
      <c r="J143" s="717"/>
      <c r="K143" s="698"/>
      <c r="L143" s="698"/>
      <c r="M143" s="698"/>
      <c r="N143" s="698"/>
      <c r="O143" s="698"/>
      <c r="P143" s="698"/>
      <c r="Q143" s="698"/>
      <c r="R143" s="698"/>
      <c r="S143" s="698"/>
      <c r="T143" s="698"/>
      <c r="U143" s="698"/>
      <c r="V143" s="698"/>
      <c r="W143" s="698"/>
      <c r="X143" s="698"/>
      <c r="Y143" s="698"/>
      <c r="Z143" s="698"/>
      <c r="AA143" s="106"/>
      <c r="AB143" s="512"/>
      <c r="AC143" s="512"/>
      <c r="AD143" s="512"/>
      <c r="AE143" s="105"/>
      <c r="AF143" s="106"/>
      <c r="AG143" s="106"/>
      <c r="AH143" s="512"/>
      <c r="AI143" s="512"/>
      <c r="AJ143" s="512"/>
      <c r="AK143" s="512"/>
      <c r="AL143" s="512"/>
      <c r="AM143" s="720" t="str">
        <f>IF(OR(AP143=0,AP143=""),"","Ünvan:" )</f>
        <v>Ünvan:</v>
      </c>
      <c r="AN143" s="720"/>
      <c r="AO143" s="720"/>
      <c r="AP143" s="718" t="str">
        <f>IF(OR(ADDRESS_KREDITOR=0,ADDRESS_KREDITOR=""),"",ADDRESS_KREDITOR)</f>
        <v xml:space="preserve">Mingəçevir şəh., H.Əliyev PR., ev. 76/1, m. 22 </v>
      </c>
      <c r="AQ143" s="718"/>
      <c r="AR143" s="718"/>
      <c r="AS143" s="718"/>
      <c r="AT143" s="718"/>
      <c r="AU143" s="718"/>
      <c r="AV143" s="718"/>
      <c r="AW143" s="718"/>
      <c r="AX143" s="718"/>
      <c r="AY143" s="718"/>
      <c r="AZ143" s="718"/>
      <c r="BA143" s="718"/>
      <c r="BB143" s="718"/>
      <c r="BC143" s="718"/>
      <c r="BD143" s="718"/>
      <c r="BE143" s="718"/>
      <c r="BF143" s="718"/>
      <c r="BG143" s="104"/>
    </row>
    <row r="144" spans="1:59" ht="11.25" customHeight="1" x14ac:dyDescent="0.2">
      <c r="A144" s="110"/>
      <c r="B144" s="513"/>
      <c r="C144" s="513"/>
      <c r="D144" s="512"/>
      <c r="E144" s="512"/>
      <c r="F144" s="512"/>
      <c r="G144" s="719" t="str">
        <f>IF(OR(K144=0,K144=""),"","Telefon:")</f>
        <v>Telefon:</v>
      </c>
      <c r="H144" s="719"/>
      <c r="I144" s="719"/>
      <c r="J144" s="719"/>
      <c r="K144" s="716" t="str">
        <f>IF(OR(NUM_BRANCH=0,NUM_BRANCH=""),"",NUM_BRANCH)</f>
        <v>(+994 24) 274 13 23</v>
      </c>
      <c r="L144" s="716"/>
      <c r="M144" s="716"/>
      <c r="N144" s="716"/>
      <c r="O144" s="716"/>
      <c r="P144" s="716"/>
      <c r="Q144" s="716"/>
      <c r="R144" s="716"/>
      <c r="S144" s="716"/>
      <c r="T144" s="716"/>
      <c r="U144" s="716"/>
      <c r="V144" s="716"/>
      <c r="W144" s="716"/>
      <c r="X144" s="716"/>
      <c r="Y144" s="512"/>
      <c r="Z144" s="512"/>
      <c r="AA144" s="106"/>
      <c r="AB144" s="512"/>
      <c r="AC144" s="92"/>
      <c r="AD144" s="92"/>
      <c r="AE144" s="111"/>
      <c r="AF144" s="106"/>
      <c r="AG144" s="106"/>
      <c r="AH144" s="512"/>
      <c r="AI144" s="512"/>
      <c r="AJ144" s="512"/>
      <c r="AK144" s="512"/>
      <c r="AL144" s="512"/>
      <c r="AM144" s="92"/>
      <c r="AN144" s="92"/>
      <c r="AO144" s="92"/>
      <c r="AP144" s="718"/>
      <c r="AQ144" s="718"/>
      <c r="AR144" s="718"/>
      <c r="AS144" s="718"/>
      <c r="AT144" s="718"/>
      <c r="AU144" s="718"/>
      <c r="AV144" s="718"/>
      <c r="AW144" s="718"/>
      <c r="AX144" s="718"/>
      <c r="AY144" s="718"/>
      <c r="AZ144" s="718"/>
      <c r="BA144" s="718"/>
      <c r="BB144" s="718"/>
      <c r="BC144" s="718"/>
      <c r="BD144" s="718"/>
      <c r="BE144" s="718"/>
      <c r="BF144" s="718"/>
      <c r="BG144" s="104"/>
    </row>
    <row r="145" spans="1:59" x14ac:dyDescent="0.2">
      <c r="A145" s="105"/>
      <c r="B145" s="102"/>
      <c r="C145" s="102"/>
      <c r="D145" s="512"/>
      <c r="E145" s="512"/>
      <c r="F145" s="512"/>
      <c r="G145" s="719" t="str">
        <f>IF(OR(K145=0,K145=""),"","Faks:")</f>
        <v>Faks:</v>
      </c>
      <c r="H145" s="719"/>
      <c r="I145" s="719"/>
      <c r="J145" s="719"/>
      <c r="K145" s="716" t="str">
        <f>IF(OR(FAX_BRANCH=0,FAX_BRANCH=""),"",FAX_BRANCH)</f>
        <v>(+994 24) 274 20 24</v>
      </c>
      <c r="L145" s="716"/>
      <c r="M145" s="716"/>
      <c r="N145" s="716"/>
      <c r="O145" s="716"/>
      <c r="P145" s="716"/>
      <c r="Q145" s="716"/>
      <c r="R145" s="716"/>
      <c r="S145" s="716"/>
      <c r="T145" s="716"/>
      <c r="U145" s="716"/>
      <c r="V145" s="716"/>
      <c r="W145" s="716"/>
      <c r="X145" s="716"/>
      <c r="Y145" s="512"/>
      <c r="Z145" s="512"/>
      <c r="AA145" s="106"/>
      <c r="AB145" s="512"/>
      <c r="AC145" s="512"/>
      <c r="AD145" s="512"/>
      <c r="AE145" s="105"/>
      <c r="AF145" s="106"/>
      <c r="AG145" s="106"/>
      <c r="AH145" s="512"/>
      <c r="AI145" s="512"/>
      <c r="AJ145" s="512"/>
      <c r="AK145" s="512"/>
      <c r="AL145" s="512"/>
      <c r="AM145" s="720" t="str">
        <f>IF(OR(AP145=0,AP145=""),"","Telefon:")</f>
        <v>Telefon:</v>
      </c>
      <c r="AN145" s="720"/>
      <c r="AO145" s="720"/>
      <c r="AP145" s="713" t="str">
        <f>IF(OR(NUM_1_KREDITOR=0,NUM_1_KREDITOR=""),"",NUM_1_KREDITOR&amp;"; ")&amp;IF(OR(NUM_2_KREDITOR=0,NUM_2_KREDITOR=""),"",NUM_2_KREDITOR&amp;"; ")</f>
        <v xml:space="preserve">055-915-96-56; </v>
      </c>
      <c r="AQ145" s="713"/>
      <c r="AR145" s="713"/>
      <c r="AS145" s="713"/>
      <c r="AT145" s="713"/>
      <c r="AU145" s="713"/>
      <c r="AV145" s="713"/>
      <c r="AW145" s="713"/>
      <c r="AX145" s="713"/>
      <c r="AY145" s="713"/>
      <c r="AZ145" s="713"/>
      <c r="BA145" s="713"/>
      <c r="BB145" s="713"/>
      <c r="BC145" s="713"/>
      <c r="BD145" s="713"/>
      <c r="BE145" s="713"/>
      <c r="BF145" s="512"/>
      <c r="BG145" s="104"/>
    </row>
    <row r="146" spans="1:59" x14ac:dyDescent="0.2">
      <c r="A146" s="105"/>
      <c r="B146" s="106"/>
      <c r="C146" s="106"/>
      <c r="D146" s="106"/>
      <c r="E146" s="512"/>
      <c r="F146" s="512"/>
      <c r="G146" s="714" t="s">
        <v>32</v>
      </c>
      <c r="H146" s="714"/>
      <c r="I146" s="714"/>
      <c r="J146" s="714"/>
      <c r="K146" s="512"/>
      <c r="L146" s="512"/>
      <c r="M146" s="102"/>
      <c r="N146" s="512"/>
      <c r="O146" s="512"/>
      <c r="P146" s="512"/>
      <c r="Q146" s="512"/>
      <c r="R146" s="512"/>
      <c r="S146" s="512"/>
      <c r="T146" s="512"/>
      <c r="U146" s="512"/>
      <c r="V146" s="512"/>
      <c r="W146" s="512"/>
      <c r="X146" s="512"/>
      <c r="Y146" s="106"/>
      <c r="Z146" s="512"/>
      <c r="AA146" s="512"/>
      <c r="AB146" s="512"/>
      <c r="AC146" s="512"/>
      <c r="AD146" s="512"/>
      <c r="AE146" s="105"/>
      <c r="AF146" s="106"/>
      <c r="AG146" s="106"/>
      <c r="AH146" s="512"/>
      <c r="AI146" s="512"/>
      <c r="AJ146" s="512"/>
      <c r="AK146" s="512"/>
      <c r="AL146" s="714" t="s">
        <v>32</v>
      </c>
      <c r="AM146" s="714"/>
      <c r="AN146" s="714"/>
      <c r="AO146" s="714"/>
      <c r="AP146" s="714"/>
      <c r="AQ146" s="512"/>
      <c r="AR146" s="512"/>
      <c r="AS146" s="512"/>
      <c r="AT146" s="512"/>
      <c r="AU146" s="512"/>
      <c r="AV146" s="512"/>
      <c r="AW146" s="512"/>
      <c r="AX146" s="512"/>
      <c r="AY146" s="512"/>
      <c r="AZ146" s="512"/>
      <c r="BA146" s="512"/>
      <c r="BB146" s="512"/>
      <c r="BC146" s="512"/>
      <c r="BD146" s="512"/>
      <c r="BE146" s="512"/>
      <c r="BF146" s="512"/>
      <c r="BG146" s="104"/>
    </row>
    <row r="147" spans="1:59" x14ac:dyDescent="0.2">
      <c r="A147" s="105"/>
      <c r="B147" s="443"/>
      <c r="C147" s="443"/>
      <c r="D147" s="443"/>
      <c r="E147" s="512"/>
      <c r="F147" s="443" t="s">
        <v>31</v>
      </c>
      <c r="G147" s="443"/>
      <c r="H147" s="443"/>
      <c r="I147" s="512"/>
      <c r="J147" s="443"/>
      <c r="K147" s="443"/>
      <c r="L147" s="443"/>
      <c r="M147" s="443"/>
      <c r="N147" s="443"/>
      <c r="O147" s="443"/>
      <c r="P147" s="443"/>
      <c r="Q147" s="443"/>
      <c r="R147" s="443"/>
      <c r="S147" s="443"/>
      <c r="T147" s="443"/>
      <c r="U147" s="443"/>
      <c r="V147" s="443"/>
      <c r="W147" s="443"/>
      <c r="X147" s="443"/>
      <c r="Y147" s="443"/>
      <c r="Z147" s="443"/>
      <c r="AA147" s="512"/>
      <c r="AB147" s="443"/>
      <c r="AC147" s="443"/>
      <c r="AD147" s="443"/>
      <c r="AE147" s="478"/>
      <c r="AF147" s="443"/>
      <c r="AG147" s="443"/>
      <c r="AH147" s="443"/>
      <c r="AI147" s="443"/>
      <c r="AJ147" s="443"/>
      <c r="AK147" s="443"/>
      <c r="AL147" s="443" t="s">
        <v>443</v>
      </c>
      <c r="AM147" s="443"/>
      <c r="AN147" s="443"/>
      <c r="AO147" s="443"/>
      <c r="AP147" s="443"/>
      <c r="AQ147" s="443"/>
      <c r="AR147" s="443"/>
      <c r="AS147" s="443"/>
      <c r="AT147" s="443"/>
      <c r="AU147" s="443"/>
      <c r="AV147" s="443"/>
      <c r="AW147" s="443"/>
      <c r="AX147" s="443"/>
      <c r="AY147" s="443"/>
      <c r="AZ147" s="443"/>
      <c r="BA147" s="443"/>
      <c r="BB147" s="443"/>
      <c r="BC147" s="512"/>
      <c r="BD147" s="512"/>
      <c r="BE147" s="512"/>
      <c r="BF147" s="512"/>
      <c r="BG147" s="104"/>
    </row>
    <row r="148" spans="1:59" x14ac:dyDescent="0.2">
      <c r="A148" s="309"/>
      <c r="B148" s="310"/>
      <c r="C148" s="310"/>
      <c r="D148" s="310"/>
      <c r="E148" s="311"/>
      <c r="F148" s="310"/>
      <c r="G148" s="310"/>
      <c r="H148" s="310"/>
      <c r="I148" s="311"/>
      <c r="J148" s="310"/>
      <c r="K148" s="310"/>
      <c r="L148" s="310"/>
      <c r="M148" s="310"/>
      <c r="N148" s="310"/>
      <c r="O148" s="310"/>
      <c r="P148" s="310"/>
      <c r="Q148" s="310"/>
      <c r="R148" s="310"/>
      <c r="S148" s="310"/>
      <c r="T148" s="310"/>
      <c r="U148" s="310"/>
      <c r="V148" s="310"/>
      <c r="W148" s="310"/>
      <c r="X148" s="310"/>
      <c r="Y148" s="310"/>
      <c r="Z148" s="310"/>
      <c r="AA148" s="311"/>
      <c r="AB148" s="310"/>
      <c r="AC148" s="310"/>
      <c r="AD148" s="310"/>
      <c r="AE148" s="479"/>
      <c r="AF148" s="310"/>
      <c r="AG148" s="310"/>
      <c r="AH148" s="310"/>
      <c r="AI148" s="310"/>
      <c r="AJ148" s="310"/>
      <c r="AK148" s="310"/>
      <c r="AL148" s="310"/>
      <c r="AM148" s="310"/>
      <c r="AN148" s="310"/>
      <c r="AO148" s="310"/>
      <c r="AP148" s="310"/>
      <c r="AQ148" s="310"/>
      <c r="AR148" s="310"/>
      <c r="AS148" s="310"/>
      <c r="AT148" s="310"/>
      <c r="AU148" s="310"/>
      <c r="AV148" s="310"/>
      <c r="AW148" s="310"/>
      <c r="AX148" s="310"/>
      <c r="AY148" s="310"/>
      <c r="AZ148" s="310"/>
      <c r="BA148" s="310"/>
      <c r="BB148" s="310"/>
      <c r="BC148" s="311"/>
      <c r="BD148" s="311"/>
      <c r="BE148" s="311"/>
      <c r="BF148" s="311"/>
      <c r="BG148" s="312"/>
    </row>
    <row r="149" spans="1:59" x14ac:dyDescent="0.2">
      <c r="P149" s="512"/>
      <c r="Q149" s="512"/>
      <c r="R149" s="102"/>
      <c r="AM149" s="106"/>
      <c r="AN149" s="92"/>
      <c r="AO149" s="92"/>
      <c r="AP149" s="92"/>
      <c r="AQ149" s="92"/>
      <c r="AR149" s="92"/>
      <c r="AS149" s="92"/>
      <c r="AT149" s="92"/>
      <c r="AU149" s="92"/>
      <c r="AV149" s="92"/>
      <c r="AW149" s="92"/>
      <c r="AX149" s="92"/>
      <c r="AY149" s="92"/>
      <c r="AZ149" s="92"/>
      <c r="BA149" s="92"/>
      <c r="BB149" s="92"/>
      <c r="BC149" s="512"/>
      <c r="BD149" s="106"/>
      <c r="BE149" s="106"/>
      <c r="BF149" s="106"/>
      <c r="BG149" s="106"/>
    </row>
    <row r="150" spans="1:59" x14ac:dyDescent="0.2">
      <c r="P150" s="512"/>
      <c r="Q150" s="512"/>
      <c r="R150" s="102"/>
      <c r="S150" s="512"/>
      <c r="T150" s="512"/>
      <c r="U150" s="512"/>
      <c r="V150" s="512"/>
      <c r="W150" s="512"/>
      <c r="X150" s="512"/>
      <c r="Y150" s="512"/>
      <c r="Z150" s="512"/>
      <c r="AA150" s="512"/>
      <c r="AB150" s="512"/>
      <c r="AC150" s="512"/>
      <c r="AD150" s="512"/>
      <c r="AE150" s="112"/>
      <c r="AF150" s="92"/>
      <c r="AG150" s="106"/>
      <c r="AH150" s="512"/>
      <c r="AI150" s="512"/>
      <c r="AJ150" s="512"/>
      <c r="AK150" s="512"/>
      <c r="AL150" s="512"/>
      <c r="AM150" s="512"/>
      <c r="BC150" s="512"/>
      <c r="BD150" s="512"/>
      <c r="BE150" s="512"/>
      <c r="BF150" s="512"/>
      <c r="BG150" s="512"/>
    </row>
    <row r="151" spans="1:59" x14ac:dyDescent="0.2">
      <c r="R151" s="106"/>
      <c r="S151" s="102"/>
      <c r="T151" s="102"/>
      <c r="U151" s="102"/>
      <c r="V151" s="102"/>
      <c r="W151" s="102"/>
      <c r="X151" s="102"/>
      <c r="Y151" s="102"/>
      <c r="Z151" s="102"/>
      <c r="AA151" s="102"/>
      <c r="AB151" s="102"/>
      <c r="AC151" s="512"/>
      <c r="AD151" s="512"/>
      <c r="AE151" s="512"/>
      <c r="AF151" s="106"/>
      <c r="AG151" s="106"/>
      <c r="AH151" s="512"/>
      <c r="AI151" s="512"/>
      <c r="AJ151" s="512"/>
      <c r="AK151" s="512"/>
      <c r="AL151" s="512"/>
      <c r="AM151" s="106"/>
      <c r="AN151" s="102"/>
      <c r="AO151" s="102"/>
      <c r="AP151" s="102"/>
      <c r="AQ151" s="102"/>
      <c r="AR151" s="102"/>
      <c r="AS151" s="102"/>
      <c r="AT151" s="102"/>
      <c r="AU151" s="102"/>
      <c r="AV151" s="102"/>
      <c r="AW151" s="102"/>
      <c r="AX151" s="102"/>
      <c r="AY151" s="106"/>
      <c r="AZ151" s="106"/>
      <c r="BA151" s="106"/>
      <c r="BB151" s="512"/>
      <c r="BC151" s="512"/>
      <c r="BD151" s="512"/>
      <c r="BE151" s="512"/>
      <c r="BF151" s="512"/>
      <c r="BG151" s="512"/>
    </row>
    <row r="152" spans="1:59" x14ac:dyDescent="0.2">
      <c r="P152" s="507"/>
      <c r="Q152" s="507"/>
      <c r="R152" s="106"/>
      <c r="S152" s="102"/>
      <c r="T152" s="102"/>
      <c r="U152" s="102"/>
      <c r="V152" s="102"/>
      <c r="W152" s="102"/>
      <c r="X152" s="102"/>
      <c r="Y152" s="106"/>
      <c r="Z152" s="102"/>
      <c r="AA152" s="102"/>
      <c r="AB152" s="102"/>
      <c r="AC152" s="102"/>
      <c r="AD152" s="102"/>
      <c r="AE152" s="106"/>
      <c r="AF152" s="106"/>
      <c r="AG152" s="106"/>
      <c r="AH152" s="106"/>
      <c r="AI152" s="106"/>
      <c r="AJ152" s="106"/>
      <c r="AK152" s="106"/>
      <c r="AL152" s="106"/>
      <c r="AM152" s="106"/>
      <c r="AN152" s="102"/>
      <c r="AO152" s="102"/>
      <c r="AP152" s="102"/>
      <c r="AQ152" s="102"/>
      <c r="AR152" s="102"/>
      <c r="AS152" s="102"/>
      <c r="AT152" s="106"/>
      <c r="AU152" s="102"/>
      <c r="AV152" s="102"/>
      <c r="AW152" s="102"/>
      <c r="AX152" s="102"/>
      <c r="AY152" s="106"/>
      <c r="AZ152" s="106"/>
      <c r="BA152" s="106"/>
      <c r="BB152" s="106"/>
      <c r="BC152" s="106"/>
      <c r="BD152" s="106"/>
      <c r="BE152" s="106"/>
      <c r="BF152" s="106"/>
      <c r="BG152" s="106"/>
    </row>
    <row r="153" spans="1:59" x14ac:dyDescent="0.2">
      <c r="R153" s="106"/>
      <c r="S153" s="106"/>
      <c r="T153" s="106"/>
      <c r="U153" s="106"/>
      <c r="V153" s="106"/>
      <c r="W153" s="512"/>
      <c r="X153" s="106"/>
      <c r="Y153" s="512"/>
      <c r="Z153" s="106"/>
      <c r="AA153" s="106"/>
      <c r="AB153" s="106"/>
      <c r="AC153" s="102"/>
      <c r="AD153" s="102"/>
      <c r="AE153" s="106"/>
      <c r="AF153" s="106"/>
      <c r="AG153" s="106"/>
      <c r="AH153" s="106"/>
      <c r="AI153" s="106"/>
      <c r="AJ153" s="106"/>
      <c r="AK153" s="106"/>
      <c r="AL153" s="106"/>
      <c r="AM153" s="106"/>
      <c r="AN153" s="106"/>
      <c r="AO153" s="106"/>
      <c r="AP153" s="106"/>
      <c r="AQ153" s="106"/>
      <c r="AR153" s="512"/>
      <c r="AS153" s="106"/>
      <c r="AT153" s="512"/>
      <c r="AU153" s="106"/>
      <c r="AV153" s="106"/>
      <c r="AW153" s="106"/>
      <c r="AX153" s="106"/>
      <c r="AY153" s="512"/>
      <c r="AZ153" s="512"/>
      <c r="BA153" s="512"/>
      <c r="BB153" s="106"/>
      <c r="BC153" s="106"/>
      <c r="BD153" s="106"/>
      <c r="BE153" s="106"/>
      <c r="BF153" s="106"/>
      <c r="BG153" s="106"/>
    </row>
    <row r="154" spans="1:59" x14ac:dyDescent="0.2">
      <c r="R154" s="106"/>
      <c r="S154" s="106"/>
      <c r="T154" s="106"/>
      <c r="U154" s="106"/>
      <c r="V154" s="106"/>
      <c r="W154" s="106"/>
      <c r="X154" s="106"/>
      <c r="Y154" s="106"/>
      <c r="Z154" s="106"/>
      <c r="AA154" s="106"/>
      <c r="AB154" s="106"/>
      <c r="AC154" s="106"/>
      <c r="AD154" s="106"/>
      <c r="AE154" s="512"/>
      <c r="AF154" s="106"/>
      <c r="AG154" s="106"/>
      <c r="AH154" s="106"/>
      <c r="AI154" s="106"/>
      <c r="AJ154" s="512"/>
      <c r="AK154" s="106"/>
      <c r="AL154" s="106"/>
      <c r="AM154" s="106"/>
      <c r="AN154" s="106"/>
      <c r="AO154" s="106"/>
      <c r="AP154" s="106"/>
      <c r="AQ154" s="106"/>
      <c r="AR154" s="106"/>
      <c r="AS154" s="106"/>
      <c r="AT154" s="106"/>
      <c r="AU154" s="106"/>
      <c r="AV154" s="106"/>
      <c r="AW154" s="106"/>
      <c r="AX154" s="106"/>
      <c r="AY154" s="512"/>
      <c r="AZ154" s="512"/>
      <c r="BA154" s="512"/>
      <c r="BB154" s="106"/>
      <c r="BC154" s="106"/>
      <c r="BD154" s="106"/>
      <c r="BE154" s="106"/>
      <c r="BF154" s="512"/>
      <c r="BG154" s="106"/>
    </row>
    <row r="155" spans="1:59" x14ac:dyDescent="0.2">
      <c r="P155" s="113"/>
      <c r="Q155" s="113"/>
      <c r="R155" s="106"/>
      <c r="S155" s="106"/>
      <c r="T155" s="106"/>
      <c r="U155" s="106"/>
      <c r="V155" s="106"/>
      <c r="W155" s="106"/>
      <c r="X155" s="106"/>
      <c r="Y155" s="106"/>
      <c r="Z155" s="106"/>
      <c r="AA155" s="106"/>
      <c r="AB155" s="106"/>
      <c r="AC155" s="106"/>
      <c r="AD155" s="106"/>
      <c r="AE155" s="512"/>
      <c r="AF155" s="106"/>
      <c r="AG155" s="106"/>
      <c r="AH155" s="512"/>
      <c r="AI155" s="512"/>
      <c r="AJ155" s="512"/>
      <c r="AK155" s="512"/>
      <c r="AL155" s="512"/>
      <c r="AM155" s="106"/>
      <c r="AN155" s="106"/>
      <c r="AO155" s="106"/>
      <c r="AP155" s="106"/>
      <c r="AQ155" s="106"/>
      <c r="AR155" s="106"/>
      <c r="AS155" s="106"/>
      <c r="AT155" s="106"/>
      <c r="AU155" s="106"/>
      <c r="AV155" s="106"/>
      <c r="AW155" s="106"/>
      <c r="AX155" s="106"/>
      <c r="AY155" s="512"/>
      <c r="AZ155" s="106"/>
      <c r="BA155" s="106"/>
      <c r="BB155" s="512"/>
      <c r="BC155" s="512"/>
      <c r="BD155" s="512"/>
      <c r="BE155" s="512"/>
      <c r="BF155" s="512"/>
      <c r="BG155" s="512"/>
    </row>
    <row r="156" spans="1:59" x14ac:dyDescent="0.2">
      <c r="P156" s="95"/>
      <c r="Q156" s="95"/>
      <c r="R156" s="512"/>
      <c r="S156" s="512"/>
      <c r="T156" s="512"/>
      <c r="U156" s="512"/>
      <c r="V156" s="512"/>
      <c r="W156" s="512"/>
      <c r="X156" s="512"/>
      <c r="Y156" s="512"/>
      <c r="Z156" s="512"/>
      <c r="AA156" s="512"/>
      <c r="AB156" s="512"/>
      <c r="AC156" s="106"/>
      <c r="AD156" s="106"/>
      <c r="AE156" s="512"/>
      <c r="AF156" s="106"/>
      <c r="AG156" s="106"/>
      <c r="AH156" s="106"/>
      <c r="AI156" s="106"/>
      <c r="AJ156" s="106"/>
      <c r="AK156" s="106"/>
      <c r="AL156" s="106"/>
      <c r="AM156" s="512"/>
      <c r="AN156" s="512"/>
      <c r="AO156" s="512"/>
      <c r="AP156" s="512"/>
      <c r="AQ156" s="512"/>
      <c r="AR156" s="512"/>
      <c r="AS156" s="512"/>
      <c r="AT156" s="512"/>
      <c r="AU156" s="512"/>
      <c r="AV156" s="512"/>
      <c r="AW156" s="512"/>
      <c r="AX156" s="512"/>
      <c r="AY156" s="512"/>
      <c r="AZ156" s="106"/>
      <c r="BA156" s="106"/>
      <c r="BB156" s="512"/>
      <c r="BC156" s="106"/>
      <c r="BD156" s="106"/>
      <c r="BE156" s="106"/>
      <c r="BF156" s="106"/>
      <c r="BG156" s="106"/>
    </row>
    <row r="157" spans="1:59" x14ac:dyDescent="0.2">
      <c r="P157" s="95"/>
      <c r="Q157" s="95"/>
      <c r="R157" s="112"/>
      <c r="S157" s="112"/>
      <c r="T157" s="112"/>
      <c r="U157" s="112"/>
      <c r="V157" s="112"/>
      <c r="W157" s="112"/>
      <c r="X157" s="112"/>
      <c r="Y157" s="112"/>
      <c r="Z157" s="112"/>
      <c r="AA157" s="112"/>
      <c r="AB157" s="112"/>
      <c r="AC157" s="512"/>
      <c r="AD157" s="512"/>
      <c r="AE157" s="512"/>
      <c r="AF157" s="106"/>
      <c r="AG157" s="106"/>
      <c r="AH157" s="106"/>
      <c r="AI157" s="106"/>
      <c r="AJ157" s="106"/>
      <c r="AK157" s="106"/>
      <c r="AL157" s="106"/>
      <c r="AM157" s="92"/>
      <c r="AN157" s="92"/>
      <c r="AO157" s="92"/>
      <c r="AP157" s="92"/>
      <c r="AQ157" s="92"/>
      <c r="AR157" s="92"/>
      <c r="AS157" s="92"/>
      <c r="AT157" s="92"/>
      <c r="AU157" s="92"/>
      <c r="AV157" s="92"/>
      <c r="AW157" s="92"/>
      <c r="AX157" s="92"/>
      <c r="AY157" s="92"/>
      <c r="AZ157" s="92"/>
      <c r="BA157" s="92"/>
      <c r="BB157" s="512"/>
      <c r="BC157" s="106"/>
      <c r="BD157" s="106"/>
      <c r="BE157" s="106"/>
      <c r="BF157" s="106"/>
      <c r="BG157" s="106"/>
    </row>
    <row r="158" spans="1:59" x14ac:dyDescent="0.2">
      <c r="P158" s="512"/>
      <c r="Q158" s="512"/>
      <c r="R158" s="512"/>
      <c r="S158" s="512"/>
      <c r="T158" s="512"/>
      <c r="U158" s="512"/>
      <c r="V158" s="512"/>
      <c r="W158" s="106"/>
      <c r="X158" s="102"/>
      <c r="Y158" s="102"/>
      <c r="Z158" s="102"/>
      <c r="AA158" s="102"/>
      <c r="AB158" s="102"/>
      <c r="AC158" s="102"/>
      <c r="AD158" s="102"/>
      <c r="AE158" s="102"/>
      <c r="AF158" s="102"/>
      <c r="AG158" s="102"/>
      <c r="AH158" s="106"/>
      <c r="AI158" s="106"/>
      <c r="AJ158" s="106"/>
      <c r="AK158" s="512"/>
      <c r="AL158" s="512"/>
      <c r="BB158" s="512"/>
      <c r="BC158" s="512"/>
      <c r="BD158" s="512"/>
      <c r="BE158" s="512"/>
      <c r="BF158" s="512"/>
      <c r="BG158" s="512"/>
    </row>
    <row r="159" spans="1:59" x14ac:dyDescent="0.2">
      <c r="P159" s="106"/>
      <c r="Q159" s="106"/>
      <c r="R159" s="106"/>
      <c r="S159" s="106"/>
      <c r="T159" s="106"/>
      <c r="U159" s="106"/>
      <c r="V159" s="106"/>
      <c r="W159" s="106"/>
      <c r="X159" s="102"/>
      <c r="Y159" s="102"/>
      <c r="Z159" s="102"/>
      <c r="AA159" s="102"/>
      <c r="AB159" s="102"/>
      <c r="AC159" s="102"/>
      <c r="AD159" s="102"/>
      <c r="AE159" s="106"/>
      <c r="AF159" s="102"/>
      <c r="AG159" s="102"/>
      <c r="AH159" s="106"/>
      <c r="AI159" s="106"/>
      <c r="AJ159" s="106"/>
    </row>
    <row r="160" spans="1:59" x14ac:dyDescent="0.2">
      <c r="P160" s="106"/>
      <c r="Q160" s="106"/>
      <c r="R160" s="106"/>
      <c r="S160" s="106"/>
      <c r="T160" s="106"/>
      <c r="U160" s="106"/>
      <c r="V160" s="106"/>
      <c r="W160" s="106"/>
      <c r="X160" s="106"/>
      <c r="Y160" s="106"/>
      <c r="Z160" s="106"/>
      <c r="AA160" s="106"/>
      <c r="AB160" s="512"/>
      <c r="AC160" s="106"/>
      <c r="AD160" s="106"/>
      <c r="AE160" s="512"/>
      <c r="AF160" s="106"/>
      <c r="AG160" s="106"/>
      <c r="AH160" s="512"/>
      <c r="AI160" s="512"/>
      <c r="AJ160" s="512"/>
    </row>
    <row r="161" spans="1:60" x14ac:dyDescent="0.2">
      <c r="P161" s="106"/>
      <c r="Q161" s="106"/>
      <c r="R161" s="106"/>
      <c r="S161" s="106"/>
      <c r="T161" s="512"/>
      <c r="U161" s="106"/>
      <c r="V161" s="106"/>
      <c r="W161" s="106"/>
      <c r="X161" s="106"/>
      <c r="Y161" s="106"/>
      <c r="Z161" s="106"/>
      <c r="AA161" s="106"/>
      <c r="AB161" s="106"/>
      <c r="AC161" s="106"/>
      <c r="AD161" s="106"/>
      <c r="AE161" s="106"/>
      <c r="AF161" s="106"/>
      <c r="AG161" s="106"/>
      <c r="AH161" s="512"/>
      <c r="AI161" s="512"/>
      <c r="AJ161" s="512"/>
    </row>
    <row r="162" spans="1:60" x14ac:dyDescent="0.2">
      <c r="P162" s="512"/>
      <c r="Q162" s="512"/>
      <c r="R162" s="512"/>
      <c r="S162" s="512"/>
      <c r="T162" s="512"/>
      <c r="U162" s="512"/>
      <c r="V162" s="512"/>
      <c r="W162" s="106"/>
      <c r="X162" s="106"/>
      <c r="Y162" s="106"/>
      <c r="Z162" s="106"/>
      <c r="AA162" s="106"/>
      <c r="AB162" s="106"/>
      <c r="AC162" s="106"/>
      <c r="AD162" s="106"/>
      <c r="AE162" s="106"/>
      <c r="AF162" s="106"/>
      <c r="AG162" s="106"/>
      <c r="AH162" s="512"/>
      <c r="AI162" s="106"/>
      <c r="AJ162" s="106"/>
      <c r="BH162" s="113"/>
    </row>
    <row r="163" spans="1:60" x14ac:dyDescent="0.2">
      <c r="P163" s="512"/>
      <c r="Q163" s="106"/>
      <c r="R163" s="106"/>
      <c r="S163" s="106"/>
      <c r="T163" s="106"/>
      <c r="U163" s="106"/>
      <c r="V163" s="106"/>
      <c r="W163" s="512"/>
      <c r="X163" s="512"/>
      <c r="Y163" s="512"/>
      <c r="Z163" s="512"/>
      <c r="AA163" s="512"/>
      <c r="AB163" s="512"/>
      <c r="AC163" s="512"/>
      <c r="AD163" s="512"/>
      <c r="AE163" s="512"/>
      <c r="AF163" s="106"/>
      <c r="AG163" s="106"/>
      <c r="AH163" s="512"/>
      <c r="AI163" s="106"/>
      <c r="AJ163" s="106"/>
      <c r="BH163" s="95"/>
    </row>
    <row r="164" spans="1:60" x14ac:dyDescent="0.2">
      <c r="P164" s="512"/>
      <c r="Q164" s="106"/>
      <c r="R164" s="106"/>
      <c r="S164" s="106"/>
      <c r="T164" s="106"/>
      <c r="U164" s="106"/>
      <c r="V164" s="106"/>
      <c r="W164" s="92"/>
      <c r="X164" s="92"/>
      <c r="Y164" s="92"/>
      <c r="Z164" s="92"/>
      <c r="AA164" s="92"/>
      <c r="AB164" s="92"/>
      <c r="AC164" s="92"/>
      <c r="AD164" s="92"/>
      <c r="AE164" s="92"/>
      <c r="AF164" s="92"/>
      <c r="AG164" s="92"/>
      <c r="AH164" s="92"/>
      <c r="AI164" s="92"/>
      <c r="AJ164" s="92"/>
      <c r="AK164" s="512"/>
      <c r="AL164" s="512"/>
      <c r="AM164" s="512"/>
      <c r="AN164" s="512"/>
      <c r="AO164" s="512"/>
      <c r="AP164" s="512"/>
      <c r="BH164" s="95"/>
    </row>
    <row r="165" spans="1:60" x14ac:dyDescent="0.2">
      <c r="A165" s="512"/>
      <c r="B165" s="102"/>
      <c r="C165" s="102"/>
      <c r="D165" s="102"/>
      <c r="E165" s="102"/>
      <c r="F165" s="102"/>
      <c r="G165" s="102"/>
      <c r="H165" s="102"/>
      <c r="I165" s="102"/>
      <c r="J165" s="102"/>
      <c r="K165" s="102"/>
      <c r="L165" s="512"/>
      <c r="M165" s="512"/>
      <c r="N165" s="512"/>
      <c r="O165" s="512"/>
      <c r="P165" s="95"/>
      <c r="Q165" s="95"/>
      <c r="R165" s="95"/>
      <c r="S165" s="95"/>
      <c r="T165" s="95"/>
      <c r="U165" s="95"/>
      <c r="V165" s="95"/>
    </row>
    <row r="166" spans="1:60" x14ac:dyDescent="0.2">
      <c r="A166" s="512"/>
      <c r="B166" s="102"/>
      <c r="C166" s="102"/>
      <c r="D166" s="102"/>
      <c r="E166" s="102"/>
      <c r="F166" s="102"/>
      <c r="G166" s="102"/>
      <c r="H166" s="106"/>
      <c r="I166" s="102"/>
      <c r="J166" s="102"/>
      <c r="K166" s="102"/>
      <c r="L166" s="102"/>
      <c r="M166" s="106"/>
      <c r="N166" s="106"/>
      <c r="O166" s="106"/>
    </row>
    <row r="167" spans="1:60" x14ac:dyDescent="0.2">
      <c r="A167" s="512"/>
      <c r="B167" s="106"/>
      <c r="C167" s="106"/>
      <c r="D167" s="106"/>
      <c r="E167" s="106"/>
      <c r="F167" s="512"/>
      <c r="G167" s="106"/>
      <c r="H167" s="512"/>
      <c r="I167" s="106"/>
      <c r="J167" s="106"/>
      <c r="K167" s="106"/>
      <c r="L167" s="102"/>
      <c r="M167" s="106"/>
      <c r="N167" s="106"/>
      <c r="O167" s="106"/>
    </row>
    <row r="168" spans="1:60" x14ac:dyDescent="0.2">
      <c r="A168" s="512"/>
      <c r="B168" s="106"/>
      <c r="C168" s="106"/>
      <c r="D168" s="106"/>
      <c r="E168" s="106"/>
      <c r="F168" s="106"/>
      <c r="G168" s="106"/>
      <c r="H168" s="106"/>
      <c r="I168" s="106"/>
      <c r="J168" s="106"/>
      <c r="K168" s="106"/>
      <c r="L168" s="106"/>
      <c r="M168" s="512"/>
      <c r="N168" s="512"/>
      <c r="O168" s="512"/>
    </row>
    <row r="169" spans="1:60" x14ac:dyDescent="0.2">
      <c r="A169" s="512"/>
      <c r="B169" s="106"/>
      <c r="C169" s="106"/>
      <c r="D169" s="106"/>
      <c r="E169" s="106"/>
      <c r="F169" s="106"/>
      <c r="G169" s="106"/>
      <c r="H169" s="106"/>
      <c r="I169" s="106"/>
      <c r="J169" s="106"/>
      <c r="K169" s="106"/>
      <c r="L169" s="106"/>
      <c r="M169" s="512"/>
      <c r="N169" s="512"/>
      <c r="O169" s="512"/>
    </row>
    <row r="170" spans="1:60" x14ac:dyDescent="0.2">
      <c r="A170" s="512"/>
      <c r="B170" s="512"/>
      <c r="C170" s="512"/>
      <c r="D170" s="512"/>
      <c r="E170" s="512"/>
      <c r="F170" s="512"/>
      <c r="G170" s="512"/>
      <c r="H170" s="512"/>
      <c r="I170" s="512"/>
      <c r="J170" s="512"/>
      <c r="K170" s="512"/>
      <c r="L170" s="106"/>
      <c r="M170" s="512"/>
      <c r="N170" s="106"/>
      <c r="O170" s="106"/>
    </row>
    <row r="171" spans="1:60" x14ac:dyDescent="0.2">
      <c r="A171" s="112"/>
      <c r="B171" s="112"/>
      <c r="C171" s="112"/>
      <c r="D171" s="112"/>
      <c r="E171" s="112"/>
      <c r="F171" s="112"/>
      <c r="G171" s="112"/>
      <c r="H171" s="112"/>
      <c r="I171" s="112"/>
      <c r="J171" s="112"/>
      <c r="K171" s="112"/>
      <c r="L171" s="512"/>
      <c r="M171" s="512"/>
      <c r="N171" s="106"/>
      <c r="O171" s="106"/>
    </row>
    <row r="175" spans="1:60" x14ac:dyDescent="0.2">
      <c r="AQ175" s="509"/>
      <c r="AR175" s="509"/>
      <c r="AS175" s="509"/>
      <c r="AT175" s="509"/>
      <c r="AU175" s="509"/>
      <c r="AV175" s="509"/>
      <c r="AW175" s="509"/>
      <c r="AX175" s="509"/>
      <c r="AY175" s="509"/>
      <c r="AZ175" s="509"/>
      <c r="BA175" s="509"/>
      <c r="BB175" s="509"/>
      <c r="BC175" s="509"/>
      <c r="BD175" s="509"/>
      <c r="BE175" s="509"/>
      <c r="BF175" s="509"/>
      <c r="BG175" s="509"/>
    </row>
    <row r="177" spans="3:59" x14ac:dyDescent="0.2">
      <c r="J177" s="509"/>
      <c r="K177" s="509"/>
    </row>
    <row r="180" spans="3:59" x14ac:dyDescent="0.2">
      <c r="H180" s="509"/>
      <c r="I180" s="509"/>
    </row>
    <row r="185" spans="3:59" x14ac:dyDescent="0.2">
      <c r="C185" s="509"/>
      <c r="D185" s="509"/>
      <c r="E185" s="509"/>
    </row>
    <row r="189" spans="3:59" x14ac:dyDescent="0.2">
      <c r="AQ189" s="509"/>
      <c r="AR189" s="509"/>
      <c r="AS189" s="509"/>
      <c r="AT189" s="509"/>
      <c r="AU189" s="509"/>
      <c r="AV189" s="509"/>
      <c r="AW189" s="509"/>
      <c r="AX189" s="509"/>
      <c r="AY189" s="509"/>
      <c r="AZ189" s="509"/>
      <c r="BA189" s="509"/>
      <c r="BB189" s="509"/>
      <c r="BC189" s="509"/>
      <c r="BD189" s="509"/>
      <c r="BE189" s="509"/>
      <c r="BF189" s="509"/>
      <c r="BG189" s="509"/>
    </row>
    <row r="191" spans="3:59" x14ac:dyDescent="0.2">
      <c r="H191" s="509"/>
      <c r="I191" s="509"/>
      <c r="J191" s="509"/>
      <c r="K191" s="509"/>
    </row>
    <row r="196" spans="3:59" x14ac:dyDescent="0.2">
      <c r="E196" s="509"/>
    </row>
    <row r="198" spans="3:59" x14ac:dyDescent="0.2">
      <c r="C198" s="509"/>
      <c r="D198" s="509"/>
    </row>
    <row r="200" spans="3:59" x14ac:dyDescent="0.2">
      <c r="AQ200" s="509"/>
      <c r="AR200" s="509"/>
      <c r="AS200" s="509"/>
      <c r="AT200" s="509"/>
      <c r="AU200" s="509"/>
      <c r="AV200" s="509"/>
      <c r="AW200" s="509"/>
      <c r="AX200" s="509"/>
      <c r="AY200" s="509"/>
      <c r="AZ200" s="509"/>
      <c r="BA200" s="509"/>
      <c r="BB200" s="509"/>
      <c r="BC200" s="509"/>
      <c r="BD200" s="509"/>
      <c r="BE200" s="509"/>
      <c r="BF200" s="509"/>
      <c r="BG200" s="509"/>
    </row>
    <row r="202" spans="3:59" x14ac:dyDescent="0.2">
      <c r="J202" s="509"/>
      <c r="K202" s="509"/>
    </row>
  </sheetData>
  <mergeCells count="119">
    <mergeCell ref="G145:J145"/>
    <mergeCell ref="K145:X145"/>
    <mergeCell ref="AM145:AO145"/>
    <mergeCell ref="AP145:BE145"/>
    <mergeCell ref="G146:J146"/>
    <mergeCell ref="AL146:AP146"/>
    <mergeCell ref="E140:AA141"/>
    <mergeCell ref="AF140:AO140"/>
    <mergeCell ref="AP140:BF142"/>
    <mergeCell ref="G142:J143"/>
    <mergeCell ref="K142:Z143"/>
    <mergeCell ref="AM143:AO143"/>
    <mergeCell ref="AP143:BF144"/>
    <mergeCell ref="G144:J144"/>
    <mergeCell ref="K144:X144"/>
    <mergeCell ref="A135:BG135"/>
    <mergeCell ref="A137:AD137"/>
    <mergeCell ref="AE137:BG137"/>
    <mergeCell ref="I138:X138"/>
    <mergeCell ref="D139:AB139"/>
    <mergeCell ref="AP139:BE139"/>
    <mergeCell ref="B111:AC112"/>
    <mergeCell ref="AF111:BG115"/>
    <mergeCell ref="B113:AC121"/>
    <mergeCell ref="AF116:BG120"/>
    <mergeCell ref="AE121:BF121"/>
    <mergeCell ref="B122:AC123"/>
    <mergeCell ref="AF123:BG125"/>
    <mergeCell ref="B124:AC132"/>
    <mergeCell ref="AF126:BG129"/>
    <mergeCell ref="AF130:BG133"/>
    <mergeCell ref="B100:AC104"/>
    <mergeCell ref="AE101:BG101"/>
    <mergeCell ref="AF103:BG105"/>
    <mergeCell ref="A106:AC106"/>
    <mergeCell ref="AF106:BG108"/>
    <mergeCell ref="B108:AC110"/>
    <mergeCell ref="AE109:BG109"/>
    <mergeCell ref="C88:AC93"/>
    <mergeCell ref="AF88:BG94"/>
    <mergeCell ref="A94:B94"/>
    <mergeCell ref="C94:AC96"/>
    <mergeCell ref="AF95:BG99"/>
    <mergeCell ref="A98:AC98"/>
    <mergeCell ref="A79:AC79"/>
    <mergeCell ref="AE79:BG79"/>
    <mergeCell ref="C80:AC81"/>
    <mergeCell ref="AE80:BF80"/>
    <mergeCell ref="A82:B82"/>
    <mergeCell ref="C82:AC86"/>
    <mergeCell ref="AF82:BG87"/>
    <mergeCell ref="A87:B87"/>
    <mergeCell ref="C87:AC87"/>
    <mergeCell ref="A70:B70"/>
    <mergeCell ref="C70:AC71"/>
    <mergeCell ref="AE70:AF70"/>
    <mergeCell ref="AG70:BG75"/>
    <mergeCell ref="A72:B72"/>
    <mergeCell ref="C72:AC76"/>
    <mergeCell ref="AE62:AF62"/>
    <mergeCell ref="AG62:BG63"/>
    <mergeCell ref="A63:AC63"/>
    <mergeCell ref="AE64:AF64"/>
    <mergeCell ref="AG64:BG69"/>
    <mergeCell ref="B65:AC65"/>
    <mergeCell ref="A66:B66"/>
    <mergeCell ref="C66:AC66"/>
    <mergeCell ref="A67:B67"/>
    <mergeCell ref="C67:AC69"/>
    <mergeCell ref="B47:AC50"/>
    <mergeCell ref="AE50:AF50"/>
    <mergeCell ref="AG50:BG60"/>
    <mergeCell ref="B51:AC53"/>
    <mergeCell ref="A55:AC55"/>
    <mergeCell ref="B57:AC61"/>
    <mergeCell ref="AF61:BG61"/>
    <mergeCell ref="B40:AC43"/>
    <mergeCell ref="AE40:AF40"/>
    <mergeCell ref="AG40:BG42"/>
    <mergeCell ref="AE43:AF43"/>
    <mergeCell ref="AG43:BG44"/>
    <mergeCell ref="B44:AC46"/>
    <mergeCell ref="AE45:AF45"/>
    <mergeCell ref="AG45:BG45"/>
    <mergeCell ref="AE46:AF46"/>
    <mergeCell ref="AG46:BG49"/>
    <mergeCell ref="A35:AC35"/>
    <mergeCell ref="AE35:AF35"/>
    <mergeCell ref="AG35:BG36"/>
    <mergeCell ref="B37:AC39"/>
    <mergeCell ref="AF37:BG37"/>
    <mergeCell ref="AE38:AF38"/>
    <mergeCell ref="AG38:BG39"/>
    <mergeCell ref="B31:AC32"/>
    <mergeCell ref="AE32:AF32"/>
    <mergeCell ref="AG32:BG32"/>
    <mergeCell ref="AE33:AF33"/>
    <mergeCell ref="AG33:BG34"/>
    <mergeCell ref="A34:AC34"/>
    <mergeCell ref="AH17:BG21"/>
    <mergeCell ref="B21:AC25"/>
    <mergeCell ref="AH22:BG23"/>
    <mergeCell ref="AH24:BG25"/>
    <mergeCell ref="B26:AC30"/>
    <mergeCell ref="AH26:BG26"/>
    <mergeCell ref="AH27:BG28"/>
    <mergeCell ref="AF29:BG29"/>
    <mergeCell ref="AE30:AF30"/>
    <mergeCell ref="AG30:BG31"/>
    <mergeCell ref="A1:AC1"/>
    <mergeCell ref="AH1:BG2"/>
    <mergeCell ref="A3:R3"/>
    <mergeCell ref="S3:AC3"/>
    <mergeCell ref="AH3:BG5"/>
    <mergeCell ref="A5:AC11"/>
    <mergeCell ref="AH6:BG8"/>
    <mergeCell ref="AH9:BG16"/>
    <mergeCell ref="A12:AC12"/>
    <mergeCell ref="B13:AC20"/>
  </mergeCells>
  <pageMargins left="0.67" right="0.37" top="0.34" bottom="0.17" header="0.35" footer="0.17"/>
  <pageSetup scale="87" orientation="portrait" r:id="rId1"/>
  <headerFooter alignWithMargins="0">
    <oddFooter xml:space="preserve">&amp;C&amp;"Times New Roman,Обычный"                             </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GM">
    <tabColor theme="3" tint="0.39997558519241921"/>
  </sheetPr>
  <dimension ref="A1:BO132"/>
  <sheetViews>
    <sheetView showGridLines="0" showRowColHeaders="0" view="pageBreakPreview" zoomScaleNormal="130" zoomScaleSheetLayoutView="100" workbookViewId="0">
      <selection sqref="A1:AE1"/>
    </sheetView>
  </sheetViews>
  <sheetFormatPr defaultRowHeight="11.25" x14ac:dyDescent="0.2"/>
  <cols>
    <col min="1" max="1" width="2.7109375" style="119" customWidth="1"/>
    <col min="2" max="31" width="1.7109375" style="119" customWidth="1"/>
    <col min="32" max="32" width="2.42578125" style="119" customWidth="1"/>
    <col min="33" max="33" width="1.7109375" style="119" customWidth="1"/>
    <col min="34" max="34" width="2.28515625" style="120" customWidth="1"/>
    <col min="35" max="35" width="1.7109375" style="120" customWidth="1"/>
    <col min="36" max="62" width="1.7109375" style="119" customWidth="1"/>
    <col min="63" max="63" width="2.140625" style="119" customWidth="1"/>
    <col min="64" max="16384" width="9.140625" style="119"/>
  </cols>
  <sheetData>
    <row r="1" spans="1:63" ht="12" customHeight="1" x14ac:dyDescent="0.2">
      <c r="A1" s="731" t="str">
        <f>"GİROV MÜQAVİLƏSİ    "&amp;LD_NUM&amp;""</f>
        <v>GİROV MÜQAVİLƏSİ    LD/15212/00143</v>
      </c>
      <c r="B1" s="731"/>
      <c r="C1" s="731"/>
      <c r="D1" s="731"/>
      <c r="E1" s="731"/>
      <c r="F1" s="731"/>
      <c r="G1" s="731"/>
      <c r="H1" s="731"/>
      <c r="I1" s="731"/>
      <c r="J1" s="731"/>
      <c r="K1" s="731"/>
      <c r="L1" s="731"/>
      <c r="M1" s="731"/>
      <c r="N1" s="731"/>
      <c r="O1" s="731"/>
      <c r="P1" s="731"/>
      <c r="Q1" s="731"/>
      <c r="R1" s="731"/>
      <c r="S1" s="731"/>
      <c r="T1" s="731"/>
      <c r="U1" s="731"/>
      <c r="V1" s="731"/>
      <c r="W1" s="731"/>
      <c r="X1" s="731"/>
      <c r="Y1" s="731"/>
      <c r="Z1" s="731"/>
      <c r="AA1" s="731"/>
      <c r="AB1" s="731"/>
      <c r="AC1" s="731"/>
      <c r="AD1" s="731"/>
      <c r="AE1" s="731"/>
      <c r="AF1" s="153"/>
      <c r="AH1" s="119"/>
      <c r="AI1" s="729" t="s">
        <v>474</v>
      </c>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row>
    <row r="2" spans="1:63" ht="12" customHeight="1" x14ac:dyDescent="0.2">
      <c r="A2" s="154"/>
      <c r="B2" s="154"/>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730" t="s">
        <v>114</v>
      </c>
      <c r="AH2" s="730"/>
      <c r="AI2" s="709" t="s">
        <v>433</v>
      </c>
      <c r="AJ2" s="709"/>
      <c r="AK2" s="709"/>
      <c r="AL2" s="709"/>
      <c r="AM2" s="709"/>
      <c r="AN2" s="709"/>
      <c r="AO2" s="709"/>
      <c r="AP2" s="709"/>
      <c r="AQ2" s="709"/>
      <c r="AR2" s="709"/>
      <c r="AS2" s="709"/>
      <c r="AT2" s="709"/>
      <c r="AU2" s="709"/>
      <c r="AV2" s="709"/>
      <c r="AW2" s="709"/>
      <c r="AX2" s="709"/>
      <c r="AY2" s="709"/>
      <c r="AZ2" s="709"/>
      <c r="BA2" s="709"/>
      <c r="BB2" s="709"/>
      <c r="BC2" s="709"/>
      <c r="BD2" s="709"/>
      <c r="BE2" s="709"/>
      <c r="BF2" s="709"/>
      <c r="BG2" s="709"/>
      <c r="BH2" s="709"/>
      <c r="BI2" s="709"/>
      <c r="BJ2" s="709"/>
      <c r="BK2" s="709"/>
    </row>
    <row r="3" spans="1:63" ht="12" customHeight="1" x14ac:dyDescent="0.2">
      <c r="A3" s="732" t="str">
        <f>NAME_REGION</f>
        <v>Ağcabədi şəhəri</v>
      </c>
      <c r="B3" s="732"/>
      <c r="C3" s="732"/>
      <c r="D3" s="732"/>
      <c r="E3" s="732"/>
      <c r="F3" s="732"/>
      <c r="G3" s="732"/>
      <c r="H3" s="732"/>
      <c r="I3" s="732"/>
      <c r="J3" s="732"/>
      <c r="K3" s="732"/>
      <c r="L3" s="732"/>
      <c r="M3" s="732"/>
      <c r="N3" s="732"/>
      <c r="O3" s="732"/>
      <c r="P3" s="732"/>
      <c r="Q3" s="732"/>
      <c r="R3" s="732"/>
      <c r="S3" s="732"/>
      <c r="T3" s="732"/>
      <c r="U3" s="732"/>
      <c r="V3" s="733" t="str">
        <f>START_DATE_KREDIT_SOZLE</f>
        <v>«31» İyul 2015-ci il</v>
      </c>
      <c r="W3" s="733"/>
      <c r="X3" s="733"/>
      <c r="Y3" s="733"/>
      <c r="Z3" s="733"/>
      <c r="AA3" s="733"/>
      <c r="AB3" s="733"/>
      <c r="AC3" s="733"/>
      <c r="AD3" s="733"/>
      <c r="AE3" s="733"/>
      <c r="AF3" s="153"/>
      <c r="AG3" s="155"/>
      <c r="AH3" s="155"/>
      <c r="AI3" s="709"/>
      <c r="AJ3" s="709"/>
      <c r="AK3" s="709"/>
      <c r="AL3" s="709"/>
      <c r="AM3" s="709"/>
      <c r="AN3" s="709"/>
      <c r="AO3" s="709"/>
      <c r="AP3" s="709"/>
      <c r="AQ3" s="709"/>
      <c r="AR3" s="709"/>
      <c r="AS3" s="709"/>
      <c r="AT3" s="709"/>
      <c r="AU3" s="709"/>
      <c r="AV3" s="709"/>
      <c r="AW3" s="709"/>
      <c r="AX3" s="709"/>
      <c r="AY3" s="709"/>
      <c r="AZ3" s="709"/>
      <c r="BA3" s="709"/>
      <c r="BB3" s="709"/>
      <c r="BC3" s="709"/>
      <c r="BD3" s="709"/>
      <c r="BE3" s="709"/>
      <c r="BF3" s="709"/>
      <c r="BG3" s="709"/>
      <c r="BH3" s="709"/>
      <c r="BI3" s="709"/>
      <c r="BJ3" s="709"/>
      <c r="BK3" s="709"/>
    </row>
    <row r="4" spans="1:63" ht="12" customHeight="1" x14ac:dyDescent="0.2">
      <c r="A4" s="157"/>
      <c r="B4" s="157"/>
      <c r="C4" s="157"/>
      <c r="D4" s="157"/>
      <c r="E4" s="157"/>
      <c r="F4" s="157"/>
      <c r="G4" s="157"/>
      <c r="H4" s="157"/>
      <c r="I4" s="157"/>
      <c r="J4" s="157"/>
      <c r="K4" s="157"/>
      <c r="L4" s="157"/>
      <c r="M4" s="157"/>
      <c r="N4" s="157"/>
      <c r="O4" s="157"/>
      <c r="P4" s="157"/>
      <c r="Q4" s="157"/>
      <c r="R4" s="157"/>
      <c r="S4" s="157"/>
      <c r="T4" s="157"/>
      <c r="U4" s="157"/>
      <c r="V4" s="156"/>
      <c r="W4" s="156"/>
      <c r="X4" s="156"/>
      <c r="Y4" s="156"/>
      <c r="Z4" s="156"/>
      <c r="AA4" s="156"/>
      <c r="AB4" s="156"/>
      <c r="AC4" s="156"/>
      <c r="AD4" s="156"/>
      <c r="AE4" s="156"/>
      <c r="AF4" s="156"/>
      <c r="AG4" s="155"/>
      <c r="AH4" s="155"/>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09"/>
      <c r="BJ4" s="709"/>
      <c r="BK4" s="709"/>
    </row>
    <row r="5" spans="1:63" ht="12" customHeight="1" x14ac:dyDescent="0.2">
      <c r="A5" s="709" t="str">
        <f>"Bir tərəfdən bundan sonra «Girov saxlayan» adlanacaq, Azərbaycan Respublikasnın Mərkəzi Bankı  tərəfindən  verilmiş  lisenziya və Nizamnamə əsasında fəaliyyət göstərən, Bank Olmayan Kredit Təşkilatı «Vijn Fond Azərkredit» MMC, "&amp;NAME_BRANCH&amp;"  "&amp;POSITION_MENEGER_BRANCH&amp;" "&amp;SURNAME_MENEGER_BRANCH&amp;" "&amp;NAME_MENEGER_BRANCH&amp;" "&amp;FATHERNAME_MENEGER_BRANCH&amp;" "&amp;G_MENEGER_BRANCH&amp;"nun şəxsində və digər tərəfdən bundan sonra  «Girov qoyan» adlanacaq "&amp;SURNAME_KREDITOR&amp;" "&amp;NAME_KREDITOR&amp;" "&amp;FATHERNAME_KREDITOR&amp;" "&amp;G_KREDITOR&amp;", aşağıdakılar barəsində bu müqaviləni bağladılar."</f>
        <v>Bir tərəfdən bundan sonra «Girov saxlayan» adlanacaq, Azərbaycan Respublikasnın Mərkəzi Bankı  tərəfindən  verilmiş  lisenziya və Nizamnamə əsasında fəaliyyət göstərən, Bank Olmayan Kredit Təşkilatı «Vijn Fond Azərkredit» MMC, Ağcabədi  Filialının  kredit meneceri Əhmədov  Bəhruz  Tofiq  oğlunun şəxsində və digər tərəfdən bundan sonra  «Girov qoyan» adlanacaq Həsənov Kənan Asdan qızı, aşağıdakılar barəsində bu müqaviləni bağladılar.</v>
      </c>
      <c r="B5" s="709"/>
      <c r="C5" s="709"/>
      <c r="D5" s="709"/>
      <c r="E5" s="709"/>
      <c r="F5" s="709"/>
      <c r="G5" s="709"/>
      <c r="H5" s="709"/>
      <c r="I5" s="709"/>
      <c r="J5" s="709"/>
      <c r="K5" s="709"/>
      <c r="L5" s="709"/>
      <c r="M5" s="709"/>
      <c r="N5" s="709"/>
      <c r="O5" s="709"/>
      <c r="P5" s="709"/>
      <c r="Q5" s="709"/>
      <c r="R5" s="709"/>
      <c r="S5" s="709"/>
      <c r="T5" s="709"/>
      <c r="U5" s="709"/>
      <c r="V5" s="709"/>
      <c r="W5" s="709"/>
      <c r="X5" s="709"/>
      <c r="Y5" s="709"/>
      <c r="Z5" s="709"/>
      <c r="AA5" s="709"/>
      <c r="AB5" s="709"/>
      <c r="AC5" s="709"/>
      <c r="AD5" s="709"/>
      <c r="AE5" s="709"/>
      <c r="AF5" s="156"/>
      <c r="AG5" s="730" t="s">
        <v>83</v>
      </c>
      <c r="AH5" s="730"/>
      <c r="AI5" s="709" t="s">
        <v>113</v>
      </c>
      <c r="AJ5" s="709"/>
      <c r="AK5" s="709"/>
      <c r="AL5" s="709"/>
      <c r="AM5" s="709"/>
      <c r="AN5" s="709"/>
      <c r="AO5" s="709"/>
      <c r="AP5" s="709"/>
      <c r="AQ5" s="709"/>
      <c r="AR5" s="709"/>
      <c r="AS5" s="709"/>
      <c r="AT5" s="709"/>
      <c r="AU5" s="709"/>
      <c r="AV5" s="709"/>
      <c r="AW5" s="709"/>
      <c r="AX5" s="709"/>
      <c r="AY5" s="709"/>
      <c r="AZ5" s="709"/>
      <c r="BA5" s="709"/>
      <c r="BB5" s="709"/>
      <c r="BC5" s="709"/>
      <c r="BD5" s="709"/>
      <c r="BE5" s="709"/>
      <c r="BF5" s="709"/>
      <c r="BG5" s="709"/>
      <c r="BH5" s="709"/>
      <c r="BI5" s="709"/>
      <c r="BJ5" s="709"/>
      <c r="BK5" s="709"/>
    </row>
    <row r="6" spans="1:63" ht="12" customHeight="1" x14ac:dyDescent="0.2">
      <c r="A6" s="709"/>
      <c r="B6" s="709"/>
      <c r="C6" s="709"/>
      <c r="D6" s="709"/>
      <c r="E6" s="709"/>
      <c r="F6" s="709"/>
      <c r="G6" s="709"/>
      <c r="H6" s="709"/>
      <c r="I6" s="709"/>
      <c r="J6" s="709"/>
      <c r="K6" s="709"/>
      <c r="L6" s="709"/>
      <c r="M6" s="709"/>
      <c r="N6" s="709"/>
      <c r="O6" s="709"/>
      <c r="P6" s="709"/>
      <c r="Q6" s="709"/>
      <c r="R6" s="709"/>
      <c r="S6" s="709"/>
      <c r="T6" s="709"/>
      <c r="U6" s="709"/>
      <c r="V6" s="709"/>
      <c r="W6" s="709"/>
      <c r="X6" s="709"/>
      <c r="Y6" s="709"/>
      <c r="Z6" s="709"/>
      <c r="AA6" s="709"/>
      <c r="AB6" s="709"/>
      <c r="AC6" s="709"/>
      <c r="AD6" s="709"/>
      <c r="AE6" s="709"/>
      <c r="AF6" s="156"/>
      <c r="AG6" s="158"/>
      <c r="AH6" s="158"/>
      <c r="AI6" s="709"/>
      <c r="AJ6" s="709"/>
      <c r="AK6" s="709"/>
      <c r="AL6" s="709"/>
      <c r="AM6" s="709"/>
      <c r="AN6" s="709"/>
      <c r="AO6" s="709"/>
      <c r="AP6" s="709"/>
      <c r="AQ6" s="709"/>
      <c r="AR6" s="709"/>
      <c r="AS6" s="709"/>
      <c r="AT6" s="709"/>
      <c r="AU6" s="709"/>
      <c r="AV6" s="709"/>
      <c r="AW6" s="709"/>
      <c r="AX6" s="709"/>
      <c r="AY6" s="709"/>
      <c r="AZ6" s="709"/>
      <c r="BA6" s="709"/>
      <c r="BB6" s="709"/>
      <c r="BC6" s="709"/>
      <c r="BD6" s="709"/>
      <c r="BE6" s="709"/>
      <c r="BF6" s="709"/>
      <c r="BG6" s="709"/>
      <c r="BH6" s="709"/>
      <c r="BI6" s="709"/>
      <c r="BJ6" s="709"/>
      <c r="BK6" s="709"/>
    </row>
    <row r="7" spans="1:63" ht="12" customHeight="1" x14ac:dyDescent="0.2">
      <c r="A7" s="709"/>
      <c r="B7" s="709"/>
      <c r="C7" s="709"/>
      <c r="D7" s="709"/>
      <c r="E7" s="709"/>
      <c r="F7" s="709"/>
      <c r="G7" s="709"/>
      <c r="H7" s="709"/>
      <c r="I7" s="709"/>
      <c r="J7" s="709"/>
      <c r="K7" s="709"/>
      <c r="L7" s="709"/>
      <c r="M7" s="709"/>
      <c r="N7" s="709"/>
      <c r="O7" s="709"/>
      <c r="P7" s="709"/>
      <c r="Q7" s="709"/>
      <c r="R7" s="709"/>
      <c r="S7" s="709"/>
      <c r="T7" s="709"/>
      <c r="U7" s="709"/>
      <c r="V7" s="709"/>
      <c r="W7" s="709"/>
      <c r="X7" s="709"/>
      <c r="Y7" s="709"/>
      <c r="Z7" s="709"/>
      <c r="AA7" s="709"/>
      <c r="AB7" s="709"/>
      <c r="AC7" s="709"/>
      <c r="AD7" s="709"/>
      <c r="AE7" s="709"/>
      <c r="AF7" s="156"/>
      <c r="AG7" s="730" t="s">
        <v>112</v>
      </c>
      <c r="AH7" s="730"/>
      <c r="AI7" s="709" t="s">
        <v>111</v>
      </c>
      <c r="AJ7" s="709"/>
      <c r="AK7" s="709"/>
      <c r="AL7" s="709"/>
      <c r="AM7" s="709"/>
      <c r="AN7" s="709"/>
      <c r="AO7" s="709"/>
      <c r="AP7" s="709"/>
      <c r="AQ7" s="709"/>
      <c r="AR7" s="709"/>
      <c r="AS7" s="709"/>
      <c r="AT7" s="709"/>
      <c r="AU7" s="709"/>
      <c r="AV7" s="709"/>
      <c r="AW7" s="709"/>
      <c r="AX7" s="709"/>
      <c r="AY7" s="709"/>
      <c r="AZ7" s="709"/>
      <c r="BA7" s="709"/>
      <c r="BB7" s="709"/>
      <c r="BC7" s="709"/>
      <c r="BD7" s="709"/>
      <c r="BE7" s="709"/>
      <c r="BF7" s="709"/>
      <c r="BG7" s="709"/>
      <c r="BH7" s="709"/>
      <c r="BI7" s="709"/>
      <c r="BJ7" s="709"/>
      <c r="BK7" s="709"/>
    </row>
    <row r="8" spans="1:63" ht="12" customHeight="1" x14ac:dyDescent="0.2">
      <c r="A8" s="709"/>
      <c r="B8" s="709"/>
      <c r="C8" s="709"/>
      <c r="D8" s="709"/>
      <c r="E8" s="709"/>
      <c r="F8" s="709"/>
      <c r="G8" s="709"/>
      <c r="H8" s="709"/>
      <c r="I8" s="709"/>
      <c r="J8" s="709"/>
      <c r="K8" s="709"/>
      <c r="L8" s="709"/>
      <c r="M8" s="709"/>
      <c r="N8" s="709"/>
      <c r="O8" s="709"/>
      <c r="P8" s="709"/>
      <c r="Q8" s="709"/>
      <c r="R8" s="709"/>
      <c r="S8" s="709"/>
      <c r="T8" s="709"/>
      <c r="U8" s="709"/>
      <c r="V8" s="709"/>
      <c r="W8" s="709"/>
      <c r="X8" s="709"/>
      <c r="Y8" s="709"/>
      <c r="Z8" s="709"/>
      <c r="AA8" s="709"/>
      <c r="AB8" s="709"/>
      <c r="AC8" s="709"/>
      <c r="AD8" s="709"/>
      <c r="AE8" s="709"/>
      <c r="AF8" s="156"/>
      <c r="AG8" s="155"/>
      <c r="AH8" s="155"/>
      <c r="AI8" s="709"/>
      <c r="AJ8" s="709"/>
      <c r="AK8" s="709"/>
      <c r="AL8" s="709"/>
      <c r="AM8" s="709"/>
      <c r="AN8" s="709"/>
      <c r="AO8" s="709"/>
      <c r="AP8" s="709"/>
      <c r="AQ8" s="709"/>
      <c r="AR8" s="709"/>
      <c r="AS8" s="709"/>
      <c r="AT8" s="709"/>
      <c r="AU8" s="709"/>
      <c r="AV8" s="709"/>
      <c r="AW8" s="709"/>
      <c r="AX8" s="709"/>
      <c r="AY8" s="709"/>
      <c r="AZ8" s="709"/>
      <c r="BA8" s="709"/>
      <c r="BB8" s="709"/>
      <c r="BC8" s="709"/>
      <c r="BD8" s="709"/>
      <c r="BE8" s="709"/>
      <c r="BF8" s="709"/>
      <c r="BG8" s="709"/>
      <c r="BH8" s="709"/>
      <c r="BI8" s="709"/>
      <c r="BJ8" s="709"/>
      <c r="BK8" s="709"/>
    </row>
    <row r="9" spans="1:63" ht="12" customHeight="1" x14ac:dyDescent="0.2">
      <c r="A9" s="709"/>
      <c r="B9" s="709"/>
      <c r="C9" s="709"/>
      <c r="D9" s="709"/>
      <c r="E9" s="709"/>
      <c r="F9" s="709"/>
      <c r="G9" s="709"/>
      <c r="H9" s="709"/>
      <c r="I9" s="709"/>
      <c r="J9" s="709"/>
      <c r="K9" s="709"/>
      <c r="L9" s="709"/>
      <c r="M9" s="709"/>
      <c r="N9" s="709"/>
      <c r="O9" s="709"/>
      <c r="P9" s="709"/>
      <c r="Q9" s="709"/>
      <c r="R9" s="709"/>
      <c r="S9" s="709"/>
      <c r="T9" s="709"/>
      <c r="U9" s="709"/>
      <c r="V9" s="709"/>
      <c r="W9" s="709"/>
      <c r="X9" s="709"/>
      <c r="Y9" s="709"/>
      <c r="Z9" s="709"/>
      <c r="AA9" s="709"/>
      <c r="AB9" s="709"/>
      <c r="AC9" s="709"/>
      <c r="AD9" s="709"/>
      <c r="AE9" s="709"/>
      <c r="AF9" s="156"/>
      <c r="AG9" s="155"/>
      <c r="AH9" s="155"/>
      <c r="AI9" s="709"/>
      <c r="AJ9" s="709"/>
      <c r="AK9" s="709"/>
      <c r="AL9" s="709"/>
      <c r="AM9" s="709"/>
      <c r="AN9" s="709"/>
      <c r="AO9" s="709"/>
      <c r="AP9" s="709"/>
      <c r="AQ9" s="709"/>
      <c r="AR9" s="709"/>
      <c r="AS9" s="709"/>
      <c r="AT9" s="709"/>
      <c r="AU9" s="709"/>
      <c r="AV9" s="709"/>
      <c r="AW9" s="709"/>
      <c r="AX9" s="709"/>
      <c r="AY9" s="709"/>
      <c r="AZ9" s="709"/>
      <c r="BA9" s="709"/>
      <c r="BB9" s="709"/>
      <c r="BC9" s="709"/>
      <c r="BD9" s="709"/>
      <c r="BE9" s="709"/>
      <c r="BF9" s="709"/>
      <c r="BG9" s="709"/>
      <c r="BH9" s="709"/>
      <c r="BI9" s="709"/>
      <c r="BJ9" s="709"/>
      <c r="BK9" s="709"/>
    </row>
    <row r="10" spans="1:63" ht="12" customHeight="1" x14ac:dyDescent="0.2">
      <c r="A10" s="709"/>
      <c r="B10" s="709"/>
      <c r="C10" s="709"/>
      <c r="D10" s="709"/>
      <c r="E10" s="709"/>
      <c r="F10" s="709"/>
      <c r="G10" s="709"/>
      <c r="H10" s="709"/>
      <c r="I10" s="709"/>
      <c r="J10" s="709"/>
      <c r="K10" s="709"/>
      <c r="L10" s="709"/>
      <c r="M10" s="709"/>
      <c r="N10" s="709"/>
      <c r="O10" s="709"/>
      <c r="P10" s="709"/>
      <c r="Q10" s="709"/>
      <c r="R10" s="709"/>
      <c r="S10" s="709"/>
      <c r="T10" s="709"/>
      <c r="U10" s="709"/>
      <c r="V10" s="709"/>
      <c r="W10" s="709"/>
      <c r="X10" s="709"/>
      <c r="Y10" s="709"/>
      <c r="Z10" s="709"/>
      <c r="AA10" s="709"/>
      <c r="AB10" s="709"/>
      <c r="AC10" s="709"/>
      <c r="AD10" s="709"/>
      <c r="AE10" s="709"/>
      <c r="AF10" s="156"/>
      <c r="AG10" s="730" t="s">
        <v>109</v>
      </c>
      <c r="AH10" s="730"/>
      <c r="AI10" s="728" t="s">
        <v>108</v>
      </c>
      <c r="AJ10" s="728"/>
      <c r="AK10" s="728"/>
      <c r="AL10" s="728"/>
      <c r="AM10" s="728"/>
      <c r="AN10" s="728"/>
      <c r="AO10" s="728"/>
      <c r="AP10" s="728"/>
      <c r="AQ10" s="728"/>
      <c r="AR10" s="728"/>
      <c r="AS10" s="728"/>
      <c r="AT10" s="728"/>
      <c r="AU10" s="728"/>
      <c r="AV10" s="728"/>
      <c r="AW10" s="728"/>
      <c r="AX10" s="728"/>
      <c r="AY10" s="728"/>
      <c r="AZ10" s="728"/>
      <c r="BA10" s="728"/>
      <c r="BB10" s="728"/>
      <c r="BC10" s="728"/>
      <c r="BD10" s="728"/>
      <c r="BE10" s="728"/>
      <c r="BF10" s="728"/>
      <c r="BG10" s="728"/>
      <c r="BH10" s="728"/>
      <c r="BI10" s="728"/>
      <c r="BJ10" s="728"/>
      <c r="BK10" s="728"/>
    </row>
    <row r="11" spans="1:63" ht="12" customHeight="1" x14ac:dyDescent="0.2">
      <c r="AF11" s="156"/>
      <c r="AG11" s="159"/>
      <c r="AH11" s="159"/>
      <c r="AI11" s="728"/>
      <c r="AJ11" s="728"/>
      <c r="AK11" s="728"/>
      <c r="AL11" s="728"/>
      <c r="AM11" s="728"/>
      <c r="AN11" s="728"/>
      <c r="AO11" s="728"/>
      <c r="AP11" s="728"/>
      <c r="AQ11" s="728"/>
      <c r="AR11" s="728"/>
      <c r="AS11" s="728"/>
      <c r="AT11" s="728"/>
      <c r="AU11" s="728"/>
      <c r="AV11" s="728"/>
      <c r="AW11" s="728"/>
      <c r="AX11" s="728"/>
      <c r="AY11" s="728"/>
      <c r="AZ11" s="728"/>
      <c r="BA11" s="728"/>
      <c r="BB11" s="728"/>
      <c r="BC11" s="728"/>
      <c r="BD11" s="728"/>
      <c r="BE11" s="728"/>
      <c r="BF11" s="728"/>
      <c r="BG11" s="728"/>
      <c r="BH11" s="728"/>
      <c r="BI11" s="728"/>
      <c r="BJ11" s="728"/>
      <c r="BK11" s="728"/>
    </row>
    <row r="12" spans="1:63" ht="12" customHeight="1" x14ac:dyDescent="0.2">
      <c r="A12" s="708" t="s">
        <v>164</v>
      </c>
      <c r="B12" s="708"/>
      <c r="C12" s="708"/>
      <c r="D12" s="708"/>
      <c r="E12" s="708"/>
      <c r="F12" s="708"/>
      <c r="G12" s="708"/>
      <c r="H12" s="708"/>
      <c r="I12" s="708"/>
      <c r="J12" s="708"/>
      <c r="K12" s="708"/>
      <c r="L12" s="708"/>
      <c r="M12" s="708"/>
      <c r="N12" s="708"/>
      <c r="O12" s="708"/>
      <c r="P12" s="708"/>
      <c r="Q12" s="708"/>
      <c r="R12" s="708"/>
      <c r="S12" s="708"/>
      <c r="T12" s="708"/>
      <c r="U12" s="708"/>
      <c r="V12" s="708"/>
      <c r="W12" s="708"/>
      <c r="X12" s="708"/>
      <c r="Y12" s="708"/>
      <c r="Z12" s="708"/>
      <c r="AA12" s="708"/>
      <c r="AB12" s="708"/>
      <c r="AC12" s="708"/>
      <c r="AD12" s="708"/>
      <c r="AE12" s="708"/>
      <c r="AF12" s="156"/>
      <c r="AG12" s="730" t="s">
        <v>107</v>
      </c>
      <c r="AH12" s="730"/>
      <c r="AI12" s="709" t="s">
        <v>106</v>
      </c>
      <c r="AJ12" s="709"/>
      <c r="AK12" s="709"/>
      <c r="AL12" s="709"/>
      <c r="AM12" s="709"/>
      <c r="AN12" s="709"/>
      <c r="AO12" s="709"/>
      <c r="AP12" s="709"/>
      <c r="AQ12" s="709"/>
      <c r="AR12" s="709"/>
      <c r="AS12" s="709"/>
      <c r="AT12" s="709"/>
      <c r="AU12" s="709"/>
      <c r="AV12" s="709"/>
      <c r="AW12" s="709"/>
      <c r="AX12" s="709"/>
      <c r="AY12" s="709"/>
      <c r="AZ12" s="709"/>
      <c r="BA12" s="709"/>
      <c r="BB12" s="709"/>
      <c r="BC12" s="709"/>
      <c r="BD12" s="709"/>
      <c r="BE12" s="709"/>
      <c r="BF12" s="709"/>
      <c r="BG12" s="709"/>
      <c r="BH12" s="709"/>
      <c r="BI12" s="709"/>
      <c r="BJ12" s="709"/>
      <c r="BK12" s="709"/>
    </row>
    <row r="13" spans="1:63" ht="12" customHeight="1" x14ac:dyDescent="0.2">
      <c r="A13" s="166"/>
      <c r="B13" s="166"/>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56"/>
      <c r="AG13" s="158"/>
      <c r="AH13" s="158"/>
      <c r="AI13" s="709"/>
      <c r="AJ13" s="709"/>
      <c r="AK13" s="709"/>
      <c r="AL13" s="709"/>
      <c r="AM13" s="709"/>
      <c r="AN13" s="709"/>
      <c r="AO13" s="709"/>
      <c r="AP13" s="709"/>
      <c r="AQ13" s="709"/>
      <c r="AR13" s="709"/>
      <c r="AS13" s="709"/>
      <c r="AT13" s="709"/>
      <c r="AU13" s="709"/>
      <c r="AV13" s="709"/>
      <c r="AW13" s="709"/>
      <c r="AX13" s="709"/>
      <c r="AY13" s="709"/>
      <c r="AZ13" s="709"/>
      <c r="BA13" s="709"/>
      <c r="BB13" s="709"/>
      <c r="BC13" s="709"/>
      <c r="BD13" s="709"/>
      <c r="BE13" s="709"/>
      <c r="BF13" s="709"/>
      <c r="BG13" s="709"/>
      <c r="BH13" s="709"/>
      <c r="BI13" s="709"/>
      <c r="BJ13" s="709"/>
      <c r="BK13" s="709"/>
    </row>
    <row r="14" spans="1:63" ht="12" customHeight="1" x14ac:dyDescent="0.2">
      <c r="A14" s="162" t="s">
        <v>161</v>
      </c>
      <c r="B14" s="728" t="str">
        <f>"«Girov saxlayan»la «Girov qoyan» arasında bağlanılan "&amp;START_DATE_KREDIT_SOZLE&amp;" tarixli, "&amp;LD_NUM&amp;" saylı kredit müqaviləsinə əsasən "&amp;GOTURDUYU_MEBLEQ&amp;" "&amp;PUL_VAHIDI&amp;" ("&amp;GOTURDUYU_MEBLEQ_SOZLE&amp;" "&amp;PUL_VAHIDI_SOZLE&amp;") məbləğində "&amp;MONTH_KREDIT&amp;" ("&amp;LEFT(MONTH_KREDIT_SOZLE,LEN(MONTH_KREDIT_SOZLE)-1)&amp;") ay müddətinə verilən kreditin və ona hesablanan faizlərin qaytarılmasının təminatı olaraq  «Girov qoyan» özünə  məxsus olan və girov kimi çıxış edən, bu müqaviləyə əlavə edilmiş və onun ayrılmaz hissəsini təşkil edən siyahıda (əlavə və ya "&amp;"əlavələr) göstərilən  əşyaları (bundan sonra «girov predmeti» adlandırılacaqdır) «Girov saxlayan»a girov qoyur."</f>
        <v>«Girov saxlayan»la «Girov qoyan» arasında bağlanılan «31» İyul 2015-ci il tarixli, LD/15212/00143 saylı kredit müqaviləsinə əsasən 1000.00 AZN (bir min  manat) məbləğində 10 (on) ay müddətinə verilən kreditin və ona hesablanan faizlərin qaytarılmasının təminatı olaraq  «Girov qoyan» özünə  məxsus olan və girov kimi çıxış edən, bu müqaviləyə əlavə edilmiş və onun ayrılmaz hissəsini təşkil edən siyahıda (əlavə və ya əlavələr) göstərilən  əşyaları (bundan sonra «girov predmeti» adlandırılacaqdır) «Girov saxlayan»a girov qoyur.</v>
      </c>
      <c r="C14" s="728"/>
      <c r="D14" s="728"/>
      <c r="E14" s="728"/>
      <c r="F14" s="728"/>
      <c r="G14" s="728"/>
      <c r="H14" s="728"/>
      <c r="I14" s="728"/>
      <c r="J14" s="728"/>
      <c r="K14" s="728"/>
      <c r="L14" s="728"/>
      <c r="M14" s="728"/>
      <c r="N14" s="728"/>
      <c r="O14" s="728"/>
      <c r="P14" s="728"/>
      <c r="Q14" s="728"/>
      <c r="R14" s="728"/>
      <c r="S14" s="728"/>
      <c r="T14" s="728"/>
      <c r="U14" s="728"/>
      <c r="V14" s="728"/>
      <c r="W14" s="728"/>
      <c r="X14" s="728"/>
      <c r="Y14" s="728"/>
      <c r="Z14" s="728"/>
      <c r="AA14" s="728"/>
      <c r="AB14" s="728"/>
      <c r="AC14" s="728"/>
      <c r="AD14" s="728"/>
      <c r="AE14" s="728"/>
      <c r="AF14" s="156"/>
      <c r="AG14" s="730" t="s">
        <v>105</v>
      </c>
      <c r="AH14" s="730"/>
      <c r="AI14" s="728" t="s">
        <v>104</v>
      </c>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row>
    <row r="15" spans="1:63" ht="12" customHeight="1" x14ac:dyDescent="0.2">
      <c r="B15" s="728"/>
      <c r="C15" s="728"/>
      <c r="D15" s="728"/>
      <c r="E15" s="728"/>
      <c r="F15" s="728"/>
      <c r="G15" s="728"/>
      <c r="H15" s="728"/>
      <c r="I15" s="728"/>
      <c r="J15" s="728"/>
      <c r="K15" s="728"/>
      <c r="L15" s="728"/>
      <c r="M15" s="728"/>
      <c r="N15" s="728"/>
      <c r="O15" s="728"/>
      <c r="P15" s="728"/>
      <c r="Q15" s="728"/>
      <c r="R15" s="728"/>
      <c r="S15" s="728"/>
      <c r="T15" s="728"/>
      <c r="U15" s="728"/>
      <c r="V15" s="728"/>
      <c r="W15" s="728"/>
      <c r="X15" s="728"/>
      <c r="Y15" s="728"/>
      <c r="Z15" s="728"/>
      <c r="AA15" s="728"/>
      <c r="AB15" s="728"/>
      <c r="AC15" s="728"/>
      <c r="AD15" s="728"/>
      <c r="AE15" s="728"/>
      <c r="AF15" s="156"/>
      <c r="AG15" s="155"/>
      <c r="AH15" s="155"/>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row>
    <row r="16" spans="1:63" ht="11.25" customHeight="1" x14ac:dyDescent="0.2">
      <c r="A16" s="160"/>
      <c r="B16" s="728"/>
      <c r="C16" s="728"/>
      <c r="D16" s="728"/>
      <c r="E16" s="728"/>
      <c r="F16" s="728"/>
      <c r="G16" s="728"/>
      <c r="H16" s="728"/>
      <c r="I16" s="728"/>
      <c r="J16" s="728"/>
      <c r="K16" s="728"/>
      <c r="L16" s="728"/>
      <c r="M16" s="728"/>
      <c r="N16" s="728"/>
      <c r="O16" s="728"/>
      <c r="P16" s="728"/>
      <c r="Q16" s="728"/>
      <c r="R16" s="728"/>
      <c r="S16" s="728"/>
      <c r="T16" s="728"/>
      <c r="U16" s="728"/>
      <c r="V16" s="728"/>
      <c r="W16" s="728"/>
      <c r="X16" s="728"/>
      <c r="Y16" s="728"/>
      <c r="Z16" s="728"/>
      <c r="AA16" s="728"/>
      <c r="AB16" s="728"/>
      <c r="AC16" s="728"/>
      <c r="AD16" s="728"/>
      <c r="AE16" s="728"/>
      <c r="AF16" s="156"/>
      <c r="AG16" s="155"/>
      <c r="AH16" s="155"/>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row>
    <row r="17" spans="1:63" ht="12" customHeight="1" x14ac:dyDescent="0.2">
      <c r="A17" s="157"/>
      <c r="B17" s="728"/>
      <c r="C17" s="728"/>
      <c r="D17" s="728"/>
      <c r="E17" s="728"/>
      <c r="F17" s="728"/>
      <c r="G17" s="728"/>
      <c r="H17" s="728"/>
      <c r="I17" s="728"/>
      <c r="J17" s="728"/>
      <c r="K17" s="728"/>
      <c r="L17" s="728"/>
      <c r="M17" s="728"/>
      <c r="N17" s="728"/>
      <c r="O17" s="728"/>
      <c r="P17" s="728"/>
      <c r="Q17" s="728"/>
      <c r="R17" s="728"/>
      <c r="S17" s="728"/>
      <c r="T17" s="728"/>
      <c r="U17" s="728"/>
      <c r="V17" s="728"/>
      <c r="W17" s="728"/>
      <c r="X17" s="728"/>
      <c r="Y17" s="728"/>
      <c r="Z17" s="728"/>
      <c r="AA17" s="728"/>
      <c r="AB17" s="728"/>
      <c r="AC17" s="728"/>
      <c r="AD17" s="728"/>
      <c r="AE17" s="728"/>
      <c r="AF17" s="156"/>
      <c r="AG17" s="735" t="s">
        <v>431</v>
      </c>
      <c r="AH17" s="735"/>
      <c r="AI17" s="728" t="str">
        <f>"Kredit müqaviləsi üzrə öhdəliklərini yerinə yetirmədiyi və ya lazımınca yerinə yetirmədiyi təqdirdə,  «Girov saxlayan»ın tələblərinin girov qoyulmuş əmlak hesabına ödənilməsi məqsədilə girov predmetini təhvil-təslim aktına əsasən  "&amp;"«Girov saxlayan»a təhvil vermək;"</f>
        <v>Kredit müqaviləsi üzrə öhdəliklərini yerinə yetirmədiyi və ya lazımınca yerinə yetirmədiyi təqdirdə,  «Girov saxlayan»ın tələblərinin girov qoyulmuş əmlak hesabına ödənilməsi məqsədilə girov predmetini təhvil-təslim aktına əsasən  «Girov saxlayan»a təhvil vermək;</v>
      </c>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row>
    <row r="18" spans="1:63" ht="12" customHeight="1" x14ac:dyDescent="0.2">
      <c r="A18" s="157"/>
      <c r="B18" s="728"/>
      <c r="C18" s="728"/>
      <c r="D18" s="728"/>
      <c r="E18" s="728"/>
      <c r="F18" s="728"/>
      <c r="G18" s="728"/>
      <c r="H18" s="728"/>
      <c r="I18" s="728"/>
      <c r="J18" s="728"/>
      <c r="K18" s="728"/>
      <c r="L18" s="728"/>
      <c r="M18" s="728"/>
      <c r="N18" s="728"/>
      <c r="O18" s="728"/>
      <c r="P18" s="728"/>
      <c r="Q18" s="728"/>
      <c r="R18" s="728"/>
      <c r="S18" s="728"/>
      <c r="T18" s="728"/>
      <c r="U18" s="728"/>
      <c r="V18" s="728"/>
      <c r="W18" s="728"/>
      <c r="X18" s="728"/>
      <c r="Y18" s="728"/>
      <c r="Z18" s="728"/>
      <c r="AA18" s="728"/>
      <c r="AB18" s="728"/>
      <c r="AC18" s="728"/>
      <c r="AD18" s="728"/>
      <c r="AE18" s="728"/>
      <c r="AF18" s="156"/>
      <c r="AG18" s="163"/>
      <c r="AH18" s="163"/>
      <c r="AI18" s="728"/>
      <c r="AJ18" s="728"/>
      <c r="AK18" s="728"/>
      <c r="AL18" s="728"/>
      <c r="AM18" s="728"/>
      <c r="AN18" s="728"/>
      <c r="AO18" s="728"/>
      <c r="AP18" s="728"/>
      <c r="AQ18" s="728"/>
      <c r="AR18" s="728"/>
      <c r="AS18" s="728"/>
      <c r="AT18" s="728"/>
      <c r="AU18" s="728"/>
      <c r="AV18" s="728"/>
      <c r="AW18" s="728"/>
      <c r="AX18" s="728"/>
      <c r="AY18" s="728"/>
      <c r="AZ18" s="728"/>
      <c r="BA18" s="728"/>
      <c r="BB18" s="728"/>
      <c r="BC18" s="728"/>
      <c r="BD18" s="728"/>
      <c r="BE18" s="728"/>
      <c r="BF18" s="728"/>
      <c r="BG18" s="728"/>
      <c r="BH18" s="728"/>
      <c r="BI18" s="728"/>
      <c r="BJ18" s="728"/>
      <c r="BK18" s="728"/>
    </row>
    <row r="19" spans="1:63" ht="12" customHeight="1" x14ac:dyDescent="0.2">
      <c r="A19" s="157"/>
      <c r="B19" s="728"/>
      <c r="C19" s="728"/>
      <c r="D19" s="728"/>
      <c r="E19" s="728"/>
      <c r="F19" s="728"/>
      <c r="G19" s="728"/>
      <c r="H19" s="728"/>
      <c r="I19" s="728"/>
      <c r="J19" s="728"/>
      <c r="K19" s="728"/>
      <c r="L19" s="728"/>
      <c r="M19" s="728"/>
      <c r="N19" s="728"/>
      <c r="O19" s="728"/>
      <c r="P19" s="728"/>
      <c r="Q19" s="728"/>
      <c r="R19" s="728"/>
      <c r="S19" s="728"/>
      <c r="T19" s="728"/>
      <c r="U19" s="728"/>
      <c r="V19" s="728"/>
      <c r="W19" s="728"/>
      <c r="X19" s="728"/>
      <c r="Y19" s="728"/>
      <c r="Z19" s="728"/>
      <c r="AA19" s="728"/>
      <c r="AB19" s="728"/>
      <c r="AC19" s="728"/>
      <c r="AD19" s="728"/>
      <c r="AE19" s="728"/>
      <c r="AF19" s="156"/>
      <c r="AG19" s="159"/>
      <c r="AH19" s="163"/>
      <c r="AI19" s="728"/>
      <c r="AJ19" s="728"/>
      <c r="AK19" s="728"/>
      <c r="AL19" s="728"/>
      <c r="AM19" s="728"/>
      <c r="AN19" s="728"/>
      <c r="AO19" s="728"/>
      <c r="AP19" s="728"/>
      <c r="AQ19" s="728"/>
      <c r="AR19" s="728"/>
      <c r="AS19" s="728"/>
      <c r="AT19" s="728"/>
      <c r="AU19" s="728"/>
      <c r="AV19" s="728"/>
      <c r="AW19" s="728"/>
      <c r="AX19" s="728"/>
      <c r="AY19" s="728"/>
      <c r="AZ19" s="728"/>
      <c r="BA19" s="728"/>
      <c r="BB19" s="728"/>
      <c r="BC19" s="728"/>
      <c r="BD19" s="728"/>
      <c r="BE19" s="728"/>
      <c r="BF19" s="728"/>
      <c r="BG19" s="728"/>
      <c r="BH19" s="728"/>
      <c r="BI19" s="728"/>
      <c r="BJ19" s="728"/>
      <c r="BK19" s="728"/>
    </row>
    <row r="20" spans="1:63" ht="10.5" customHeight="1" x14ac:dyDescent="0.2">
      <c r="A20" s="157"/>
      <c r="B20" s="728"/>
      <c r="C20" s="728"/>
      <c r="D20" s="728"/>
      <c r="E20" s="728"/>
      <c r="F20" s="728"/>
      <c r="G20" s="728"/>
      <c r="H20" s="728"/>
      <c r="I20" s="728"/>
      <c r="J20" s="728"/>
      <c r="K20" s="728"/>
      <c r="L20" s="728"/>
      <c r="M20" s="728"/>
      <c r="N20" s="728"/>
      <c r="O20" s="728"/>
      <c r="P20" s="728"/>
      <c r="Q20" s="728"/>
      <c r="R20" s="728"/>
      <c r="S20" s="728"/>
      <c r="T20" s="728"/>
      <c r="U20" s="728"/>
      <c r="V20" s="728"/>
      <c r="W20" s="728"/>
      <c r="X20" s="728"/>
      <c r="Y20" s="728"/>
      <c r="Z20" s="728"/>
      <c r="AA20" s="728"/>
      <c r="AB20" s="728"/>
      <c r="AC20" s="728"/>
      <c r="AD20" s="728"/>
      <c r="AE20" s="728"/>
      <c r="AF20" s="156"/>
      <c r="AG20" s="159"/>
      <c r="AH20" s="163"/>
      <c r="AI20" s="728"/>
      <c r="AJ20" s="728"/>
      <c r="AK20" s="728"/>
      <c r="AL20" s="728"/>
      <c r="AM20" s="728"/>
      <c r="AN20" s="728"/>
      <c r="AO20" s="728"/>
      <c r="AP20" s="728"/>
      <c r="AQ20" s="728"/>
      <c r="AR20" s="728"/>
      <c r="AS20" s="728"/>
      <c r="AT20" s="728"/>
      <c r="AU20" s="728"/>
      <c r="AV20" s="728"/>
      <c r="AW20" s="728"/>
      <c r="AX20" s="728"/>
      <c r="AY20" s="728"/>
      <c r="AZ20" s="728"/>
      <c r="BA20" s="728"/>
      <c r="BB20" s="728"/>
      <c r="BC20" s="728"/>
      <c r="BD20" s="728"/>
      <c r="BE20" s="728"/>
      <c r="BF20" s="728"/>
      <c r="BG20" s="728"/>
      <c r="BH20" s="728"/>
      <c r="BI20" s="728"/>
      <c r="BJ20" s="728"/>
      <c r="BK20" s="728"/>
    </row>
    <row r="21" spans="1:63" ht="12" customHeight="1" x14ac:dyDescent="0.2">
      <c r="A21" s="157"/>
      <c r="B21" s="728"/>
      <c r="C21" s="728"/>
      <c r="D21" s="728"/>
      <c r="E21" s="728"/>
      <c r="F21" s="728"/>
      <c r="G21" s="728"/>
      <c r="H21" s="728"/>
      <c r="I21" s="728"/>
      <c r="J21" s="728"/>
      <c r="K21" s="728"/>
      <c r="L21" s="728"/>
      <c r="M21" s="728"/>
      <c r="N21" s="728"/>
      <c r="O21" s="728"/>
      <c r="P21" s="728"/>
      <c r="Q21" s="728"/>
      <c r="R21" s="728"/>
      <c r="S21" s="728"/>
      <c r="T21" s="728"/>
      <c r="U21" s="728"/>
      <c r="V21" s="728"/>
      <c r="W21" s="728"/>
      <c r="X21" s="728"/>
      <c r="Y21" s="728"/>
      <c r="Z21" s="728"/>
      <c r="AA21" s="728"/>
      <c r="AB21" s="728"/>
      <c r="AC21" s="728"/>
      <c r="AD21" s="728"/>
      <c r="AE21" s="728"/>
      <c r="AF21" s="156"/>
      <c r="AG21" s="730" t="s">
        <v>168</v>
      </c>
      <c r="AH21" s="730"/>
      <c r="AI21" s="730"/>
      <c r="AJ21" s="728" t="s">
        <v>167</v>
      </c>
      <c r="AK21" s="728"/>
      <c r="AL21" s="728"/>
      <c r="AM21" s="728"/>
      <c r="AN21" s="728"/>
      <c r="AO21" s="728"/>
      <c r="AP21" s="728"/>
      <c r="AQ21" s="728"/>
      <c r="AR21" s="728"/>
      <c r="AS21" s="728"/>
      <c r="AT21" s="728"/>
      <c r="AU21" s="728"/>
      <c r="AV21" s="728"/>
      <c r="AW21" s="728"/>
      <c r="AX21" s="728"/>
      <c r="AY21" s="728"/>
      <c r="AZ21" s="728"/>
      <c r="BA21" s="728"/>
      <c r="BB21" s="728"/>
      <c r="BC21" s="728"/>
      <c r="BD21" s="728"/>
      <c r="BE21" s="728"/>
      <c r="BF21" s="728"/>
      <c r="BG21" s="728"/>
      <c r="BH21" s="728"/>
      <c r="BI21" s="728"/>
      <c r="BJ21" s="728"/>
      <c r="BK21" s="728"/>
    </row>
    <row r="22" spans="1:63" ht="9.75" customHeight="1" x14ac:dyDescent="0.2">
      <c r="A22" s="162" t="s">
        <v>155</v>
      </c>
      <c r="B22" s="709" t="s">
        <v>154</v>
      </c>
      <c r="C22" s="709"/>
      <c r="D22" s="709"/>
      <c r="E22" s="709"/>
      <c r="F22" s="709"/>
      <c r="G22" s="709"/>
      <c r="H22" s="709"/>
      <c r="I22" s="709"/>
      <c r="J22" s="709"/>
      <c r="K22" s="709"/>
      <c r="L22" s="709"/>
      <c r="M22" s="709"/>
      <c r="N22" s="709"/>
      <c r="O22" s="709"/>
      <c r="P22" s="709"/>
      <c r="Q22" s="709"/>
      <c r="R22" s="709"/>
      <c r="S22" s="709"/>
      <c r="T22" s="709"/>
      <c r="U22" s="709"/>
      <c r="V22" s="709"/>
      <c r="W22" s="709"/>
      <c r="X22" s="709"/>
      <c r="Y22" s="709"/>
      <c r="Z22" s="709"/>
      <c r="AA22" s="709"/>
      <c r="AB22" s="709"/>
      <c r="AC22" s="709"/>
      <c r="AD22" s="709"/>
      <c r="AE22" s="709"/>
      <c r="AF22" s="156"/>
      <c r="AG22" s="158"/>
      <c r="AH22" s="158"/>
      <c r="AI22" s="159"/>
      <c r="AJ22" s="728"/>
      <c r="AK22" s="728"/>
      <c r="AL22" s="728"/>
      <c r="AM22" s="728"/>
      <c r="AN22" s="728"/>
      <c r="AO22" s="728"/>
      <c r="AP22" s="728"/>
      <c r="AQ22" s="728"/>
      <c r="AR22" s="728"/>
      <c r="AS22" s="728"/>
      <c r="AT22" s="728"/>
      <c r="AU22" s="728"/>
      <c r="AV22" s="728"/>
      <c r="AW22" s="728"/>
      <c r="AX22" s="728"/>
      <c r="AY22" s="728"/>
      <c r="AZ22" s="728"/>
      <c r="BA22" s="728"/>
      <c r="BB22" s="728"/>
      <c r="BC22" s="728"/>
      <c r="BD22" s="728"/>
      <c r="BE22" s="728"/>
      <c r="BF22" s="728"/>
      <c r="BG22" s="728"/>
      <c r="BH22" s="728"/>
      <c r="BI22" s="728"/>
      <c r="BJ22" s="728"/>
      <c r="BK22" s="728"/>
    </row>
    <row r="23" spans="1:63" ht="12" customHeight="1" x14ac:dyDescent="0.2">
      <c r="A23" s="162"/>
      <c r="B23" s="709"/>
      <c r="C23" s="709"/>
      <c r="D23" s="709"/>
      <c r="E23" s="709"/>
      <c r="F23" s="709"/>
      <c r="G23" s="709"/>
      <c r="H23" s="709"/>
      <c r="I23" s="709"/>
      <c r="J23" s="709"/>
      <c r="K23" s="709"/>
      <c r="L23" s="709"/>
      <c r="M23" s="709"/>
      <c r="N23" s="709"/>
      <c r="O23" s="709"/>
      <c r="P23" s="709"/>
      <c r="Q23" s="709"/>
      <c r="R23" s="709"/>
      <c r="S23" s="709"/>
      <c r="T23" s="709"/>
      <c r="U23" s="709"/>
      <c r="V23" s="709"/>
      <c r="W23" s="709"/>
      <c r="X23" s="709"/>
      <c r="Y23" s="709"/>
      <c r="Z23" s="709"/>
      <c r="AA23" s="709"/>
      <c r="AB23" s="709"/>
      <c r="AC23" s="709"/>
      <c r="AD23" s="709"/>
      <c r="AE23" s="709"/>
      <c r="AF23" s="156"/>
      <c r="AG23" s="730" t="s">
        <v>166</v>
      </c>
      <c r="AH23" s="730"/>
      <c r="AI23" s="730"/>
      <c r="AJ23" s="709" t="s">
        <v>419</v>
      </c>
      <c r="AK23" s="709"/>
      <c r="AL23" s="709"/>
      <c r="AM23" s="709"/>
      <c r="AN23" s="709"/>
      <c r="AO23" s="709"/>
      <c r="AP23" s="709"/>
      <c r="AQ23" s="709"/>
      <c r="AR23" s="709"/>
      <c r="AS23" s="709"/>
      <c r="AT23" s="709"/>
      <c r="AU23" s="709"/>
      <c r="AV23" s="709"/>
      <c r="AW23" s="709"/>
      <c r="AX23" s="709"/>
      <c r="AY23" s="709"/>
      <c r="AZ23" s="709"/>
      <c r="BA23" s="709"/>
      <c r="BB23" s="709"/>
      <c r="BC23" s="709"/>
      <c r="BD23" s="709"/>
      <c r="BE23" s="709"/>
      <c r="BF23" s="709"/>
      <c r="BG23" s="709"/>
      <c r="BH23" s="709"/>
      <c r="BI23" s="709"/>
      <c r="BJ23" s="709"/>
      <c r="BK23" s="709"/>
    </row>
    <row r="24" spans="1:63" ht="12" customHeight="1" x14ac:dyDescent="0.2">
      <c r="A24" s="162" t="s">
        <v>152</v>
      </c>
      <c r="B24" s="709" t="s">
        <v>151</v>
      </c>
      <c r="C24" s="709"/>
      <c r="D24" s="709"/>
      <c r="E24" s="709"/>
      <c r="F24" s="709"/>
      <c r="G24" s="709"/>
      <c r="H24" s="709"/>
      <c r="I24" s="709"/>
      <c r="J24" s="709"/>
      <c r="K24" s="709"/>
      <c r="L24" s="709"/>
      <c r="M24" s="709"/>
      <c r="N24" s="709"/>
      <c r="O24" s="709"/>
      <c r="P24" s="709"/>
      <c r="Q24" s="709"/>
      <c r="R24" s="709"/>
      <c r="S24" s="709"/>
      <c r="T24" s="709"/>
      <c r="U24" s="709"/>
      <c r="V24" s="709"/>
      <c r="W24" s="709"/>
      <c r="X24" s="709"/>
      <c r="Y24" s="709"/>
      <c r="Z24" s="709"/>
      <c r="AA24" s="709"/>
      <c r="AB24" s="709"/>
      <c r="AC24" s="709"/>
      <c r="AD24" s="709"/>
      <c r="AE24" s="709"/>
      <c r="AF24" s="156"/>
      <c r="AG24" s="163"/>
      <c r="AH24" s="158"/>
      <c r="AI24" s="159"/>
      <c r="AJ24" s="709"/>
      <c r="AK24" s="709"/>
      <c r="AL24" s="709"/>
      <c r="AM24" s="709"/>
      <c r="AN24" s="709"/>
      <c r="AO24" s="709"/>
      <c r="AP24" s="709"/>
      <c r="AQ24" s="709"/>
      <c r="AR24" s="709"/>
      <c r="AS24" s="709"/>
      <c r="AT24" s="709"/>
      <c r="AU24" s="709"/>
      <c r="AV24" s="709"/>
      <c r="AW24" s="709"/>
      <c r="AX24" s="709"/>
      <c r="AY24" s="709"/>
      <c r="AZ24" s="709"/>
      <c r="BA24" s="709"/>
      <c r="BB24" s="709"/>
      <c r="BC24" s="709"/>
      <c r="BD24" s="709"/>
      <c r="BE24" s="709"/>
      <c r="BF24" s="709"/>
      <c r="BG24" s="709"/>
      <c r="BH24" s="709"/>
      <c r="BI24" s="709"/>
      <c r="BJ24" s="709"/>
      <c r="BK24" s="709"/>
    </row>
    <row r="25" spans="1:63" ht="12" customHeight="1" x14ac:dyDescent="0.2">
      <c r="A25" s="164"/>
      <c r="B25" s="709"/>
      <c r="C25" s="709"/>
      <c r="D25" s="709"/>
      <c r="E25" s="709"/>
      <c r="F25" s="709"/>
      <c r="G25" s="709"/>
      <c r="H25" s="709"/>
      <c r="I25" s="709"/>
      <c r="J25" s="709"/>
      <c r="K25" s="709"/>
      <c r="L25" s="709"/>
      <c r="M25" s="709"/>
      <c r="N25" s="709"/>
      <c r="O25" s="709"/>
      <c r="P25" s="709"/>
      <c r="Q25" s="709"/>
      <c r="R25" s="709"/>
      <c r="S25" s="709"/>
      <c r="T25" s="709"/>
      <c r="U25" s="709"/>
      <c r="V25" s="709"/>
      <c r="W25" s="709"/>
      <c r="X25" s="709"/>
      <c r="Y25" s="709"/>
      <c r="Z25" s="709"/>
      <c r="AA25" s="709"/>
      <c r="AB25" s="709"/>
      <c r="AC25" s="709"/>
      <c r="AD25" s="709"/>
      <c r="AE25" s="709"/>
      <c r="AF25" s="156"/>
      <c r="AG25" s="163"/>
      <c r="AH25" s="163"/>
      <c r="AI25" s="155"/>
      <c r="AJ25" s="709"/>
      <c r="AK25" s="709"/>
      <c r="AL25" s="709"/>
      <c r="AM25" s="709"/>
      <c r="AN25" s="709"/>
      <c r="AO25" s="709"/>
      <c r="AP25" s="709"/>
      <c r="AQ25" s="709"/>
      <c r="AR25" s="709"/>
      <c r="AS25" s="709"/>
      <c r="AT25" s="709"/>
      <c r="AU25" s="709"/>
      <c r="AV25" s="709"/>
      <c r="AW25" s="709"/>
      <c r="AX25" s="709"/>
      <c r="AY25" s="709"/>
      <c r="AZ25" s="709"/>
      <c r="BA25" s="709"/>
      <c r="BB25" s="709"/>
      <c r="BC25" s="709"/>
      <c r="BD25" s="709"/>
      <c r="BE25" s="709"/>
      <c r="BF25" s="709"/>
      <c r="BG25" s="709"/>
      <c r="BH25" s="709"/>
      <c r="BI25" s="709"/>
      <c r="BJ25" s="709"/>
      <c r="BK25" s="709"/>
    </row>
    <row r="26" spans="1:63" ht="12" customHeight="1" x14ac:dyDescent="0.2">
      <c r="A26" s="162" t="s">
        <v>150</v>
      </c>
      <c r="B26" s="709" t="s">
        <v>434</v>
      </c>
      <c r="C26" s="709"/>
      <c r="D26" s="709"/>
      <c r="E26" s="709"/>
      <c r="F26" s="709"/>
      <c r="G26" s="709"/>
      <c r="H26" s="709"/>
      <c r="I26" s="709"/>
      <c r="J26" s="709"/>
      <c r="K26" s="709"/>
      <c r="L26" s="709"/>
      <c r="M26" s="709"/>
      <c r="N26" s="709"/>
      <c r="O26" s="709"/>
      <c r="P26" s="709"/>
      <c r="Q26" s="709"/>
      <c r="R26" s="709"/>
      <c r="S26" s="709"/>
      <c r="T26" s="709"/>
      <c r="U26" s="709"/>
      <c r="V26" s="709"/>
      <c r="W26" s="709"/>
      <c r="X26" s="709"/>
      <c r="Y26" s="709"/>
      <c r="Z26" s="709"/>
      <c r="AA26" s="709"/>
      <c r="AB26" s="709"/>
      <c r="AC26" s="709"/>
      <c r="AD26" s="709"/>
      <c r="AE26" s="709"/>
      <c r="AF26" s="156"/>
      <c r="AG26" s="730" t="s">
        <v>165</v>
      </c>
      <c r="AH26" s="730"/>
      <c r="AI26" s="730"/>
      <c r="AJ26" s="709" t="str">
        <f>"«Girov qoyan» öz üzərinə götürdüyü öhdəlikləri vaxtında və ya tam həcmdə yerinə yetirmədikdə  «Girov saxlayan» girov qoyulmuş əmlakı ixtisaslaşdırılmış təşkilatlar "&amp;"vasitəsi ilə hərracda satarkən girov əmlakın dəyəri Bu müqavilənin 2.2-ci bəndində nəzərdə tutlumuş məbləğdən az olarsa, məbləğ fərqini «Girov saxlayan»a ödəmək;"</f>
        <v>«Girov qoyan» öz üzərinə götürdüyü öhdəlikləri vaxtında və ya tam həcmdə yerinə yetirmədikdə  «Girov saxlayan» girov qoyulmuş əmlakı ixtisaslaşdırılmış təşkilatlar vasitəsi ilə hərracda satarkən girov əmlakın dəyəri Bu müqavilənin 2.2-ci bəndində nəzərdə tutlumuş məbləğdən az olarsa, məbləğ fərqini «Girov saxlayan»a ödəmək;</v>
      </c>
      <c r="AK26" s="709"/>
      <c r="AL26" s="709"/>
      <c r="AM26" s="709"/>
      <c r="AN26" s="709"/>
      <c r="AO26" s="709"/>
      <c r="AP26" s="709"/>
      <c r="AQ26" s="709"/>
      <c r="AR26" s="709"/>
      <c r="AS26" s="709"/>
      <c r="AT26" s="709"/>
      <c r="AU26" s="709"/>
      <c r="AV26" s="709"/>
      <c r="AW26" s="709"/>
      <c r="AX26" s="709"/>
      <c r="AY26" s="709"/>
      <c r="AZ26" s="709"/>
      <c r="BA26" s="709"/>
      <c r="BB26" s="709"/>
      <c r="BC26" s="709"/>
      <c r="BD26" s="709"/>
      <c r="BE26" s="709"/>
      <c r="BF26" s="709"/>
      <c r="BG26" s="709"/>
      <c r="BH26" s="709"/>
      <c r="BI26" s="709"/>
      <c r="BJ26" s="709"/>
      <c r="BK26" s="709"/>
    </row>
    <row r="27" spans="1:63" ht="12" customHeight="1" x14ac:dyDescent="0.2">
      <c r="A27" s="164"/>
      <c r="B27" s="709"/>
      <c r="C27" s="709"/>
      <c r="D27" s="709"/>
      <c r="E27" s="709"/>
      <c r="F27" s="709"/>
      <c r="G27" s="709"/>
      <c r="H27" s="709"/>
      <c r="I27" s="709"/>
      <c r="J27" s="709"/>
      <c r="K27" s="709"/>
      <c r="L27" s="709"/>
      <c r="M27" s="709"/>
      <c r="N27" s="709"/>
      <c r="O27" s="709"/>
      <c r="P27" s="709"/>
      <c r="Q27" s="709"/>
      <c r="R27" s="709"/>
      <c r="S27" s="709"/>
      <c r="T27" s="709"/>
      <c r="U27" s="709"/>
      <c r="V27" s="709"/>
      <c r="W27" s="709"/>
      <c r="X27" s="709"/>
      <c r="Y27" s="709"/>
      <c r="Z27" s="709"/>
      <c r="AA27" s="709"/>
      <c r="AB27" s="709"/>
      <c r="AC27" s="709"/>
      <c r="AD27" s="709"/>
      <c r="AE27" s="709"/>
      <c r="AF27" s="156"/>
      <c r="AG27" s="158"/>
      <c r="AH27" s="158"/>
      <c r="AI27" s="159"/>
      <c r="AJ27" s="709"/>
      <c r="AK27" s="709"/>
      <c r="AL27" s="709"/>
      <c r="AM27" s="709"/>
      <c r="AN27" s="709"/>
      <c r="AO27" s="709"/>
      <c r="AP27" s="709"/>
      <c r="AQ27" s="709"/>
      <c r="AR27" s="709"/>
      <c r="AS27" s="709"/>
      <c r="AT27" s="709"/>
      <c r="AU27" s="709"/>
      <c r="AV27" s="709"/>
      <c r="AW27" s="709"/>
      <c r="AX27" s="709"/>
      <c r="AY27" s="709"/>
      <c r="AZ27" s="709"/>
      <c r="BA27" s="709"/>
      <c r="BB27" s="709"/>
      <c r="BC27" s="709"/>
      <c r="BD27" s="709"/>
      <c r="BE27" s="709"/>
      <c r="BF27" s="709"/>
      <c r="BG27" s="709"/>
      <c r="BH27" s="709"/>
      <c r="BI27" s="709"/>
      <c r="BJ27" s="709"/>
      <c r="BK27" s="709"/>
    </row>
    <row r="28" spans="1:63" ht="12" customHeight="1" x14ac:dyDescent="0.2">
      <c r="A28" s="157"/>
      <c r="B28" s="157"/>
      <c r="C28" s="157"/>
      <c r="D28" s="157"/>
      <c r="E28" s="157"/>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6"/>
      <c r="AG28" s="158"/>
      <c r="AH28" s="158"/>
      <c r="AI28" s="159"/>
      <c r="AJ28" s="709"/>
      <c r="AK28" s="709"/>
      <c r="AL28" s="709"/>
      <c r="AM28" s="709"/>
      <c r="AN28" s="709"/>
      <c r="AO28" s="709"/>
      <c r="AP28" s="709"/>
      <c r="AQ28" s="709"/>
      <c r="AR28" s="709"/>
      <c r="AS28" s="709"/>
      <c r="AT28" s="709"/>
      <c r="AU28" s="709"/>
      <c r="AV28" s="709"/>
      <c r="AW28" s="709"/>
      <c r="AX28" s="709"/>
      <c r="AY28" s="709"/>
      <c r="AZ28" s="709"/>
      <c r="BA28" s="709"/>
      <c r="BB28" s="709"/>
      <c r="BC28" s="709"/>
      <c r="BD28" s="709"/>
      <c r="BE28" s="709"/>
      <c r="BF28" s="709"/>
      <c r="BG28" s="709"/>
      <c r="BH28" s="709"/>
      <c r="BI28" s="709"/>
      <c r="BJ28" s="709"/>
      <c r="BK28" s="709"/>
    </row>
    <row r="29" spans="1:63" ht="12" customHeight="1" x14ac:dyDescent="0.2">
      <c r="A29" s="708" t="s">
        <v>147</v>
      </c>
      <c r="B29" s="708"/>
      <c r="C29" s="708"/>
      <c r="D29" s="708"/>
      <c r="E29" s="708"/>
      <c r="F29" s="708"/>
      <c r="G29" s="708"/>
      <c r="H29" s="708"/>
      <c r="I29" s="708"/>
      <c r="J29" s="708"/>
      <c r="K29" s="708"/>
      <c r="L29" s="708"/>
      <c r="M29" s="708"/>
      <c r="N29" s="708"/>
      <c r="O29" s="708"/>
      <c r="P29" s="708"/>
      <c r="Q29" s="708"/>
      <c r="R29" s="708"/>
      <c r="S29" s="708"/>
      <c r="T29" s="708"/>
      <c r="U29" s="708"/>
      <c r="V29" s="708"/>
      <c r="W29" s="708"/>
      <c r="X29" s="708"/>
      <c r="Y29" s="708"/>
      <c r="Z29" s="708"/>
      <c r="AA29" s="708"/>
      <c r="AB29" s="708"/>
      <c r="AC29" s="708"/>
      <c r="AD29" s="708"/>
      <c r="AE29" s="708"/>
      <c r="AF29" s="156"/>
      <c r="AG29" s="163"/>
      <c r="AH29" s="163"/>
      <c r="AI29" s="155"/>
      <c r="AJ29" s="709"/>
      <c r="AK29" s="709"/>
      <c r="AL29" s="709"/>
      <c r="AM29" s="709"/>
      <c r="AN29" s="709"/>
      <c r="AO29" s="709"/>
      <c r="AP29" s="709"/>
      <c r="AQ29" s="709"/>
      <c r="AR29" s="709"/>
      <c r="AS29" s="709"/>
      <c r="AT29" s="709"/>
      <c r="AU29" s="709"/>
      <c r="AV29" s="709"/>
      <c r="AW29" s="709"/>
      <c r="AX29" s="709"/>
      <c r="AY29" s="709"/>
      <c r="AZ29" s="709"/>
      <c r="BA29" s="709"/>
      <c r="BB29" s="709"/>
      <c r="BC29" s="709"/>
      <c r="BD29" s="709"/>
      <c r="BE29" s="709"/>
      <c r="BF29" s="709"/>
      <c r="BG29" s="709"/>
      <c r="BH29" s="709"/>
      <c r="BI29" s="709"/>
      <c r="BJ29" s="709"/>
      <c r="BK29" s="709"/>
    </row>
    <row r="30" spans="1:63" ht="12" customHeight="1" x14ac:dyDescent="0.2">
      <c r="A30" s="157"/>
      <c r="B30" s="157"/>
      <c r="C30" s="165"/>
      <c r="D30" s="165"/>
      <c r="E30" s="165"/>
      <c r="F30" s="165"/>
      <c r="G30" s="165"/>
      <c r="H30" s="165"/>
      <c r="I30" s="165"/>
      <c r="J30" s="165"/>
      <c r="K30" s="165"/>
      <c r="L30" s="165"/>
      <c r="M30" s="165"/>
      <c r="N30" s="165"/>
      <c r="O30" s="165"/>
      <c r="P30" s="165"/>
      <c r="Q30" s="165"/>
      <c r="R30" s="165"/>
      <c r="S30" s="165"/>
      <c r="T30" s="165"/>
      <c r="U30" s="165"/>
      <c r="V30" s="165"/>
      <c r="W30" s="165"/>
      <c r="X30" s="165"/>
      <c r="Y30" s="165"/>
      <c r="Z30" s="165"/>
      <c r="AA30" s="165"/>
      <c r="AB30" s="165"/>
      <c r="AC30" s="165"/>
      <c r="AD30" s="165"/>
      <c r="AE30" s="165"/>
      <c r="AF30" s="156"/>
      <c r="AG30" s="158"/>
      <c r="AH30" s="158"/>
      <c r="AI30" s="159"/>
      <c r="AJ30" s="709"/>
      <c r="AK30" s="709"/>
      <c r="AL30" s="709"/>
      <c r="AM30" s="709"/>
      <c r="AN30" s="709"/>
      <c r="AO30" s="709"/>
      <c r="AP30" s="709"/>
      <c r="AQ30" s="709"/>
      <c r="AR30" s="709"/>
      <c r="AS30" s="709"/>
      <c r="AT30" s="709"/>
      <c r="AU30" s="709"/>
      <c r="AV30" s="709"/>
      <c r="AW30" s="709"/>
      <c r="AX30" s="709"/>
      <c r="AY30" s="709"/>
      <c r="AZ30" s="709"/>
      <c r="BA30" s="709"/>
      <c r="BB30" s="709"/>
      <c r="BC30" s="709"/>
      <c r="BD30" s="709"/>
      <c r="BE30" s="709"/>
      <c r="BF30" s="709"/>
      <c r="BG30" s="709"/>
      <c r="BH30" s="709"/>
      <c r="BI30" s="709"/>
      <c r="BJ30" s="709"/>
      <c r="BK30" s="709"/>
    </row>
    <row r="31" spans="1:63" ht="12" customHeight="1" x14ac:dyDescent="0.2">
      <c r="A31" s="162" t="s">
        <v>144</v>
      </c>
      <c r="B31" s="709" t="s">
        <v>143</v>
      </c>
      <c r="C31" s="709"/>
      <c r="D31" s="709"/>
      <c r="E31" s="709"/>
      <c r="F31" s="709"/>
      <c r="G31" s="709"/>
      <c r="H31" s="709"/>
      <c r="I31" s="709"/>
      <c r="J31" s="709"/>
      <c r="K31" s="709"/>
      <c r="L31" s="709"/>
      <c r="M31" s="709"/>
      <c r="N31" s="709"/>
      <c r="O31" s="709"/>
      <c r="P31" s="709"/>
      <c r="Q31" s="709"/>
      <c r="R31" s="709"/>
      <c r="S31" s="709"/>
      <c r="T31" s="709"/>
      <c r="U31" s="709"/>
      <c r="V31" s="709"/>
      <c r="W31" s="709"/>
      <c r="X31" s="709"/>
      <c r="Y31" s="709"/>
      <c r="Z31" s="709"/>
      <c r="AA31" s="709"/>
      <c r="AB31" s="709"/>
      <c r="AC31" s="709"/>
      <c r="AD31" s="709"/>
      <c r="AE31" s="709"/>
      <c r="AF31" s="156"/>
      <c r="AG31" s="730" t="s">
        <v>163</v>
      </c>
      <c r="AH31" s="730"/>
      <c r="AI31" s="730"/>
      <c r="AJ31" s="709" t="s">
        <v>162</v>
      </c>
      <c r="AK31" s="709"/>
      <c r="AL31" s="709"/>
      <c r="AM31" s="709"/>
      <c r="AN31" s="709"/>
      <c r="AO31" s="709"/>
      <c r="AP31" s="709"/>
      <c r="AQ31" s="709"/>
      <c r="AR31" s="709"/>
      <c r="AS31" s="709"/>
      <c r="AT31" s="709"/>
      <c r="AU31" s="709"/>
      <c r="AV31" s="709"/>
      <c r="AW31" s="709"/>
      <c r="AX31" s="709"/>
      <c r="AY31" s="709"/>
      <c r="AZ31" s="709"/>
      <c r="BA31" s="709"/>
      <c r="BB31" s="709"/>
      <c r="BC31" s="709"/>
      <c r="BD31" s="709"/>
      <c r="BE31" s="709"/>
      <c r="BF31" s="709"/>
      <c r="BG31" s="709"/>
      <c r="BH31" s="709"/>
      <c r="BI31" s="709"/>
      <c r="BJ31" s="709"/>
      <c r="BK31" s="709"/>
    </row>
    <row r="32" spans="1:63" ht="12" customHeight="1" x14ac:dyDescent="0.2">
      <c r="A32" s="157"/>
      <c r="B32" s="709"/>
      <c r="C32" s="709"/>
      <c r="D32" s="709"/>
      <c r="E32" s="709"/>
      <c r="F32" s="709"/>
      <c r="G32" s="709"/>
      <c r="H32" s="709"/>
      <c r="I32" s="709"/>
      <c r="J32" s="709"/>
      <c r="K32" s="709"/>
      <c r="L32" s="709"/>
      <c r="M32" s="709"/>
      <c r="N32" s="709"/>
      <c r="O32" s="709"/>
      <c r="P32" s="709"/>
      <c r="Q32" s="709"/>
      <c r="R32" s="709"/>
      <c r="S32" s="709"/>
      <c r="T32" s="709"/>
      <c r="U32" s="709"/>
      <c r="V32" s="709"/>
      <c r="W32" s="709"/>
      <c r="X32" s="709"/>
      <c r="Y32" s="709"/>
      <c r="Z32" s="709"/>
      <c r="AA32" s="709"/>
      <c r="AB32" s="709"/>
      <c r="AC32" s="709"/>
      <c r="AD32" s="709"/>
      <c r="AE32" s="709"/>
      <c r="AF32" s="156"/>
      <c r="AG32" s="163"/>
      <c r="AH32" s="163"/>
      <c r="AI32" s="159"/>
      <c r="AJ32" s="709"/>
      <c r="AK32" s="709"/>
      <c r="AL32" s="709"/>
      <c r="AM32" s="709"/>
      <c r="AN32" s="709"/>
      <c r="AO32" s="709"/>
      <c r="AP32" s="709"/>
      <c r="AQ32" s="709"/>
      <c r="AR32" s="709"/>
      <c r="AS32" s="709"/>
      <c r="AT32" s="709"/>
      <c r="AU32" s="709"/>
      <c r="AV32" s="709"/>
      <c r="AW32" s="709"/>
      <c r="AX32" s="709"/>
      <c r="AY32" s="709"/>
      <c r="AZ32" s="709"/>
      <c r="BA32" s="709"/>
      <c r="BB32" s="709"/>
      <c r="BC32" s="709"/>
      <c r="BD32" s="709"/>
      <c r="BE32" s="709"/>
      <c r="BF32" s="709"/>
      <c r="BG32" s="709"/>
      <c r="BH32" s="709"/>
      <c r="BI32" s="709"/>
      <c r="BJ32" s="709"/>
      <c r="BK32" s="709"/>
    </row>
    <row r="33" spans="1:63" x14ac:dyDescent="0.2">
      <c r="A33" s="162" t="s">
        <v>140</v>
      </c>
      <c r="B33" s="728" t="str">
        <f>"Tərəflərin razılaşmasına əsasən girov predmetinin dəyəri "&amp;GE_SUM&amp;" "&amp;PUL_VAHIDI&amp;" ("&amp;GE_SUM_SOZLE&amp;"  "&amp;PUL_VAHIDI_SOZLE&amp;") məbləğində təşkil edir."</f>
        <v>Tərəflərin razılaşmasına əsasən girov predmetinin dəyəri 5030 AZN (beş min otuz   manat) məbləğində təşkil edir.</v>
      </c>
      <c r="C33" s="728"/>
      <c r="D33" s="728"/>
      <c r="E33" s="728"/>
      <c r="F33" s="728"/>
      <c r="G33" s="728"/>
      <c r="H33" s="728"/>
      <c r="I33" s="728"/>
      <c r="J33" s="728"/>
      <c r="K33" s="728"/>
      <c r="L33" s="728"/>
      <c r="M33" s="728"/>
      <c r="N33" s="728"/>
      <c r="O33" s="728"/>
      <c r="P33" s="728"/>
      <c r="Q33" s="728"/>
      <c r="R33" s="728"/>
      <c r="S33" s="728"/>
      <c r="T33" s="728"/>
      <c r="U33" s="728"/>
      <c r="V33" s="728"/>
      <c r="W33" s="728"/>
      <c r="X33" s="728"/>
      <c r="Y33" s="728"/>
      <c r="Z33" s="728"/>
      <c r="AA33" s="728"/>
      <c r="AB33" s="728"/>
      <c r="AC33" s="728"/>
      <c r="AD33" s="728"/>
      <c r="AE33" s="728"/>
      <c r="AF33" s="156"/>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c r="BJ33" s="157"/>
      <c r="BK33" s="157"/>
    </row>
    <row r="34" spans="1:63" ht="12" customHeight="1" x14ac:dyDescent="0.2">
      <c r="A34" s="157"/>
      <c r="B34" s="728"/>
      <c r="C34" s="728"/>
      <c r="D34" s="728"/>
      <c r="E34" s="728"/>
      <c r="F34" s="728"/>
      <c r="G34" s="728"/>
      <c r="H34" s="728"/>
      <c r="I34" s="728"/>
      <c r="J34" s="728"/>
      <c r="K34" s="728"/>
      <c r="L34" s="728"/>
      <c r="M34" s="728"/>
      <c r="N34" s="728"/>
      <c r="O34" s="728"/>
      <c r="P34" s="728"/>
      <c r="Q34" s="728"/>
      <c r="R34" s="728"/>
      <c r="S34" s="728"/>
      <c r="T34" s="728"/>
      <c r="U34" s="728"/>
      <c r="V34" s="728"/>
      <c r="W34" s="728"/>
      <c r="X34" s="728"/>
      <c r="Y34" s="728"/>
      <c r="Z34" s="728"/>
      <c r="AA34" s="728"/>
      <c r="AB34" s="728"/>
      <c r="AC34" s="728"/>
      <c r="AD34" s="728"/>
      <c r="AE34" s="728"/>
      <c r="AF34" s="156"/>
      <c r="AG34" s="708" t="s">
        <v>160</v>
      </c>
      <c r="AH34" s="708"/>
      <c r="AI34" s="708"/>
      <c r="AJ34" s="708"/>
      <c r="AK34" s="708"/>
      <c r="AL34" s="708"/>
      <c r="AM34" s="708"/>
      <c r="AN34" s="708"/>
      <c r="AO34" s="708"/>
      <c r="AP34" s="708"/>
      <c r="AQ34" s="708"/>
      <c r="AR34" s="708"/>
      <c r="AS34" s="708"/>
      <c r="AT34" s="708"/>
      <c r="AU34" s="708"/>
      <c r="AV34" s="708"/>
      <c r="AW34" s="708"/>
      <c r="AX34" s="708"/>
      <c r="AY34" s="708"/>
      <c r="AZ34" s="708"/>
      <c r="BA34" s="708"/>
      <c r="BB34" s="708"/>
      <c r="BC34" s="708"/>
      <c r="BD34" s="708"/>
      <c r="BE34" s="708"/>
      <c r="BF34" s="708"/>
      <c r="BG34" s="708"/>
      <c r="BH34" s="708"/>
      <c r="BI34" s="708"/>
      <c r="BJ34" s="708"/>
      <c r="BK34" s="708"/>
    </row>
    <row r="35" spans="1:63" ht="12" customHeight="1" x14ac:dyDescent="0.2">
      <c r="A35" s="157"/>
      <c r="B35" s="157"/>
      <c r="C35" s="157"/>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row>
    <row r="36" spans="1:63" ht="12" customHeight="1" x14ac:dyDescent="0.2">
      <c r="A36" s="708" t="s">
        <v>138</v>
      </c>
      <c r="B36" s="708"/>
      <c r="C36" s="708"/>
      <c r="D36" s="708"/>
      <c r="E36" s="708"/>
      <c r="F36" s="708"/>
      <c r="G36" s="708"/>
      <c r="H36" s="708"/>
      <c r="I36" s="708"/>
      <c r="J36" s="708"/>
      <c r="K36" s="708"/>
      <c r="L36" s="708"/>
      <c r="M36" s="708"/>
      <c r="N36" s="708"/>
      <c r="O36" s="708"/>
      <c r="P36" s="708"/>
      <c r="Q36" s="708"/>
      <c r="R36" s="708"/>
      <c r="S36" s="708"/>
      <c r="T36" s="708"/>
      <c r="U36" s="708"/>
      <c r="V36" s="708"/>
      <c r="W36" s="708"/>
      <c r="X36" s="708"/>
      <c r="Y36" s="708"/>
      <c r="Z36" s="708"/>
      <c r="AA36" s="708"/>
      <c r="AB36" s="708"/>
      <c r="AC36" s="708"/>
      <c r="AD36" s="708"/>
      <c r="AE36" s="708"/>
      <c r="AF36" s="156"/>
      <c r="AG36" s="726" t="s">
        <v>48</v>
      </c>
      <c r="AH36" s="726"/>
      <c r="AI36" s="737" t="s">
        <v>159</v>
      </c>
      <c r="AJ36" s="737"/>
      <c r="AK36" s="737"/>
      <c r="AL36" s="737"/>
      <c r="AM36" s="737"/>
      <c r="AN36" s="737"/>
      <c r="AO36" s="737"/>
      <c r="AP36" s="737"/>
      <c r="AQ36" s="737"/>
      <c r="AR36" s="737"/>
      <c r="AS36" s="737"/>
      <c r="AT36" s="737"/>
      <c r="AU36" s="737"/>
      <c r="AV36" s="737"/>
      <c r="AW36" s="737"/>
      <c r="AX36" s="737"/>
      <c r="AY36" s="737"/>
      <c r="AZ36" s="737"/>
      <c r="BA36" s="737"/>
      <c r="BB36" s="737"/>
      <c r="BC36" s="737"/>
      <c r="BD36" s="737"/>
      <c r="BE36" s="737"/>
      <c r="BF36" s="737"/>
      <c r="BG36" s="737"/>
      <c r="BH36" s="737"/>
      <c r="BI36" s="737"/>
      <c r="BJ36" s="737"/>
      <c r="BK36" s="737"/>
    </row>
    <row r="37" spans="1:63" ht="12" customHeight="1" x14ac:dyDescent="0.2">
      <c r="A37" s="157"/>
      <c r="B37" s="157"/>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56"/>
      <c r="AG37" s="726" t="s">
        <v>158</v>
      </c>
      <c r="AH37" s="726"/>
      <c r="AI37" s="728" t="s">
        <v>157</v>
      </c>
      <c r="AJ37" s="728"/>
      <c r="AK37" s="728"/>
      <c r="AL37" s="728"/>
      <c r="AM37" s="728"/>
      <c r="AN37" s="728"/>
      <c r="AO37" s="728"/>
      <c r="AP37" s="728"/>
      <c r="AQ37" s="728"/>
      <c r="AR37" s="728"/>
      <c r="AS37" s="728"/>
      <c r="AT37" s="728"/>
      <c r="AU37" s="728"/>
      <c r="AV37" s="728"/>
      <c r="AW37" s="728"/>
      <c r="AX37" s="728"/>
      <c r="AY37" s="728"/>
      <c r="AZ37" s="728"/>
      <c r="BA37" s="728"/>
      <c r="BB37" s="728"/>
      <c r="BC37" s="728"/>
      <c r="BD37" s="728"/>
      <c r="BE37" s="728"/>
      <c r="BF37" s="728"/>
      <c r="BG37" s="728"/>
      <c r="BH37" s="728"/>
      <c r="BI37" s="728"/>
      <c r="BJ37" s="728"/>
      <c r="BK37" s="728"/>
    </row>
    <row r="38" spans="1:63" ht="12" customHeight="1" x14ac:dyDescent="0.2">
      <c r="A38" s="162" t="s">
        <v>135</v>
      </c>
      <c r="B38" s="709" t="str">
        <f>"Girov predmeti  «Girov saxlayan»ın tələblərini faktiki ödəmə anına kredit üzrə əsas borc məbləğini, kreditdən istifadəyə görə hesablanmış faizləri, kreditin vaxtında qaytarılmamasına  görə hesablanmış cərimə faizlərini, «Girov qoyan»ın  «Girov saxlayan»"&amp;" qarşısında kredit müqaviləsi üzrə öhdəliklərini yerinə yetirməməsi və ya lazımınca "&amp;"yerinə yetirməməsi üzündən «Girov saxlayan»a dəymiş zərəri və Girov predmetinə ödəniş yönəldilməsi ilə bağlı  «Girov saxlayan»ının çəkdiyi xərcləri təmin edir."</f>
        <v>Girov predmeti  «Girov saxlayan»ın tələblərini faktiki ödəmə anına kredit üzrə əsas borc məbləğini, kreditdən istifadəyə görə hesablanmış faizləri, kreditin vaxtında qaytarılmamasına  görə hesablanmış cərimə faizlərini, «Girov qoyan»ın  «Girov saxlayan» qarşısında kredit müqaviləsi üzrə öhdəliklərini yerinə yetirməməsi və ya lazımınca yerinə yetirməməsi üzündən «Girov saxlayan»a dəymiş zərəri və Girov predmetinə ödəniş yönəldilməsi ilə bağlı  «Girov saxlayan»ının çəkdiyi xərcləri təmin edir.</v>
      </c>
      <c r="C38" s="709"/>
      <c r="D38" s="709"/>
      <c r="E38" s="709"/>
      <c r="F38" s="709"/>
      <c r="G38" s="709"/>
      <c r="H38" s="709"/>
      <c r="I38" s="709"/>
      <c r="J38" s="709"/>
      <c r="K38" s="709"/>
      <c r="L38" s="709"/>
      <c r="M38" s="709"/>
      <c r="N38" s="709"/>
      <c r="O38" s="709"/>
      <c r="P38" s="709"/>
      <c r="Q38" s="709"/>
      <c r="R38" s="709"/>
      <c r="S38" s="709"/>
      <c r="T38" s="709"/>
      <c r="U38" s="709"/>
      <c r="V38" s="709"/>
      <c r="W38" s="709"/>
      <c r="X38" s="709"/>
      <c r="Y38" s="709"/>
      <c r="Z38" s="709"/>
      <c r="AA38" s="709"/>
      <c r="AB38" s="709"/>
      <c r="AC38" s="709"/>
      <c r="AD38" s="709"/>
      <c r="AE38" s="709"/>
      <c r="AF38" s="156"/>
      <c r="AG38" s="452"/>
      <c r="AH38" s="452"/>
      <c r="AI38" s="728"/>
      <c r="AJ38" s="728"/>
      <c r="AK38" s="728"/>
      <c r="AL38" s="728"/>
      <c r="AM38" s="728"/>
      <c r="AN38" s="728"/>
      <c r="AO38" s="728"/>
      <c r="AP38" s="728"/>
      <c r="AQ38" s="728"/>
      <c r="AR38" s="728"/>
      <c r="AS38" s="728"/>
      <c r="AT38" s="728"/>
      <c r="AU38" s="728"/>
      <c r="AV38" s="728"/>
      <c r="AW38" s="728"/>
      <c r="AX38" s="728"/>
      <c r="AY38" s="728"/>
      <c r="AZ38" s="728"/>
      <c r="BA38" s="728"/>
      <c r="BB38" s="728"/>
      <c r="BC38" s="728"/>
      <c r="BD38" s="728"/>
      <c r="BE38" s="728"/>
      <c r="BF38" s="728"/>
      <c r="BG38" s="728"/>
      <c r="BH38" s="728"/>
      <c r="BI38" s="728"/>
      <c r="BJ38" s="728"/>
      <c r="BK38" s="728"/>
    </row>
    <row r="39" spans="1:63" ht="12" customHeight="1" x14ac:dyDescent="0.2">
      <c r="A39" s="162"/>
      <c r="B39" s="709"/>
      <c r="C39" s="709"/>
      <c r="D39" s="709"/>
      <c r="E39" s="709"/>
      <c r="F39" s="709"/>
      <c r="G39" s="709"/>
      <c r="H39" s="709"/>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156"/>
      <c r="AG39" s="726" t="s">
        <v>156</v>
      </c>
      <c r="AH39" s="726"/>
      <c r="AI39" s="709" t="s">
        <v>466</v>
      </c>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09"/>
      <c r="BJ39" s="709"/>
      <c r="BK39" s="709"/>
    </row>
    <row r="40" spans="1:63" ht="12" customHeight="1" x14ac:dyDescent="0.2">
      <c r="A40" s="157"/>
      <c r="B40" s="709"/>
      <c r="C40" s="709"/>
      <c r="D40" s="709"/>
      <c r="E40" s="709"/>
      <c r="F40" s="709"/>
      <c r="G40" s="709"/>
      <c r="H40" s="709"/>
      <c r="I40" s="709"/>
      <c r="J40" s="709"/>
      <c r="K40" s="709"/>
      <c r="L40" s="709"/>
      <c r="M40" s="709"/>
      <c r="N40" s="709"/>
      <c r="O40" s="709"/>
      <c r="P40" s="709"/>
      <c r="Q40" s="709"/>
      <c r="R40" s="709"/>
      <c r="S40" s="709"/>
      <c r="T40" s="709"/>
      <c r="U40" s="709"/>
      <c r="V40" s="709"/>
      <c r="W40" s="709"/>
      <c r="X40" s="709"/>
      <c r="Y40" s="709"/>
      <c r="Z40" s="709"/>
      <c r="AA40" s="709"/>
      <c r="AB40" s="709"/>
      <c r="AC40" s="709"/>
      <c r="AD40" s="709"/>
      <c r="AE40" s="709"/>
      <c r="AF40" s="156"/>
      <c r="AG40" s="453"/>
      <c r="AH40" s="453"/>
      <c r="AI40" s="709"/>
      <c r="AJ40" s="709"/>
      <c r="AK40" s="709"/>
      <c r="AL40" s="709"/>
      <c r="AM40" s="709"/>
      <c r="AN40" s="709"/>
      <c r="AO40" s="709"/>
      <c r="AP40" s="709"/>
      <c r="AQ40" s="709"/>
      <c r="AR40" s="709"/>
      <c r="AS40" s="709"/>
      <c r="AT40" s="709"/>
      <c r="AU40" s="709"/>
      <c r="AV40" s="709"/>
      <c r="AW40" s="709"/>
      <c r="AX40" s="709"/>
      <c r="AY40" s="709"/>
      <c r="AZ40" s="709"/>
      <c r="BA40" s="709"/>
      <c r="BB40" s="709"/>
      <c r="BC40" s="709"/>
      <c r="BD40" s="709"/>
      <c r="BE40" s="709"/>
      <c r="BF40" s="709"/>
      <c r="BG40" s="709"/>
      <c r="BH40" s="709"/>
      <c r="BI40" s="709"/>
      <c r="BJ40" s="709"/>
      <c r="BK40" s="709"/>
    </row>
    <row r="41" spans="1:63" ht="12" customHeight="1" x14ac:dyDescent="0.2">
      <c r="A41" s="157"/>
      <c r="B41" s="709"/>
      <c r="C41" s="709"/>
      <c r="D41" s="709"/>
      <c r="E41" s="709"/>
      <c r="F41" s="709"/>
      <c r="G41" s="709"/>
      <c r="H41" s="709"/>
      <c r="I41" s="709"/>
      <c r="J41" s="709"/>
      <c r="K41" s="709"/>
      <c r="L41" s="709"/>
      <c r="M41" s="709"/>
      <c r="N41" s="709"/>
      <c r="O41" s="709"/>
      <c r="P41" s="709"/>
      <c r="Q41" s="709"/>
      <c r="R41" s="709"/>
      <c r="S41" s="709"/>
      <c r="T41" s="709"/>
      <c r="U41" s="709"/>
      <c r="V41" s="709"/>
      <c r="W41" s="709"/>
      <c r="X41" s="709"/>
      <c r="Y41" s="709"/>
      <c r="Z41" s="709"/>
      <c r="AA41" s="709"/>
      <c r="AB41" s="709"/>
      <c r="AC41" s="709"/>
      <c r="AD41" s="709"/>
      <c r="AE41" s="709"/>
      <c r="AF41" s="156"/>
      <c r="AG41" s="726" t="s">
        <v>153</v>
      </c>
      <c r="AH41" s="726"/>
      <c r="AI41" s="709" t="str">
        <f>"«Girov qoyan» bu müqavilənin 4-cü bəndində nəzərdə tutulan öhdəliklərini icra etmədikdə və ya lazımınca icra etmədikdə, yaxud icra etməkdən imtina etdikdə girovla təmin edilən öhdəliyin icra müddətinin başa"&amp;" çatmasına qədər girov predmetinə ödəniş yönəltmək;"</f>
        <v>«Girov qoyan» bu müqavilənin 4-cü bəndində nəzərdə tutulan öhdəliklərini icra etmədikdə və ya lazımınca icra etmədikdə, yaxud icra etməkdən imtina etdikdə girovla təmin edilən öhdəliyin icra müddətinin başa çatmasına qədər girov predmetinə ödəniş yönəltmək;</v>
      </c>
      <c r="AJ41" s="709"/>
      <c r="AK41" s="709"/>
      <c r="AL41" s="709"/>
      <c r="AM41" s="709"/>
      <c r="AN41" s="709"/>
      <c r="AO41" s="709"/>
      <c r="AP41" s="709"/>
      <c r="AQ41" s="709"/>
      <c r="AR41" s="709"/>
      <c r="AS41" s="709"/>
      <c r="AT41" s="709"/>
      <c r="AU41" s="709"/>
      <c r="AV41" s="709"/>
      <c r="AW41" s="709"/>
      <c r="AX41" s="709"/>
      <c r="AY41" s="709"/>
      <c r="AZ41" s="709"/>
      <c r="BA41" s="709"/>
      <c r="BB41" s="709"/>
      <c r="BC41" s="709"/>
      <c r="BD41" s="709"/>
      <c r="BE41" s="709"/>
      <c r="BF41" s="709"/>
      <c r="BG41" s="709"/>
      <c r="BH41" s="709"/>
      <c r="BI41" s="709"/>
      <c r="BJ41" s="709"/>
      <c r="BK41" s="709"/>
    </row>
    <row r="42" spans="1:63" ht="12" customHeight="1" x14ac:dyDescent="0.2">
      <c r="A42" s="157"/>
      <c r="B42" s="709"/>
      <c r="C42" s="709"/>
      <c r="D42" s="709"/>
      <c r="E42" s="709"/>
      <c r="F42" s="709"/>
      <c r="G42" s="709"/>
      <c r="H42" s="709"/>
      <c r="I42" s="709"/>
      <c r="J42" s="709"/>
      <c r="K42" s="709"/>
      <c r="L42" s="709"/>
      <c r="M42" s="709"/>
      <c r="N42" s="709"/>
      <c r="O42" s="709"/>
      <c r="P42" s="709"/>
      <c r="Q42" s="709"/>
      <c r="R42" s="709"/>
      <c r="S42" s="709"/>
      <c r="T42" s="709"/>
      <c r="U42" s="709"/>
      <c r="V42" s="709"/>
      <c r="W42" s="709"/>
      <c r="X42" s="709"/>
      <c r="Y42" s="709"/>
      <c r="Z42" s="709"/>
      <c r="AA42" s="709"/>
      <c r="AB42" s="709"/>
      <c r="AC42" s="709"/>
      <c r="AD42" s="709"/>
      <c r="AE42" s="709"/>
      <c r="AF42" s="156"/>
      <c r="AG42" s="453"/>
      <c r="AH42" s="453"/>
      <c r="AI42" s="709"/>
      <c r="AJ42" s="709"/>
      <c r="AK42" s="709"/>
      <c r="AL42" s="709"/>
      <c r="AM42" s="709"/>
      <c r="AN42" s="709"/>
      <c r="AO42" s="709"/>
      <c r="AP42" s="709"/>
      <c r="AQ42" s="709"/>
      <c r="AR42" s="709"/>
      <c r="AS42" s="709"/>
      <c r="AT42" s="709"/>
      <c r="AU42" s="709"/>
      <c r="AV42" s="709"/>
      <c r="AW42" s="709"/>
      <c r="AX42" s="709"/>
      <c r="AY42" s="709"/>
      <c r="AZ42" s="709"/>
      <c r="BA42" s="709"/>
      <c r="BB42" s="709"/>
      <c r="BC42" s="709"/>
      <c r="BD42" s="709"/>
      <c r="BE42" s="709"/>
      <c r="BF42" s="709"/>
      <c r="BG42" s="709"/>
      <c r="BH42" s="709"/>
      <c r="BI42" s="709"/>
      <c r="BJ42" s="709"/>
      <c r="BK42" s="709"/>
    </row>
    <row r="43" spans="1:63" ht="12" customHeight="1" x14ac:dyDescent="0.2">
      <c r="A43" s="164"/>
      <c r="B43" s="709"/>
      <c r="C43" s="709"/>
      <c r="D43" s="709"/>
      <c r="E43" s="709"/>
      <c r="F43" s="709"/>
      <c r="G43" s="709"/>
      <c r="H43" s="709"/>
      <c r="I43" s="709"/>
      <c r="J43" s="709"/>
      <c r="K43" s="709"/>
      <c r="L43" s="709"/>
      <c r="M43" s="709"/>
      <c r="N43" s="709"/>
      <c r="O43" s="709"/>
      <c r="P43" s="709"/>
      <c r="Q43" s="709"/>
      <c r="R43" s="709"/>
      <c r="S43" s="709"/>
      <c r="T43" s="709"/>
      <c r="U43" s="709"/>
      <c r="V43" s="709"/>
      <c r="W43" s="709"/>
      <c r="X43" s="709"/>
      <c r="Y43" s="709"/>
      <c r="Z43" s="709"/>
      <c r="AA43" s="709"/>
      <c r="AB43" s="709"/>
      <c r="AC43" s="709"/>
      <c r="AD43" s="709"/>
      <c r="AE43" s="709"/>
      <c r="AF43" s="156"/>
      <c r="AG43" s="453"/>
      <c r="AH43" s="453"/>
      <c r="AI43" s="709"/>
      <c r="AJ43" s="709"/>
      <c r="AK43" s="709"/>
      <c r="AL43" s="709"/>
      <c r="AM43" s="709"/>
      <c r="AN43" s="709"/>
      <c r="AO43" s="709"/>
      <c r="AP43" s="709"/>
      <c r="AQ43" s="709"/>
      <c r="AR43" s="709"/>
      <c r="AS43" s="709"/>
      <c r="AT43" s="709"/>
      <c r="AU43" s="709"/>
      <c r="AV43" s="709"/>
      <c r="AW43" s="709"/>
      <c r="AX43" s="709"/>
      <c r="AY43" s="709"/>
      <c r="AZ43" s="709"/>
      <c r="BA43" s="709"/>
      <c r="BB43" s="709"/>
      <c r="BC43" s="709"/>
      <c r="BD43" s="709"/>
      <c r="BE43" s="709"/>
      <c r="BF43" s="709"/>
      <c r="BG43" s="709"/>
      <c r="BH43" s="709"/>
      <c r="BI43" s="709"/>
      <c r="BJ43" s="709"/>
      <c r="BK43" s="709"/>
    </row>
    <row r="44" spans="1:63" ht="12" customHeight="1" x14ac:dyDescent="0.2">
      <c r="A44" s="157"/>
      <c r="B44" s="709"/>
      <c r="C44" s="709"/>
      <c r="D44" s="709"/>
      <c r="E44" s="709"/>
      <c r="F44" s="709"/>
      <c r="G44" s="709"/>
      <c r="H44" s="709"/>
      <c r="I44" s="709"/>
      <c r="J44" s="709"/>
      <c r="K44" s="709"/>
      <c r="L44" s="709"/>
      <c r="M44" s="709"/>
      <c r="N44" s="709"/>
      <c r="O44" s="709"/>
      <c r="P44" s="709"/>
      <c r="Q44" s="709"/>
      <c r="R44" s="709"/>
      <c r="S44" s="709"/>
      <c r="T44" s="709"/>
      <c r="U44" s="709"/>
      <c r="V44" s="709"/>
      <c r="W44" s="709"/>
      <c r="X44" s="709"/>
      <c r="Y44" s="709"/>
      <c r="Z44" s="709"/>
      <c r="AA44" s="709"/>
      <c r="AB44" s="709"/>
      <c r="AC44" s="709"/>
      <c r="AD44" s="709"/>
      <c r="AE44" s="709"/>
      <c r="AF44" s="156"/>
      <c r="AG44" s="452"/>
      <c r="AH44" s="453"/>
      <c r="AI44" s="709"/>
      <c r="AJ44" s="709"/>
      <c r="AK44" s="709"/>
      <c r="AL44" s="709"/>
      <c r="AM44" s="709"/>
      <c r="AN44" s="709"/>
      <c r="AO44" s="709"/>
      <c r="AP44" s="709"/>
      <c r="AQ44" s="709"/>
      <c r="AR44" s="709"/>
      <c r="AS44" s="709"/>
      <c r="AT44" s="709"/>
      <c r="AU44" s="709"/>
      <c r="AV44" s="709"/>
      <c r="AW44" s="709"/>
      <c r="AX44" s="709"/>
      <c r="AY44" s="709"/>
      <c r="AZ44" s="709"/>
      <c r="BA44" s="709"/>
      <c r="BB44" s="709"/>
      <c r="BC44" s="709"/>
      <c r="BD44" s="709"/>
      <c r="BE44" s="709"/>
      <c r="BF44" s="709"/>
      <c r="BG44" s="709"/>
      <c r="BH44" s="709"/>
      <c r="BI44" s="709"/>
      <c r="BJ44" s="709"/>
      <c r="BK44" s="709"/>
    </row>
    <row r="45" spans="1:63" ht="12" customHeight="1" x14ac:dyDescent="0.2">
      <c r="A45" s="162" t="s">
        <v>130</v>
      </c>
      <c r="B45" s="736" t="str">
        <f>"Girovla təmin edilmiş öhdəlik "&amp;MONTH_KREDIT&amp;" ("&amp;LEFT(MONTH_KREDIT_SOZLE,LEN(MONTH_KREDIT_SOZLE)-1)&amp;")  ay müddətinə icra edilməlidir."</f>
        <v>Girovla təmin edilmiş öhdəlik 10 (on)  ay müddətinə icra edilməlidir.</v>
      </c>
      <c r="C45" s="736"/>
      <c r="D45" s="736"/>
      <c r="E45" s="736"/>
      <c r="F45" s="736"/>
      <c r="G45" s="736"/>
      <c r="H45" s="736"/>
      <c r="I45" s="736"/>
      <c r="J45" s="736"/>
      <c r="K45" s="736"/>
      <c r="L45" s="736"/>
      <c r="M45" s="736"/>
      <c r="N45" s="736"/>
      <c r="O45" s="736"/>
      <c r="P45" s="736"/>
      <c r="Q45" s="736"/>
      <c r="R45" s="736"/>
      <c r="S45" s="736"/>
      <c r="T45" s="736"/>
      <c r="U45" s="736"/>
      <c r="V45" s="736"/>
      <c r="W45" s="736"/>
      <c r="X45" s="736"/>
      <c r="Y45" s="736"/>
      <c r="Z45" s="736"/>
      <c r="AA45" s="736"/>
      <c r="AB45" s="736"/>
      <c r="AC45" s="736"/>
      <c r="AD45" s="736"/>
      <c r="AE45" s="736"/>
      <c r="AF45" s="156"/>
      <c r="AG45" s="726" t="s">
        <v>149</v>
      </c>
      <c r="AH45" s="726"/>
      <c r="AI45" s="709" t="s">
        <v>148</v>
      </c>
      <c r="AJ45" s="709"/>
      <c r="AK45" s="709"/>
      <c r="AL45" s="709"/>
      <c r="AM45" s="709"/>
      <c r="AN45" s="709"/>
      <c r="AO45" s="709"/>
      <c r="AP45" s="709"/>
      <c r="AQ45" s="709"/>
      <c r="AR45" s="709"/>
      <c r="AS45" s="709"/>
      <c r="AT45" s="709"/>
      <c r="AU45" s="709"/>
      <c r="AV45" s="709"/>
      <c r="AW45" s="709"/>
      <c r="AX45" s="709"/>
      <c r="AY45" s="709"/>
      <c r="AZ45" s="709"/>
      <c r="BA45" s="709"/>
      <c r="BB45" s="709"/>
      <c r="BC45" s="709"/>
      <c r="BD45" s="709"/>
      <c r="BE45" s="709"/>
      <c r="BF45" s="709"/>
      <c r="BG45" s="709"/>
      <c r="BH45" s="709"/>
      <c r="BI45" s="709"/>
      <c r="BJ45" s="709"/>
      <c r="BK45" s="709"/>
    </row>
    <row r="46" spans="1:63" ht="12" customHeight="1" x14ac:dyDescent="0.2">
      <c r="A46" s="164"/>
      <c r="B46" s="160"/>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56"/>
      <c r="AG46" s="452"/>
      <c r="AH46" s="453"/>
      <c r="AI46" s="709"/>
      <c r="AJ46" s="709"/>
      <c r="AK46" s="709"/>
      <c r="AL46" s="709"/>
      <c r="AM46" s="709"/>
      <c r="AN46" s="709"/>
      <c r="AO46" s="709"/>
      <c r="AP46" s="709"/>
      <c r="AQ46" s="709"/>
      <c r="AR46" s="709"/>
      <c r="AS46" s="709"/>
      <c r="AT46" s="709"/>
      <c r="AU46" s="709"/>
      <c r="AV46" s="709"/>
      <c r="AW46" s="709"/>
      <c r="AX46" s="709"/>
      <c r="AY46" s="709"/>
      <c r="AZ46" s="709"/>
      <c r="BA46" s="709"/>
      <c r="BB46" s="709"/>
      <c r="BC46" s="709"/>
      <c r="BD46" s="709"/>
      <c r="BE46" s="709"/>
      <c r="BF46" s="709"/>
      <c r="BG46" s="709"/>
      <c r="BH46" s="709"/>
      <c r="BI46" s="709"/>
      <c r="BJ46" s="709"/>
      <c r="BK46" s="709"/>
    </row>
    <row r="47" spans="1:63" ht="12" customHeight="1" x14ac:dyDescent="0.2">
      <c r="A47" s="731" t="s">
        <v>129</v>
      </c>
      <c r="B47" s="731"/>
      <c r="C47" s="731"/>
      <c r="D47" s="731"/>
      <c r="E47" s="731"/>
      <c r="F47" s="731"/>
      <c r="G47" s="731"/>
      <c r="H47" s="731"/>
      <c r="I47" s="731"/>
      <c r="J47" s="731"/>
      <c r="K47" s="731"/>
      <c r="L47" s="731"/>
      <c r="M47" s="731"/>
      <c r="N47" s="731"/>
      <c r="O47" s="731"/>
      <c r="P47" s="731"/>
      <c r="Q47" s="731"/>
      <c r="R47" s="731"/>
      <c r="S47" s="731"/>
      <c r="T47" s="731"/>
      <c r="U47" s="731"/>
      <c r="V47" s="731"/>
      <c r="W47" s="731"/>
      <c r="X47" s="731"/>
      <c r="Y47" s="731"/>
      <c r="Z47" s="731"/>
      <c r="AA47" s="731"/>
      <c r="AB47" s="731"/>
      <c r="AC47" s="731"/>
      <c r="AD47" s="731"/>
      <c r="AE47" s="731"/>
      <c r="AF47" s="156"/>
      <c r="AG47" s="453"/>
      <c r="AH47" s="453"/>
      <c r="AI47" s="709"/>
      <c r="AJ47" s="709"/>
      <c r="AK47" s="709"/>
      <c r="AL47" s="709"/>
      <c r="AM47" s="709"/>
      <c r="AN47" s="709"/>
      <c r="AO47" s="709"/>
      <c r="AP47" s="709"/>
      <c r="AQ47" s="709"/>
      <c r="AR47" s="709"/>
      <c r="AS47" s="709"/>
      <c r="AT47" s="709"/>
      <c r="AU47" s="709"/>
      <c r="AV47" s="709"/>
      <c r="AW47" s="709"/>
      <c r="AX47" s="709"/>
      <c r="AY47" s="709"/>
      <c r="AZ47" s="709"/>
      <c r="BA47" s="709"/>
      <c r="BB47" s="709"/>
      <c r="BC47" s="709"/>
      <c r="BD47" s="709"/>
      <c r="BE47" s="709"/>
      <c r="BF47" s="709"/>
      <c r="BG47" s="709"/>
      <c r="BH47" s="709"/>
      <c r="BI47" s="709"/>
      <c r="BJ47" s="709"/>
      <c r="BK47" s="709"/>
    </row>
    <row r="48" spans="1:63" ht="12" customHeight="1" x14ac:dyDescent="0.2">
      <c r="A48" s="164"/>
      <c r="B48" s="164"/>
      <c r="C48" s="16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56"/>
      <c r="AG48" s="726" t="s">
        <v>146</v>
      </c>
      <c r="AH48" s="726"/>
      <c r="AI48" s="709" t="s">
        <v>145</v>
      </c>
      <c r="AJ48" s="709"/>
      <c r="AK48" s="709"/>
      <c r="AL48" s="709"/>
      <c r="AM48" s="709"/>
      <c r="AN48" s="709"/>
      <c r="AO48" s="709"/>
      <c r="AP48" s="709"/>
      <c r="AQ48" s="709"/>
      <c r="AR48" s="709"/>
      <c r="AS48" s="709"/>
      <c r="AT48" s="709"/>
      <c r="AU48" s="709"/>
      <c r="AV48" s="709"/>
      <c r="AW48" s="709"/>
      <c r="AX48" s="709"/>
      <c r="AY48" s="709"/>
      <c r="AZ48" s="709"/>
      <c r="BA48" s="709"/>
      <c r="BB48" s="709"/>
      <c r="BC48" s="709"/>
      <c r="BD48" s="709"/>
      <c r="BE48" s="709"/>
      <c r="BF48" s="709"/>
      <c r="BG48" s="709"/>
      <c r="BH48" s="709"/>
      <c r="BI48" s="709"/>
      <c r="BJ48" s="709"/>
      <c r="BK48" s="709"/>
    </row>
    <row r="49" spans="1:63" ht="12" customHeight="1" x14ac:dyDescent="0.2">
      <c r="A49" s="167" t="s">
        <v>126</v>
      </c>
      <c r="B49" s="727" t="s">
        <v>125</v>
      </c>
      <c r="C49" s="727"/>
      <c r="D49" s="727"/>
      <c r="E49" s="727"/>
      <c r="F49" s="727"/>
      <c r="G49" s="727"/>
      <c r="H49" s="727"/>
      <c r="I49" s="727"/>
      <c r="J49" s="727"/>
      <c r="K49" s="727"/>
      <c r="L49" s="727"/>
      <c r="M49" s="727"/>
      <c r="N49" s="727"/>
      <c r="O49" s="727"/>
      <c r="P49" s="727"/>
      <c r="Q49" s="727"/>
      <c r="R49" s="727"/>
      <c r="S49" s="727"/>
      <c r="T49" s="727"/>
      <c r="U49" s="727"/>
      <c r="V49" s="727"/>
      <c r="W49" s="727"/>
      <c r="X49" s="727"/>
      <c r="Y49" s="727"/>
      <c r="Z49" s="727"/>
      <c r="AA49" s="727"/>
      <c r="AB49" s="727"/>
      <c r="AC49" s="727"/>
      <c r="AD49" s="727"/>
      <c r="AE49" s="727"/>
      <c r="AF49" s="156"/>
      <c r="AG49" s="452"/>
      <c r="AH49" s="452"/>
      <c r="AI49" s="709"/>
      <c r="AJ49" s="709"/>
      <c r="AK49" s="709"/>
      <c r="AL49" s="709"/>
      <c r="AM49" s="709"/>
      <c r="AN49" s="709"/>
      <c r="AO49" s="709"/>
      <c r="AP49" s="709"/>
      <c r="AQ49" s="709"/>
      <c r="AR49" s="709"/>
      <c r="AS49" s="709"/>
      <c r="AT49" s="709"/>
      <c r="AU49" s="709"/>
      <c r="AV49" s="709"/>
      <c r="AW49" s="709"/>
      <c r="AX49" s="709"/>
      <c r="AY49" s="709"/>
      <c r="AZ49" s="709"/>
      <c r="BA49" s="709"/>
      <c r="BB49" s="709"/>
      <c r="BC49" s="709"/>
      <c r="BD49" s="709"/>
      <c r="BE49" s="709"/>
      <c r="BF49" s="709"/>
      <c r="BG49" s="709"/>
      <c r="BH49" s="709"/>
      <c r="BI49" s="709"/>
      <c r="BJ49" s="709"/>
      <c r="BK49" s="709"/>
    </row>
    <row r="50" spans="1:63" ht="12" customHeight="1" x14ac:dyDescent="0.2">
      <c r="A50" s="734" t="s">
        <v>123</v>
      </c>
      <c r="B50" s="734"/>
      <c r="C50" s="709" t="s">
        <v>424</v>
      </c>
      <c r="D50" s="709"/>
      <c r="E50" s="709"/>
      <c r="F50" s="709"/>
      <c r="G50" s="709"/>
      <c r="H50" s="709"/>
      <c r="I50" s="709"/>
      <c r="J50" s="709"/>
      <c r="K50" s="709"/>
      <c r="L50" s="709"/>
      <c r="M50" s="709"/>
      <c r="N50" s="709"/>
      <c r="O50" s="709"/>
      <c r="P50" s="709"/>
      <c r="Q50" s="709"/>
      <c r="R50" s="709"/>
      <c r="S50" s="709"/>
      <c r="T50" s="709"/>
      <c r="U50" s="709"/>
      <c r="V50" s="709"/>
      <c r="W50" s="709"/>
      <c r="X50" s="709"/>
      <c r="Y50" s="709"/>
      <c r="Z50" s="709"/>
      <c r="AA50" s="709"/>
      <c r="AB50" s="709"/>
      <c r="AC50" s="709"/>
      <c r="AD50" s="709"/>
      <c r="AE50" s="709"/>
      <c r="AF50" s="156"/>
      <c r="AG50" s="452"/>
      <c r="AH50" s="452"/>
      <c r="AI50" s="709"/>
      <c r="AJ50" s="709"/>
      <c r="AK50" s="709"/>
      <c r="AL50" s="709"/>
      <c r="AM50" s="709"/>
      <c r="AN50" s="709"/>
      <c r="AO50" s="709"/>
      <c r="AP50" s="709"/>
      <c r="AQ50" s="709"/>
      <c r="AR50" s="709"/>
      <c r="AS50" s="709"/>
      <c r="AT50" s="709"/>
      <c r="AU50" s="709"/>
      <c r="AV50" s="709"/>
      <c r="AW50" s="709"/>
      <c r="AX50" s="709"/>
      <c r="AY50" s="709"/>
      <c r="AZ50" s="709"/>
      <c r="BA50" s="709"/>
      <c r="BB50" s="709"/>
      <c r="BC50" s="709"/>
      <c r="BD50" s="709"/>
      <c r="BE50" s="709"/>
      <c r="BF50" s="709"/>
      <c r="BG50" s="709"/>
      <c r="BH50" s="709"/>
      <c r="BI50" s="709"/>
      <c r="BJ50" s="709"/>
      <c r="BK50" s="709"/>
    </row>
    <row r="51" spans="1:63" ht="12" customHeight="1" x14ac:dyDescent="0.2">
      <c r="A51" s="162"/>
      <c r="B51" s="162"/>
      <c r="C51" s="709"/>
      <c r="D51" s="709"/>
      <c r="E51" s="709"/>
      <c r="F51" s="709"/>
      <c r="G51" s="709"/>
      <c r="H51" s="709"/>
      <c r="I51" s="709"/>
      <c r="J51" s="709"/>
      <c r="K51" s="709"/>
      <c r="L51" s="709"/>
      <c r="M51" s="709"/>
      <c r="N51" s="709"/>
      <c r="O51" s="709"/>
      <c r="P51" s="709"/>
      <c r="Q51" s="709"/>
      <c r="R51" s="709"/>
      <c r="S51" s="709"/>
      <c r="T51" s="709"/>
      <c r="U51" s="709"/>
      <c r="V51" s="709"/>
      <c r="W51" s="709"/>
      <c r="X51" s="709"/>
      <c r="Y51" s="709"/>
      <c r="Z51" s="709"/>
      <c r="AA51" s="709"/>
      <c r="AB51" s="709"/>
      <c r="AC51" s="709"/>
      <c r="AD51" s="709"/>
      <c r="AE51" s="709"/>
      <c r="AF51" s="156"/>
      <c r="AG51" s="726" t="s">
        <v>142</v>
      </c>
      <c r="AH51" s="726"/>
      <c r="AI51" s="709" t="s">
        <v>141</v>
      </c>
      <c r="AJ51" s="709"/>
      <c r="AK51" s="709"/>
      <c r="AL51" s="709"/>
      <c r="AM51" s="709"/>
      <c r="AN51" s="709"/>
      <c r="AO51" s="709"/>
      <c r="AP51" s="709"/>
      <c r="AQ51" s="709"/>
      <c r="AR51" s="709"/>
      <c r="AS51" s="709"/>
      <c r="AT51" s="709"/>
      <c r="AU51" s="709"/>
      <c r="AV51" s="709"/>
      <c r="AW51" s="709"/>
      <c r="AX51" s="709"/>
      <c r="AY51" s="709"/>
      <c r="AZ51" s="709"/>
      <c r="BA51" s="709"/>
      <c r="BB51" s="709"/>
      <c r="BC51" s="709"/>
      <c r="BD51" s="709"/>
      <c r="BE51" s="709"/>
      <c r="BF51" s="709"/>
      <c r="BG51" s="709"/>
      <c r="BH51" s="709"/>
      <c r="BI51" s="709"/>
      <c r="BJ51" s="709"/>
      <c r="BK51" s="709"/>
    </row>
    <row r="52" spans="1:63" ht="12" customHeight="1" x14ac:dyDescent="0.2">
      <c r="A52" s="734" t="s">
        <v>53</v>
      </c>
      <c r="B52" s="734"/>
      <c r="C52" s="736" t="s">
        <v>122</v>
      </c>
      <c r="D52" s="736"/>
      <c r="E52" s="736"/>
      <c r="F52" s="736"/>
      <c r="G52" s="736"/>
      <c r="H52" s="736"/>
      <c r="I52" s="736"/>
      <c r="J52" s="736"/>
      <c r="K52" s="736"/>
      <c r="L52" s="736"/>
      <c r="M52" s="736"/>
      <c r="N52" s="736"/>
      <c r="O52" s="736"/>
      <c r="P52" s="736"/>
      <c r="Q52" s="736"/>
      <c r="R52" s="736"/>
      <c r="S52" s="736"/>
      <c r="T52" s="736"/>
      <c r="U52" s="736"/>
      <c r="V52" s="736"/>
      <c r="W52" s="736"/>
      <c r="X52" s="736"/>
      <c r="Y52" s="736"/>
      <c r="Z52" s="736"/>
      <c r="AA52" s="736"/>
      <c r="AB52" s="736"/>
      <c r="AC52" s="736"/>
      <c r="AD52" s="736"/>
      <c r="AE52" s="736"/>
      <c r="AF52" s="156"/>
      <c r="AG52" s="453"/>
      <c r="AH52" s="453"/>
      <c r="AI52" s="709"/>
      <c r="AJ52" s="709"/>
      <c r="AK52" s="709"/>
      <c r="AL52" s="709"/>
      <c r="AM52" s="709"/>
      <c r="AN52" s="709"/>
      <c r="AO52" s="709"/>
      <c r="AP52" s="709"/>
      <c r="AQ52" s="709"/>
      <c r="AR52" s="709"/>
      <c r="AS52" s="709"/>
      <c r="AT52" s="709"/>
      <c r="AU52" s="709"/>
      <c r="AV52" s="709"/>
      <c r="AW52" s="709"/>
      <c r="AX52" s="709"/>
      <c r="AY52" s="709"/>
      <c r="AZ52" s="709"/>
      <c r="BA52" s="709"/>
      <c r="BB52" s="709"/>
      <c r="BC52" s="709"/>
      <c r="BD52" s="709"/>
      <c r="BE52" s="709"/>
      <c r="BF52" s="709"/>
      <c r="BG52" s="709"/>
      <c r="BH52" s="709"/>
      <c r="BI52" s="709"/>
      <c r="BJ52" s="709"/>
      <c r="BK52" s="709"/>
    </row>
    <row r="53" spans="1:63" ht="12" customHeight="1" x14ac:dyDescent="0.2">
      <c r="A53" s="734" t="s">
        <v>52</v>
      </c>
      <c r="B53" s="734"/>
      <c r="C53" s="728" t="s">
        <v>120</v>
      </c>
      <c r="D53" s="728"/>
      <c r="E53" s="728"/>
      <c r="F53" s="728"/>
      <c r="G53" s="728"/>
      <c r="H53" s="728"/>
      <c r="I53" s="728"/>
      <c r="J53" s="728"/>
      <c r="K53" s="728"/>
      <c r="L53" s="728"/>
      <c r="M53" s="728"/>
      <c r="N53" s="728"/>
      <c r="O53" s="728"/>
      <c r="P53" s="728"/>
      <c r="Q53" s="728"/>
      <c r="R53" s="728"/>
      <c r="S53" s="728"/>
      <c r="T53" s="728"/>
      <c r="U53" s="728"/>
      <c r="V53" s="728"/>
      <c r="W53" s="728"/>
      <c r="X53" s="728"/>
      <c r="Y53" s="728"/>
      <c r="Z53" s="728"/>
      <c r="AA53" s="728"/>
      <c r="AB53" s="728"/>
      <c r="AC53" s="728"/>
      <c r="AD53" s="728"/>
      <c r="AE53" s="728"/>
      <c r="AF53" s="156"/>
      <c r="AG53" s="452"/>
      <c r="AH53" s="452"/>
      <c r="AI53" s="709"/>
      <c r="AJ53" s="709"/>
      <c r="AK53" s="709"/>
      <c r="AL53" s="709"/>
      <c r="AM53" s="709"/>
      <c r="AN53" s="709"/>
      <c r="AO53" s="709"/>
      <c r="AP53" s="709"/>
      <c r="AQ53" s="709"/>
      <c r="AR53" s="709"/>
      <c r="AS53" s="709"/>
      <c r="AT53" s="709"/>
      <c r="AU53" s="709"/>
      <c r="AV53" s="709"/>
      <c r="AW53" s="709"/>
      <c r="AX53" s="709"/>
      <c r="AY53" s="709"/>
      <c r="AZ53" s="709"/>
      <c r="BA53" s="709"/>
      <c r="BB53" s="709"/>
      <c r="BC53" s="709"/>
      <c r="BD53" s="709"/>
      <c r="BE53" s="709"/>
      <c r="BF53" s="709"/>
      <c r="BG53" s="709"/>
      <c r="BH53" s="709"/>
      <c r="BI53" s="709"/>
      <c r="BJ53" s="709"/>
      <c r="BK53" s="709"/>
    </row>
    <row r="54" spans="1:63" ht="12" customHeight="1" x14ac:dyDescent="0.2">
      <c r="A54" s="157"/>
      <c r="B54" s="157"/>
      <c r="C54" s="728"/>
      <c r="D54" s="728"/>
      <c r="E54" s="728"/>
      <c r="F54" s="728"/>
      <c r="G54" s="728"/>
      <c r="H54" s="728"/>
      <c r="I54" s="728"/>
      <c r="J54" s="728"/>
      <c r="K54" s="728"/>
      <c r="L54" s="728"/>
      <c r="M54" s="728"/>
      <c r="N54" s="728"/>
      <c r="O54" s="728"/>
      <c r="P54" s="728"/>
      <c r="Q54" s="728"/>
      <c r="R54" s="728"/>
      <c r="S54" s="728"/>
      <c r="T54" s="728"/>
      <c r="U54" s="728"/>
      <c r="V54" s="728"/>
      <c r="W54" s="728"/>
      <c r="X54" s="728"/>
      <c r="Y54" s="728"/>
      <c r="Z54" s="728"/>
      <c r="AA54" s="728"/>
      <c r="AB54" s="728"/>
      <c r="AC54" s="728"/>
      <c r="AD54" s="728"/>
      <c r="AE54" s="728"/>
      <c r="AF54" s="156"/>
      <c r="AG54" s="726" t="s">
        <v>139</v>
      </c>
      <c r="AH54" s="726"/>
      <c r="AI54" s="709" t="s">
        <v>422</v>
      </c>
      <c r="AJ54" s="709"/>
      <c r="AK54" s="709"/>
      <c r="AL54" s="709"/>
      <c r="AM54" s="709"/>
      <c r="AN54" s="709"/>
      <c r="AO54" s="709"/>
      <c r="AP54" s="709"/>
      <c r="AQ54" s="709"/>
      <c r="AR54" s="709"/>
      <c r="AS54" s="709"/>
      <c r="AT54" s="709"/>
      <c r="AU54" s="709"/>
      <c r="AV54" s="709"/>
      <c r="AW54" s="709"/>
      <c r="AX54" s="709"/>
      <c r="AY54" s="709"/>
      <c r="AZ54" s="709"/>
      <c r="BA54" s="709"/>
      <c r="BB54" s="709"/>
      <c r="BC54" s="709"/>
      <c r="BD54" s="709"/>
      <c r="BE54" s="709"/>
      <c r="BF54" s="709"/>
      <c r="BG54" s="709"/>
      <c r="BH54" s="709"/>
      <c r="BI54" s="709"/>
      <c r="BJ54" s="709"/>
      <c r="BK54" s="709"/>
    </row>
    <row r="55" spans="1:63" ht="12" customHeight="1" x14ac:dyDescent="0.2">
      <c r="A55" s="157"/>
      <c r="B55" s="157"/>
      <c r="C55" s="728"/>
      <c r="D55" s="728"/>
      <c r="E55" s="728"/>
      <c r="F55" s="728"/>
      <c r="G55" s="728"/>
      <c r="H55" s="728"/>
      <c r="I55" s="728"/>
      <c r="J55" s="728"/>
      <c r="K55" s="728"/>
      <c r="L55" s="728"/>
      <c r="M55" s="728"/>
      <c r="N55" s="728"/>
      <c r="O55" s="728"/>
      <c r="P55" s="728"/>
      <c r="Q55" s="728"/>
      <c r="R55" s="728"/>
      <c r="S55" s="728"/>
      <c r="T55" s="728"/>
      <c r="U55" s="728"/>
      <c r="V55" s="728"/>
      <c r="W55" s="728"/>
      <c r="X55" s="728"/>
      <c r="Y55" s="728"/>
      <c r="Z55" s="728"/>
      <c r="AA55" s="728"/>
      <c r="AB55" s="728"/>
      <c r="AC55" s="728"/>
      <c r="AD55" s="728"/>
      <c r="AE55" s="728"/>
      <c r="AF55" s="156"/>
      <c r="AG55" s="453"/>
      <c r="AH55" s="453"/>
      <c r="AI55" s="709"/>
      <c r="AJ55" s="709"/>
      <c r="AK55" s="709"/>
      <c r="AL55" s="709"/>
      <c r="AM55" s="709"/>
      <c r="AN55" s="709"/>
      <c r="AO55" s="709"/>
      <c r="AP55" s="709"/>
      <c r="AQ55" s="709"/>
      <c r="AR55" s="709"/>
      <c r="AS55" s="709"/>
      <c r="AT55" s="709"/>
      <c r="AU55" s="709"/>
      <c r="AV55" s="709"/>
      <c r="AW55" s="709"/>
      <c r="AX55" s="709"/>
      <c r="AY55" s="709"/>
      <c r="AZ55" s="709"/>
      <c r="BA55" s="709"/>
      <c r="BB55" s="709"/>
      <c r="BC55" s="709"/>
      <c r="BD55" s="709"/>
      <c r="BE55" s="709"/>
      <c r="BF55" s="709"/>
      <c r="BG55" s="709"/>
      <c r="BH55" s="709"/>
      <c r="BI55" s="709"/>
      <c r="BJ55" s="709"/>
      <c r="BK55" s="709"/>
    </row>
    <row r="56" spans="1:63" ht="12" customHeight="1" x14ac:dyDescent="0.2">
      <c r="A56" s="734" t="s">
        <v>51</v>
      </c>
      <c r="B56" s="734"/>
      <c r="C56" s="709" t="s">
        <v>118</v>
      </c>
      <c r="D56" s="709"/>
      <c r="E56" s="709"/>
      <c r="F56" s="709"/>
      <c r="G56" s="709"/>
      <c r="H56" s="709"/>
      <c r="I56" s="709"/>
      <c r="J56" s="709"/>
      <c r="K56" s="709"/>
      <c r="L56" s="709"/>
      <c r="M56" s="709"/>
      <c r="N56" s="709"/>
      <c r="O56" s="709"/>
      <c r="P56" s="709"/>
      <c r="Q56" s="709"/>
      <c r="R56" s="709"/>
      <c r="S56" s="709"/>
      <c r="T56" s="709"/>
      <c r="U56" s="709"/>
      <c r="V56" s="709"/>
      <c r="W56" s="709"/>
      <c r="X56" s="709"/>
      <c r="Y56" s="709"/>
      <c r="Z56" s="709"/>
      <c r="AA56" s="709"/>
      <c r="AB56" s="709"/>
      <c r="AC56" s="709"/>
      <c r="AD56" s="709"/>
      <c r="AE56" s="709"/>
      <c r="AF56" s="156"/>
      <c r="AG56" s="452"/>
      <c r="AH56" s="452"/>
      <c r="AI56" s="709"/>
      <c r="AJ56" s="709"/>
      <c r="AK56" s="709"/>
      <c r="AL56" s="709"/>
      <c r="AM56" s="709"/>
      <c r="AN56" s="709"/>
      <c r="AO56" s="709"/>
      <c r="AP56" s="709"/>
      <c r="AQ56" s="709"/>
      <c r="AR56" s="709"/>
      <c r="AS56" s="709"/>
      <c r="AT56" s="709"/>
      <c r="AU56" s="709"/>
      <c r="AV56" s="709"/>
      <c r="AW56" s="709"/>
      <c r="AX56" s="709"/>
      <c r="AY56" s="709"/>
      <c r="AZ56" s="709"/>
      <c r="BA56" s="709"/>
      <c r="BB56" s="709"/>
      <c r="BC56" s="709"/>
      <c r="BD56" s="709"/>
      <c r="BE56" s="709"/>
      <c r="BF56" s="709"/>
      <c r="BG56" s="709"/>
      <c r="BH56" s="709"/>
      <c r="BI56" s="709"/>
      <c r="BJ56" s="709"/>
      <c r="BK56" s="709"/>
    </row>
    <row r="57" spans="1:63" ht="12" customHeight="1" x14ac:dyDescent="0.2">
      <c r="A57" s="162"/>
      <c r="B57" s="162"/>
      <c r="C57" s="709"/>
      <c r="D57" s="709"/>
      <c r="E57" s="709"/>
      <c r="F57" s="709"/>
      <c r="G57" s="709"/>
      <c r="H57" s="709"/>
      <c r="I57" s="709"/>
      <c r="J57" s="709"/>
      <c r="K57" s="709"/>
      <c r="L57" s="709"/>
      <c r="M57" s="709"/>
      <c r="N57" s="709"/>
      <c r="O57" s="709"/>
      <c r="P57" s="709"/>
      <c r="Q57" s="709"/>
      <c r="R57" s="709"/>
      <c r="S57" s="709"/>
      <c r="T57" s="709"/>
      <c r="U57" s="709"/>
      <c r="V57" s="709"/>
      <c r="W57" s="709"/>
      <c r="X57" s="709"/>
      <c r="Y57" s="709"/>
      <c r="Z57" s="709"/>
      <c r="AA57" s="709"/>
      <c r="AB57" s="709"/>
      <c r="AC57" s="709"/>
      <c r="AD57" s="709"/>
      <c r="AE57" s="709"/>
      <c r="AF57" s="156"/>
      <c r="AG57" s="726" t="s">
        <v>137</v>
      </c>
      <c r="AH57" s="726"/>
      <c r="AI57" s="709" t="s">
        <v>136</v>
      </c>
      <c r="AJ57" s="709"/>
      <c r="AK57" s="709"/>
      <c r="AL57" s="709"/>
      <c r="AM57" s="709"/>
      <c r="AN57" s="709"/>
      <c r="AO57" s="709"/>
      <c r="AP57" s="709"/>
      <c r="AQ57" s="709"/>
      <c r="AR57" s="709"/>
      <c r="AS57" s="709"/>
      <c r="AT57" s="709"/>
      <c r="AU57" s="709"/>
      <c r="AV57" s="709"/>
      <c r="AW57" s="709"/>
      <c r="AX57" s="709"/>
      <c r="AY57" s="709"/>
      <c r="AZ57" s="709"/>
      <c r="BA57" s="709"/>
      <c r="BB57" s="709"/>
      <c r="BC57" s="709"/>
      <c r="BD57" s="709"/>
      <c r="BE57" s="709"/>
      <c r="BF57" s="709"/>
      <c r="BG57" s="709"/>
      <c r="BH57" s="709"/>
      <c r="BI57" s="709"/>
      <c r="BJ57" s="709"/>
      <c r="BK57" s="709"/>
    </row>
    <row r="58" spans="1:63" ht="12" customHeight="1" x14ac:dyDescent="0.2">
      <c r="A58" s="157"/>
      <c r="B58" s="157"/>
      <c r="C58" s="709"/>
      <c r="D58" s="709"/>
      <c r="E58" s="709"/>
      <c r="F58" s="709"/>
      <c r="G58" s="709"/>
      <c r="H58" s="709"/>
      <c r="I58" s="709"/>
      <c r="J58" s="709"/>
      <c r="K58" s="709"/>
      <c r="L58" s="709"/>
      <c r="M58" s="709"/>
      <c r="N58" s="709"/>
      <c r="O58" s="709"/>
      <c r="P58" s="709"/>
      <c r="Q58" s="709"/>
      <c r="R58" s="709"/>
      <c r="S58" s="709"/>
      <c r="T58" s="709"/>
      <c r="U58" s="709"/>
      <c r="V58" s="709"/>
      <c r="W58" s="709"/>
      <c r="X58" s="709"/>
      <c r="Y58" s="709"/>
      <c r="Z58" s="709"/>
      <c r="AA58" s="709"/>
      <c r="AB58" s="709"/>
      <c r="AC58" s="709"/>
      <c r="AD58" s="709"/>
      <c r="AE58" s="709"/>
      <c r="AF58" s="156"/>
      <c r="AG58" s="452"/>
      <c r="AH58" s="452"/>
      <c r="AI58" s="709"/>
      <c r="AJ58" s="709"/>
      <c r="AK58" s="709"/>
      <c r="AL58" s="709"/>
      <c r="AM58" s="709"/>
      <c r="AN58" s="709"/>
      <c r="AO58" s="709"/>
      <c r="AP58" s="709"/>
      <c r="AQ58" s="709"/>
      <c r="AR58" s="709"/>
      <c r="AS58" s="709"/>
      <c r="AT58" s="709"/>
      <c r="AU58" s="709"/>
      <c r="AV58" s="709"/>
      <c r="AW58" s="709"/>
      <c r="AX58" s="709"/>
      <c r="AY58" s="709"/>
      <c r="AZ58" s="709"/>
      <c r="BA58" s="709"/>
      <c r="BB58" s="709"/>
      <c r="BC58" s="709"/>
      <c r="BD58" s="709"/>
      <c r="BE58" s="709"/>
      <c r="BF58" s="709"/>
      <c r="BG58" s="709"/>
      <c r="BH58" s="709"/>
      <c r="BI58" s="709"/>
      <c r="BJ58" s="709"/>
      <c r="BK58" s="709"/>
    </row>
    <row r="59" spans="1:63" ht="12" customHeight="1" x14ac:dyDescent="0.2">
      <c r="A59" s="734" t="s">
        <v>92</v>
      </c>
      <c r="B59" s="734"/>
      <c r="C59" s="728" t="s">
        <v>117</v>
      </c>
      <c r="D59" s="728"/>
      <c r="E59" s="728"/>
      <c r="F59" s="728"/>
      <c r="G59" s="728"/>
      <c r="H59" s="728"/>
      <c r="I59" s="728"/>
      <c r="J59" s="728"/>
      <c r="K59" s="728"/>
      <c r="L59" s="728"/>
      <c r="M59" s="728"/>
      <c r="N59" s="728"/>
      <c r="O59" s="728"/>
      <c r="P59" s="728"/>
      <c r="Q59" s="728"/>
      <c r="R59" s="728"/>
      <c r="S59" s="728"/>
      <c r="T59" s="728"/>
      <c r="U59" s="728"/>
      <c r="V59" s="728"/>
      <c r="W59" s="728"/>
      <c r="X59" s="728"/>
      <c r="Y59" s="728"/>
      <c r="Z59" s="728"/>
      <c r="AA59" s="728"/>
      <c r="AB59" s="728"/>
      <c r="AC59" s="728"/>
      <c r="AD59" s="728"/>
      <c r="AE59" s="728"/>
      <c r="AF59" s="156"/>
      <c r="AG59" s="452"/>
      <c r="AH59" s="452"/>
      <c r="AI59" s="709"/>
      <c r="AJ59" s="709"/>
      <c r="AK59" s="709"/>
      <c r="AL59" s="709"/>
      <c r="AM59" s="709"/>
      <c r="AN59" s="709"/>
      <c r="AO59" s="709"/>
      <c r="AP59" s="709"/>
      <c r="AQ59" s="709"/>
      <c r="AR59" s="709"/>
      <c r="AS59" s="709"/>
      <c r="AT59" s="709"/>
      <c r="AU59" s="709"/>
      <c r="AV59" s="709"/>
      <c r="AW59" s="709"/>
      <c r="AX59" s="709"/>
      <c r="AY59" s="709"/>
      <c r="AZ59" s="709"/>
      <c r="BA59" s="709"/>
      <c r="BB59" s="709"/>
      <c r="BC59" s="709"/>
      <c r="BD59" s="709"/>
      <c r="BE59" s="709"/>
      <c r="BF59" s="709"/>
      <c r="BG59" s="709"/>
      <c r="BH59" s="709"/>
      <c r="BI59" s="709"/>
      <c r="BJ59" s="709"/>
      <c r="BK59" s="709"/>
    </row>
    <row r="60" spans="1:63" ht="12" customHeight="1" x14ac:dyDescent="0.2">
      <c r="A60" s="157"/>
      <c r="B60" s="157"/>
      <c r="C60" s="728"/>
      <c r="D60" s="728"/>
      <c r="E60" s="728"/>
      <c r="F60" s="728"/>
      <c r="G60" s="728"/>
      <c r="H60" s="728"/>
      <c r="I60" s="728"/>
      <c r="J60" s="728"/>
      <c r="K60" s="728"/>
      <c r="L60" s="728"/>
      <c r="M60" s="728"/>
      <c r="N60" s="728"/>
      <c r="O60" s="728"/>
      <c r="P60" s="728"/>
      <c r="Q60" s="728"/>
      <c r="R60" s="728"/>
      <c r="S60" s="728"/>
      <c r="T60" s="728"/>
      <c r="U60" s="728"/>
      <c r="V60" s="728"/>
      <c r="W60" s="728"/>
      <c r="X60" s="728"/>
      <c r="Y60" s="728"/>
      <c r="Z60" s="728"/>
      <c r="AA60" s="728"/>
      <c r="AB60" s="728"/>
      <c r="AC60" s="728"/>
      <c r="AD60" s="728"/>
      <c r="AE60" s="728"/>
      <c r="AF60" s="156"/>
      <c r="AG60" s="740" t="s">
        <v>134</v>
      </c>
      <c r="AH60" s="740"/>
      <c r="AI60" s="737" t="s">
        <v>133</v>
      </c>
      <c r="AJ60" s="737"/>
      <c r="AK60" s="737"/>
      <c r="AL60" s="737"/>
      <c r="AM60" s="737"/>
      <c r="AN60" s="737"/>
      <c r="AO60" s="737"/>
      <c r="AP60" s="737"/>
      <c r="AQ60" s="737"/>
      <c r="AR60" s="737"/>
      <c r="AS60" s="737"/>
      <c r="AT60" s="737"/>
      <c r="AU60" s="737"/>
      <c r="AV60" s="737"/>
      <c r="AW60" s="737"/>
      <c r="AX60" s="737"/>
      <c r="AY60" s="737"/>
      <c r="AZ60" s="737"/>
      <c r="BA60" s="737"/>
      <c r="BB60" s="737"/>
      <c r="BC60" s="737"/>
      <c r="BD60" s="737"/>
      <c r="BE60" s="737"/>
      <c r="BF60" s="737"/>
      <c r="BG60" s="737"/>
      <c r="BH60" s="737"/>
      <c r="BI60" s="737"/>
      <c r="BJ60" s="737"/>
      <c r="BK60" s="737"/>
    </row>
    <row r="61" spans="1:63" ht="12" customHeight="1" x14ac:dyDescent="0.2">
      <c r="A61" s="157"/>
      <c r="B61" s="157"/>
      <c r="C61" s="728"/>
      <c r="D61" s="728"/>
      <c r="E61" s="728"/>
      <c r="F61" s="728"/>
      <c r="G61" s="728"/>
      <c r="H61" s="728"/>
      <c r="I61" s="728"/>
      <c r="J61" s="728"/>
      <c r="K61" s="728"/>
      <c r="L61" s="728"/>
      <c r="M61" s="728"/>
      <c r="N61" s="728"/>
      <c r="O61" s="728"/>
      <c r="P61" s="728"/>
      <c r="Q61" s="728"/>
      <c r="R61" s="728"/>
      <c r="S61" s="728"/>
      <c r="T61" s="728"/>
      <c r="U61" s="728"/>
      <c r="V61" s="728"/>
      <c r="W61" s="728"/>
      <c r="X61" s="728"/>
      <c r="Y61" s="728"/>
      <c r="Z61" s="728"/>
      <c r="AA61" s="728"/>
      <c r="AB61" s="728"/>
      <c r="AC61" s="728"/>
      <c r="AD61" s="728"/>
      <c r="AE61" s="728"/>
      <c r="AF61" s="156"/>
      <c r="AG61" s="726" t="s">
        <v>132</v>
      </c>
      <c r="AH61" s="726"/>
      <c r="AI61" s="709" t="s">
        <v>423</v>
      </c>
      <c r="AJ61" s="709"/>
      <c r="AK61" s="709"/>
      <c r="AL61" s="709"/>
      <c r="AM61" s="709"/>
      <c r="AN61" s="709"/>
      <c r="AO61" s="709"/>
      <c r="AP61" s="709"/>
      <c r="AQ61" s="709"/>
      <c r="AR61" s="709"/>
      <c r="AS61" s="709"/>
      <c r="AT61" s="709"/>
      <c r="AU61" s="709"/>
      <c r="AV61" s="709"/>
      <c r="AW61" s="709"/>
      <c r="AX61" s="709"/>
      <c r="AY61" s="709"/>
      <c r="AZ61" s="709"/>
      <c r="BA61" s="709"/>
      <c r="BB61" s="709"/>
      <c r="BC61" s="709"/>
      <c r="BD61" s="709"/>
      <c r="BE61" s="709"/>
      <c r="BF61" s="709"/>
      <c r="BG61" s="709"/>
      <c r="BH61" s="709"/>
      <c r="BI61" s="709"/>
      <c r="BJ61" s="709"/>
      <c r="BK61" s="709"/>
    </row>
    <row r="62" spans="1:63" ht="12" customHeight="1" x14ac:dyDescent="0.2">
      <c r="A62" s="167" t="s">
        <v>116</v>
      </c>
      <c r="B62" s="737" t="s">
        <v>115</v>
      </c>
      <c r="C62" s="737"/>
      <c r="D62" s="737"/>
      <c r="E62" s="737"/>
      <c r="F62" s="737"/>
      <c r="G62" s="737"/>
      <c r="H62" s="737"/>
      <c r="I62" s="737"/>
      <c r="J62" s="737"/>
      <c r="K62" s="737"/>
      <c r="L62" s="737"/>
      <c r="M62" s="737"/>
      <c r="N62" s="737"/>
      <c r="O62" s="737"/>
      <c r="P62" s="737"/>
      <c r="Q62" s="737"/>
      <c r="R62" s="737"/>
      <c r="S62" s="737"/>
      <c r="T62" s="737"/>
      <c r="U62" s="737"/>
      <c r="V62" s="737"/>
      <c r="W62" s="737"/>
      <c r="X62" s="737"/>
      <c r="Y62" s="737"/>
      <c r="Z62" s="737"/>
      <c r="AA62" s="737"/>
      <c r="AB62" s="737"/>
      <c r="AC62" s="737"/>
      <c r="AD62" s="737"/>
      <c r="AE62" s="737"/>
      <c r="AF62" s="156"/>
      <c r="AG62" s="453"/>
      <c r="AH62" s="453"/>
      <c r="AI62" s="709"/>
      <c r="AJ62" s="709"/>
      <c r="AK62" s="709"/>
      <c r="AL62" s="709"/>
      <c r="AM62" s="709"/>
      <c r="AN62" s="709"/>
      <c r="AO62" s="709"/>
      <c r="AP62" s="709"/>
      <c r="AQ62" s="709"/>
      <c r="AR62" s="709"/>
      <c r="AS62" s="709"/>
      <c r="AT62" s="709"/>
      <c r="AU62" s="709"/>
      <c r="AV62" s="709"/>
      <c r="AW62" s="709"/>
      <c r="AX62" s="709"/>
      <c r="AY62" s="709"/>
      <c r="AZ62" s="709"/>
      <c r="BA62" s="709"/>
      <c r="BB62" s="709"/>
      <c r="BC62" s="709"/>
      <c r="BD62" s="709"/>
      <c r="BE62" s="709"/>
      <c r="BF62" s="709"/>
      <c r="BG62" s="709"/>
      <c r="BH62" s="709"/>
      <c r="BI62" s="709"/>
      <c r="BJ62" s="709"/>
      <c r="BK62" s="709"/>
    </row>
    <row r="63" spans="1:63" ht="12" customHeight="1" x14ac:dyDescent="0.2">
      <c r="A63" s="734" t="s">
        <v>89</v>
      </c>
      <c r="B63" s="734"/>
      <c r="C63" s="728" t="str">
        <f>"Girov predmetini onun saxlancına verildiyi halda qorunub saxlanılmasını təmin etmək və dəyərinin qorunub saxlanılması məqsədi ilə cari və ya əsaslı təmir işləri aparmaq. Girov predmetində onun dəyərinin itməsi və ya azalması ilə nəticələnən "&amp;"hər-hansı dəyişiklik (məhv olma, zədələmə) baş verdikdə  «Girov saxlayan»ın tələbi ilə yeni girov təqdim etmək;"</f>
        <v>Girov predmetini onun saxlancına verildiyi halda qorunub saxlanılmasını təmin etmək və dəyərinin qorunub saxlanılması məqsədi ilə cari və ya əsaslı təmir işləri aparmaq. Girov predmetində onun dəyərinin itməsi və ya azalması ilə nəticələnən hər-hansı dəyişiklik (məhv olma, zədələmə) baş verdikdə  «Girov saxlayan»ın tələbi ilə yeni girov təqdim etmək;</v>
      </c>
      <c r="D63" s="728"/>
      <c r="E63" s="728"/>
      <c r="F63" s="728"/>
      <c r="G63" s="728"/>
      <c r="H63" s="728"/>
      <c r="I63" s="728"/>
      <c r="J63" s="728"/>
      <c r="K63" s="728"/>
      <c r="L63" s="728"/>
      <c r="M63" s="728"/>
      <c r="N63" s="728"/>
      <c r="O63" s="728"/>
      <c r="P63" s="728"/>
      <c r="Q63" s="728"/>
      <c r="R63" s="728"/>
      <c r="S63" s="728"/>
      <c r="T63" s="728"/>
      <c r="U63" s="728"/>
      <c r="V63" s="728"/>
      <c r="W63" s="728"/>
      <c r="X63" s="728"/>
      <c r="Y63" s="728"/>
      <c r="Z63" s="728"/>
      <c r="AA63" s="728"/>
      <c r="AB63" s="728"/>
      <c r="AC63" s="728"/>
      <c r="AD63" s="728"/>
      <c r="AE63" s="728"/>
      <c r="AF63" s="156"/>
      <c r="AG63" s="452"/>
      <c r="AH63" s="452"/>
      <c r="AI63" s="709"/>
      <c r="AJ63" s="709"/>
      <c r="AK63" s="709"/>
      <c r="AL63" s="709"/>
      <c r="AM63" s="709"/>
      <c r="AN63" s="709"/>
      <c r="AO63" s="709"/>
      <c r="AP63" s="709"/>
      <c r="AQ63" s="709"/>
      <c r="AR63" s="709"/>
      <c r="AS63" s="709"/>
      <c r="AT63" s="709"/>
      <c r="AU63" s="709"/>
      <c r="AV63" s="709"/>
      <c r="AW63" s="709"/>
      <c r="AX63" s="709"/>
      <c r="AY63" s="709"/>
      <c r="AZ63" s="709"/>
      <c r="BA63" s="709"/>
      <c r="BB63" s="709"/>
      <c r="BC63" s="709"/>
      <c r="BD63" s="709"/>
      <c r="BE63" s="709"/>
      <c r="BF63" s="709"/>
      <c r="BG63" s="709"/>
      <c r="BH63" s="709"/>
      <c r="BI63" s="709"/>
      <c r="BJ63" s="709"/>
      <c r="BK63" s="709"/>
    </row>
    <row r="64" spans="1:63" ht="12" customHeight="1" x14ac:dyDescent="0.2">
      <c r="A64" s="157"/>
      <c r="B64" s="157"/>
      <c r="C64" s="728"/>
      <c r="D64" s="728"/>
      <c r="E64" s="728"/>
      <c r="F64" s="728"/>
      <c r="G64" s="728"/>
      <c r="H64" s="728"/>
      <c r="I64" s="728"/>
      <c r="J64" s="728"/>
      <c r="K64" s="728"/>
      <c r="L64" s="728"/>
      <c r="M64" s="728"/>
      <c r="N64" s="728"/>
      <c r="O64" s="728"/>
      <c r="P64" s="728"/>
      <c r="Q64" s="728"/>
      <c r="R64" s="728"/>
      <c r="S64" s="728"/>
      <c r="T64" s="728"/>
      <c r="U64" s="728"/>
      <c r="V64" s="728"/>
      <c r="W64" s="728"/>
      <c r="X64" s="728"/>
      <c r="Y64" s="728"/>
      <c r="Z64" s="728"/>
      <c r="AA64" s="728"/>
      <c r="AB64" s="728"/>
      <c r="AC64" s="728"/>
      <c r="AD64" s="728"/>
      <c r="AE64" s="728"/>
      <c r="AF64" s="156"/>
      <c r="AG64" s="726" t="s">
        <v>131</v>
      </c>
      <c r="AH64" s="726"/>
      <c r="AI64" s="709" t="s">
        <v>127</v>
      </c>
      <c r="AJ64" s="709"/>
      <c r="AK64" s="709"/>
      <c r="AL64" s="709"/>
      <c r="AM64" s="709"/>
      <c r="AN64" s="709"/>
      <c r="AO64" s="709"/>
      <c r="AP64" s="709"/>
      <c r="AQ64" s="709"/>
      <c r="AR64" s="709"/>
      <c r="AS64" s="709"/>
      <c r="AT64" s="709"/>
      <c r="AU64" s="709"/>
      <c r="AV64" s="709"/>
      <c r="AW64" s="709"/>
      <c r="AX64" s="709"/>
      <c r="AY64" s="709"/>
      <c r="AZ64" s="709"/>
      <c r="BA64" s="709"/>
      <c r="BB64" s="709"/>
      <c r="BC64" s="709"/>
      <c r="BD64" s="709"/>
      <c r="BE64" s="709"/>
      <c r="BF64" s="709"/>
      <c r="BG64" s="709"/>
      <c r="BH64" s="709"/>
      <c r="BI64" s="709"/>
      <c r="BJ64" s="709"/>
      <c r="BK64" s="709"/>
    </row>
    <row r="65" spans="1:63" ht="12" customHeight="1" x14ac:dyDescent="0.2">
      <c r="A65" s="157"/>
      <c r="B65" s="157"/>
      <c r="C65" s="728"/>
      <c r="D65" s="728"/>
      <c r="E65" s="728"/>
      <c r="F65" s="728"/>
      <c r="G65" s="728"/>
      <c r="H65" s="728"/>
      <c r="I65" s="728"/>
      <c r="J65" s="728"/>
      <c r="K65" s="728"/>
      <c r="L65" s="728"/>
      <c r="M65" s="728"/>
      <c r="N65" s="728"/>
      <c r="O65" s="728"/>
      <c r="P65" s="728"/>
      <c r="Q65" s="728"/>
      <c r="R65" s="728"/>
      <c r="S65" s="728"/>
      <c r="T65" s="728"/>
      <c r="U65" s="728"/>
      <c r="V65" s="728"/>
      <c r="W65" s="728"/>
      <c r="X65" s="728"/>
      <c r="Y65" s="728"/>
      <c r="Z65" s="728"/>
      <c r="AA65" s="728"/>
      <c r="AB65" s="728"/>
      <c r="AC65" s="728"/>
      <c r="AD65" s="728"/>
      <c r="AE65" s="728"/>
      <c r="AF65" s="156"/>
      <c r="AG65" s="452"/>
      <c r="AH65" s="453"/>
      <c r="AI65" s="709"/>
      <c r="AJ65" s="709"/>
      <c r="AK65" s="709"/>
      <c r="AL65" s="709"/>
      <c r="AM65" s="709"/>
      <c r="AN65" s="709"/>
      <c r="AO65" s="709"/>
      <c r="AP65" s="709"/>
      <c r="AQ65" s="709"/>
      <c r="AR65" s="709"/>
      <c r="AS65" s="709"/>
      <c r="AT65" s="709"/>
      <c r="AU65" s="709"/>
      <c r="AV65" s="709"/>
      <c r="AW65" s="709"/>
      <c r="AX65" s="709"/>
      <c r="AY65" s="709"/>
      <c r="AZ65" s="709"/>
      <c r="BA65" s="709"/>
      <c r="BB65" s="709"/>
      <c r="BC65" s="709"/>
      <c r="BD65" s="709"/>
      <c r="BE65" s="709"/>
      <c r="BF65" s="709"/>
      <c r="BG65" s="709"/>
      <c r="BH65" s="709"/>
      <c r="BI65" s="709"/>
      <c r="BJ65" s="709"/>
      <c r="BK65" s="709"/>
    </row>
    <row r="66" spans="1:63" ht="12" customHeight="1" x14ac:dyDescent="0.2">
      <c r="A66" s="164"/>
      <c r="B66" s="164"/>
      <c r="C66" s="728"/>
      <c r="D66" s="728"/>
      <c r="E66" s="728"/>
      <c r="F66" s="728"/>
      <c r="G66" s="728"/>
      <c r="H66" s="728"/>
      <c r="I66" s="728"/>
      <c r="J66" s="728"/>
      <c r="K66" s="728"/>
      <c r="L66" s="728"/>
      <c r="M66" s="728"/>
      <c r="N66" s="728"/>
      <c r="O66" s="728"/>
      <c r="P66" s="728"/>
      <c r="Q66" s="728"/>
      <c r="R66" s="728"/>
      <c r="S66" s="728"/>
      <c r="T66" s="728"/>
      <c r="U66" s="728"/>
      <c r="V66" s="728"/>
      <c r="W66" s="728"/>
      <c r="X66" s="728"/>
      <c r="Y66" s="728"/>
      <c r="Z66" s="728"/>
      <c r="AA66" s="728"/>
      <c r="AB66" s="728"/>
      <c r="AC66" s="728"/>
      <c r="AD66" s="728"/>
      <c r="AE66" s="728"/>
      <c r="AF66" s="156"/>
      <c r="AG66" s="726" t="s">
        <v>128</v>
      </c>
      <c r="AH66" s="726"/>
      <c r="AI66" s="728" t="s">
        <v>124</v>
      </c>
      <c r="AJ66" s="728"/>
      <c r="AK66" s="728"/>
      <c r="AL66" s="728"/>
      <c r="AM66" s="728"/>
      <c r="AN66" s="728"/>
      <c r="AO66" s="728"/>
      <c r="AP66" s="728"/>
      <c r="AQ66" s="728"/>
      <c r="AR66" s="728"/>
      <c r="AS66" s="728"/>
      <c r="AT66" s="728"/>
      <c r="AU66" s="728"/>
      <c r="AV66" s="728"/>
      <c r="AW66" s="728"/>
      <c r="AX66" s="728"/>
      <c r="AY66" s="728"/>
      <c r="AZ66" s="728"/>
      <c r="BA66" s="728"/>
      <c r="BB66" s="728"/>
      <c r="BC66" s="728"/>
      <c r="BD66" s="728"/>
      <c r="BE66" s="728"/>
      <c r="BF66" s="728"/>
      <c r="BG66" s="728"/>
      <c r="BH66" s="728"/>
      <c r="BI66" s="728"/>
      <c r="BJ66" s="728"/>
      <c r="BK66" s="728"/>
    </row>
    <row r="67" spans="1:63" ht="12" customHeight="1" x14ac:dyDescent="0.2">
      <c r="A67" s="157"/>
      <c r="B67" s="157"/>
      <c r="C67" s="728"/>
      <c r="D67" s="728"/>
      <c r="E67" s="728"/>
      <c r="F67" s="728"/>
      <c r="G67" s="728"/>
      <c r="H67" s="728"/>
      <c r="I67" s="728"/>
      <c r="J67" s="728"/>
      <c r="K67" s="728"/>
      <c r="L67" s="728"/>
      <c r="M67" s="728"/>
      <c r="N67" s="728"/>
      <c r="O67" s="728"/>
      <c r="P67" s="728"/>
      <c r="Q67" s="728"/>
      <c r="R67" s="728"/>
      <c r="S67" s="728"/>
      <c r="T67" s="728"/>
      <c r="U67" s="728"/>
      <c r="V67" s="728"/>
      <c r="W67" s="728"/>
      <c r="X67" s="728"/>
      <c r="Y67" s="728"/>
      <c r="Z67" s="728"/>
      <c r="AA67" s="728"/>
      <c r="AB67" s="728"/>
      <c r="AC67" s="728"/>
      <c r="AD67" s="728"/>
      <c r="AE67" s="728"/>
      <c r="AF67" s="156"/>
      <c r="AG67" s="453"/>
      <c r="AH67" s="453"/>
      <c r="AI67" s="728"/>
      <c r="AJ67" s="728"/>
      <c r="AK67" s="728"/>
      <c r="AL67" s="728"/>
      <c r="AM67" s="728"/>
      <c r="AN67" s="728"/>
      <c r="AO67" s="728"/>
      <c r="AP67" s="728"/>
      <c r="AQ67" s="728"/>
      <c r="AR67" s="728"/>
      <c r="AS67" s="728"/>
      <c r="AT67" s="728"/>
      <c r="AU67" s="728"/>
      <c r="AV67" s="728"/>
      <c r="AW67" s="728"/>
      <c r="AX67" s="728"/>
      <c r="AY67" s="728"/>
      <c r="AZ67" s="728"/>
      <c r="BA67" s="728"/>
      <c r="BB67" s="728"/>
      <c r="BC67" s="728"/>
      <c r="BD67" s="728"/>
      <c r="BE67" s="728"/>
      <c r="BF67" s="728"/>
      <c r="BG67" s="728"/>
      <c r="BH67" s="728"/>
      <c r="BI67" s="728"/>
      <c r="BJ67" s="728"/>
      <c r="BK67" s="728"/>
    </row>
    <row r="68" spans="1:63" ht="12" customHeight="1" x14ac:dyDescent="0.2">
      <c r="A68" s="179" t="s">
        <v>87</v>
      </c>
      <c r="B68" s="179"/>
      <c r="C68" s="750" t="s">
        <v>473</v>
      </c>
      <c r="D68" s="750"/>
      <c r="E68" s="750"/>
      <c r="F68" s="750"/>
      <c r="G68" s="750"/>
      <c r="H68" s="750"/>
      <c r="I68" s="750"/>
      <c r="J68" s="750"/>
      <c r="K68" s="750"/>
      <c r="L68" s="750"/>
      <c r="M68" s="750"/>
      <c r="N68" s="750"/>
      <c r="O68" s="750"/>
      <c r="P68" s="750"/>
      <c r="Q68" s="750"/>
      <c r="R68" s="750"/>
      <c r="S68" s="750"/>
      <c r="T68" s="750"/>
      <c r="U68" s="750"/>
      <c r="V68" s="750"/>
      <c r="W68" s="750"/>
      <c r="X68" s="750"/>
      <c r="Y68" s="750"/>
      <c r="Z68" s="750"/>
      <c r="AA68" s="750"/>
      <c r="AB68" s="750"/>
      <c r="AC68" s="750"/>
      <c r="AD68" s="750"/>
      <c r="AE68" s="750"/>
      <c r="AF68" s="156"/>
      <c r="AG68" s="452"/>
      <c r="AH68" s="453"/>
      <c r="AI68" s="728"/>
      <c r="AJ68" s="728"/>
      <c r="AK68" s="728"/>
      <c r="AL68" s="728"/>
      <c r="AM68" s="728"/>
      <c r="AN68" s="728"/>
      <c r="AO68" s="728"/>
      <c r="AP68" s="728"/>
      <c r="AQ68" s="728"/>
      <c r="AR68" s="728"/>
      <c r="AS68" s="728"/>
      <c r="AT68" s="728"/>
      <c r="AU68" s="728"/>
      <c r="AV68" s="728"/>
      <c r="AW68" s="728"/>
      <c r="AX68" s="728"/>
      <c r="AY68" s="728"/>
      <c r="AZ68" s="728"/>
      <c r="BA68" s="728"/>
      <c r="BB68" s="728"/>
      <c r="BC68" s="728"/>
      <c r="BD68" s="728"/>
      <c r="BE68" s="728"/>
      <c r="BF68" s="728"/>
      <c r="BG68" s="728"/>
      <c r="BH68" s="728"/>
      <c r="BI68" s="728"/>
      <c r="BJ68" s="728"/>
      <c r="BK68" s="728"/>
    </row>
    <row r="69" spans="1:63" ht="12" customHeight="1" x14ac:dyDescent="0.2">
      <c r="A69" s="155"/>
      <c r="B69" s="155"/>
      <c r="C69" s="215"/>
      <c r="D69" s="215"/>
      <c r="E69" s="215"/>
      <c r="F69" s="215"/>
      <c r="G69" s="215"/>
      <c r="H69" s="215"/>
      <c r="I69" s="215"/>
      <c r="J69" s="215"/>
      <c r="K69" s="215"/>
      <c r="L69" s="215"/>
      <c r="M69" s="215"/>
      <c r="N69" s="215"/>
      <c r="O69" s="215"/>
      <c r="P69" s="215"/>
      <c r="Q69" s="215"/>
      <c r="R69" s="215"/>
      <c r="S69" s="215"/>
      <c r="T69" s="215"/>
      <c r="U69" s="215"/>
      <c r="V69" s="215"/>
      <c r="W69" s="215"/>
      <c r="X69" s="215"/>
      <c r="Y69" s="215"/>
      <c r="Z69" s="215"/>
      <c r="AA69" s="215"/>
      <c r="AB69" s="215"/>
      <c r="AC69" s="215"/>
      <c r="AD69" s="215"/>
      <c r="AE69" s="215"/>
      <c r="AF69" s="156"/>
      <c r="AG69" s="163"/>
      <c r="AH69" s="158"/>
      <c r="AI69" s="214"/>
      <c r="AJ69" s="214"/>
      <c r="AK69" s="214"/>
      <c r="AL69" s="214"/>
      <c r="AM69" s="214"/>
      <c r="AN69" s="214"/>
      <c r="AO69" s="214"/>
      <c r="AP69" s="214"/>
      <c r="AQ69" s="214"/>
      <c r="AR69" s="214"/>
      <c r="AS69" s="214"/>
      <c r="AT69" s="214"/>
      <c r="AU69" s="214"/>
      <c r="AV69" s="214"/>
      <c r="AW69" s="214"/>
      <c r="AX69" s="214"/>
      <c r="AY69" s="214"/>
      <c r="AZ69" s="214"/>
      <c r="BA69" s="214"/>
      <c r="BB69" s="214"/>
      <c r="BC69" s="214"/>
      <c r="BD69" s="214"/>
      <c r="BE69" s="214"/>
      <c r="BF69" s="214"/>
      <c r="BG69" s="214"/>
      <c r="BH69" s="214"/>
      <c r="BI69" s="214"/>
      <c r="BJ69" s="214"/>
      <c r="BK69" s="214"/>
    </row>
    <row r="70" spans="1:63" ht="12" customHeight="1" x14ac:dyDescent="0.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6"/>
      <c r="AG70" s="163"/>
      <c r="AH70" s="158"/>
      <c r="AI70" s="214"/>
      <c r="AJ70" s="214"/>
      <c r="AK70" s="214"/>
      <c r="AL70" s="214"/>
      <c r="AM70" s="214"/>
      <c r="AN70" s="214"/>
      <c r="AO70" s="214"/>
      <c r="AP70" s="214"/>
      <c r="AQ70" s="214"/>
      <c r="AR70" s="214"/>
      <c r="AS70" s="214"/>
      <c r="AT70" s="214"/>
      <c r="AU70" s="214"/>
      <c r="AV70" s="214"/>
      <c r="AW70" s="214"/>
      <c r="AX70" s="214"/>
      <c r="AY70" s="214"/>
      <c r="AZ70" s="214"/>
      <c r="BA70" s="214"/>
      <c r="BB70" s="214"/>
      <c r="BC70" s="214"/>
      <c r="BD70" s="214"/>
      <c r="BE70" s="214"/>
      <c r="BF70" s="214"/>
      <c r="BG70" s="214"/>
      <c r="BH70" s="214"/>
      <c r="BI70" s="214"/>
      <c r="BJ70" s="214"/>
      <c r="BK70" s="214"/>
    </row>
    <row r="71" spans="1:63" ht="12" customHeight="1" x14ac:dyDescent="0.2">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c r="AF71" s="156"/>
      <c r="AG71" s="163"/>
      <c r="AH71" s="163"/>
      <c r="AI71" s="168"/>
      <c r="AJ71" s="168"/>
      <c r="AK71" s="168"/>
      <c r="AL71" s="168"/>
      <c r="AM71" s="168"/>
      <c r="AN71" s="168"/>
      <c r="AO71" s="168"/>
      <c r="AP71" s="168"/>
      <c r="AQ71" s="168"/>
      <c r="AR71" s="168"/>
      <c r="AS71" s="168"/>
      <c r="AT71" s="168"/>
      <c r="AU71" s="168"/>
      <c r="AV71" s="168"/>
      <c r="AW71" s="168"/>
      <c r="AX71" s="168"/>
      <c r="AY71" s="168"/>
      <c r="AZ71" s="168"/>
      <c r="BA71" s="168"/>
      <c r="BB71" s="168"/>
      <c r="BC71" s="168"/>
      <c r="BD71" s="168"/>
      <c r="BE71" s="168"/>
      <c r="BF71" s="168"/>
      <c r="BG71" s="168"/>
      <c r="BH71" s="168"/>
      <c r="BI71" s="168"/>
      <c r="BJ71" s="168"/>
      <c r="BK71" s="168"/>
    </row>
    <row r="72" spans="1:63" ht="12" customHeight="1" x14ac:dyDescent="0.2">
      <c r="A72" s="739" t="s">
        <v>101</v>
      </c>
      <c r="B72" s="739"/>
      <c r="C72" s="739"/>
      <c r="D72" s="739"/>
      <c r="E72" s="739"/>
      <c r="F72" s="739"/>
      <c r="G72" s="739"/>
      <c r="H72" s="739"/>
      <c r="I72" s="739"/>
      <c r="J72" s="739"/>
      <c r="K72" s="739"/>
      <c r="L72" s="739"/>
      <c r="M72" s="739"/>
      <c r="N72" s="739"/>
      <c r="O72" s="739"/>
      <c r="P72" s="739"/>
      <c r="Q72" s="739"/>
      <c r="R72" s="739"/>
      <c r="S72" s="739"/>
      <c r="T72" s="739"/>
      <c r="U72" s="739"/>
      <c r="V72" s="739"/>
      <c r="W72" s="739"/>
      <c r="X72" s="739"/>
      <c r="Y72" s="739"/>
      <c r="Z72" s="739"/>
      <c r="AA72" s="739"/>
      <c r="AB72" s="739"/>
      <c r="AC72" s="739"/>
      <c r="AD72" s="739"/>
      <c r="AE72" s="739"/>
      <c r="AF72" s="156"/>
      <c r="AG72" s="739" t="s">
        <v>96</v>
      </c>
      <c r="AH72" s="739"/>
      <c r="AI72" s="739"/>
      <c r="AJ72" s="739"/>
      <c r="AK72" s="739"/>
      <c r="AL72" s="739"/>
      <c r="AM72" s="739"/>
      <c r="AN72" s="739"/>
      <c r="AO72" s="739"/>
      <c r="AP72" s="739"/>
      <c r="AQ72" s="739"/>
      <c r="AR72" s="739"/>
      <c r="AS72" s="739"/>
      <c r="AT72" s="739"/>
      <c r="AU72" s="739"/>
      <c r="AV72" s="739"/>
      <c r="AW72" s="739"/>
      <c r="AX72" s="739"/>
      <c r="AY72" s="739"/>
      <c r="AZ72" s="739"/>
      <c r="BA72" s="739"/>
      <c r="BB72" s="739"/>
      <c r="BC72" s="739"/>
      <c r="BD72" s="739"/>
      <c r="BE72" s="739"/>
      <c r="BF72" s="739"/>
      <c r="BG72" s="739"/>
      <c r="BH72" s="739"/>
      <c r="BI72" s="739"/>
      <c r="BJ72" s="739"/>
      <c r="BK72" s="739"/>
    </row>
    <row r="73" spans="1:63" ht="12" customHeight="1" x14ac:dyDescent="0.2">
      <c r="A73" s="741" t="s">
        <v>121</v>
      </c>
      <c r="B73" s="741"/>
      <c r="C73" s="741"/>
      <c r="D73" s="741"/>
      <c r="E73" s="741"/>
      <c r="F73" s="741"/>
      <c r="G73" s="741"/>
      <c r="H73" s="741"/>
      <c r="I73" s="741"/>
      <c r="J73" s="741"/>
      <c r="K73" s="741"/>
      <c r="L73" s="741"/>
      <c r="M73" s="741"/>
      <c r="N73" s="741"/>
      <c r="O73" s="741"/>
      <c r="P73" s="741"/>
      <c r="Q73" s="741"/>
      <c r="R73" s="741"/>
      <c r="S73" s="741"/>
      <c r="T73" s="741"/>
      <c r="U73" s="741"/>
      <c r="V73" s="741"/>
      <c r="W73" s="741"/>
      <c r="X73" s="741"/>
      <c r="Y73" s="741"/>
      <c r="Z73" s="741"/>
      <c r="AA73" s="741"/>
      <c r="AB73" s="741"/>
      <c r="AC73" s="741"/>
      <c r="AD73" s="741"/>
      <c r="AE73" s="741"/>
      <c r="AF73" s="156"/>
      <c r="AG73" s="707" t="s">
        <v>478</v>
      </c>
      <c r="AH73" s="707"/>
      <c r="AI73" s="707"/>
      <c r="AJ73" s="707"/>
      <c r="AK73" s="707"/>
      <c r="AL73" s="707"/>
      <c r="AM73" s="707"/>
      <c r="AN73" s="707"/>
      <c r="AO73" s="707"/>
      <c r="AP73" s="707"/>
      <c r="AQ73" s="707"/>
      <c r="AR73" s="707"/>
      <c r="AS73" s="707"/>
      <c r="AT73" s="707"/>
      <c r="AU73" s="707"/>
      <c r="AV73" s="707"/>
      <c r="AW73" s="707"/>
      <c r="AX73" s="707"/>
      <c r="AY73" s="707"/>
      <c r="AZ73" s="707"/>
      <c r="BA73" s="707"/>
      <c r="BB73" s="707"/>
      <c r="BC73" s="707"/>
      <c r="BD73" s="707"/>
      <c r="BE73" s="707"/>
      <c r="BF73" s="707"/>
      <c r="BG73" s="707"/>
      <c r="BH73" s="707"/>
      <c r="BI73" s="707"/>
      <c r="BJ73" s="707"/>
      <c r="BK73" s="707"/>
    </row>
    <row r="74" spans="1:63" ht="12" customHeight="1" x14ac:dyDescent="0.2">
      <c r="AF74" s="156"/>
      <c r="AG74" s="707"/>
      <c r="AH74" s="707"/>
      <c r="AI74" s="707"/>
      <c r="AJ74" s="707"/>
      <c r="AK74" s="707"/>
      <c r="AL74" s="707"/>
      <c r="AM74" s="707"/>
      <c r="AN74" s="707"/>
      <c r="AO74" s="707"/>
      <c r="AP74" s="707"/>
      <c r="AQ74" s="707"/>
      <c r="AR74" s="707"/>
      <c r="AS74" s="707"/>
      <c r="AT74" s="707"/>
      <c r="AU74" s="707"/>
      <c r="AV74" s="707"/>
      <c r="AW74" s="707"/>
      <c r="AX74" s="707"/>
      <c r="AY74" s="707"/>
      <c r="AZ74" s="707"/>
      <c r="BA74" s="707"/>
      <c r="BB74" s="707"/>
      <c r="BC74" s="707"/>
      <c r="BD74" s="707"/>
      <c r="BE74" s="707"/>
      <c r="BF74" s="707"/>
      <c r="BG74" s="707"/>
      <c r="BH74" s="707"/>
      <c r="BI74" s="707"/>
      <c r="BJ74" s="707"/>
      <c r="BK74" s="707"/>
    </row>
    <row r="75" spans="1:63" ht="12" customHeight="1" x14ac:dyDescent="0.2">
      <c r="A75" s="730" t="s">
        <v>119</v>
      </c>
      <c r="B75" s="730"/>
      <c r="C75" s="709" t="str">
        <f>"«Girov qoyan» üzərinə götürdüyü öhdəliyi vaxtında və lazımınca icra etmədikdə,  «Girov saxlayan»ın tələbinin girov predmeti hesabına ödənilməsi "&amp;"müvafiq məhkəmə orqanının qərarı əsasında ixtisaslaşdırılmış təşkilatlar tərəfindən açıq hərrac yolu ilə həyata keçirilir."</f>
        <v>«Girov qoyan» üzərinə götürdüyü öhdəliyi vaxtında və lazımınca icra etmədikdə,  «Girov saxlayan»ın tələbinin girov predmeti hesabına ödənilməsi müvafiq məhkəmə orqanının qərarı əsasında ixtisaslaşdırılmış təşkilatlar tərəfindən açıq hərrac yolu ilə həyata keçirilir.</v>
      </c>
      <c r="D75" s="709"/>
      <c r="E75" s="709"/>
      <c r="F75" s="709"/>
      <c r="G75" s="709"/>
      <c r="H75" s="709"/>
      <c r="I75" s="709"/>
      <c r="J75" s="709"/>
      <c r="K75" s="709"/>
      <c r="L75" s="709"/>
      <c r="M75" s="709"/>
      <c r="N75" s="709"/>
      <c r="O75" s="709"/>
      <c r="P75" s="709"/>
      <c r="Q75" s="709"/>
      <c r="R75" s="709"/>
      <c r="S75" s="709"/>
      <c r="T75" s="709"/>
      <c r="U75" s="709"/>
      <c r="V75" s="709"/>
      <c r="W75" s="709"/>
      <c r="X75" s="709"/>
      <c r="Y75" s="709"/>
      <c r="Z75" s="709"/>
      <c r="AA75" s="709"/>
      <c r="AB75" s="709"/>
      <c r="AC75" s="709"/>
      <c r="AD75" s="709"/>
      <c r="AE75" s="709"/>
      <c r="AF75" s="156"/>
      <c r="AG75" s="177"/>
      <c r="AH75" s="177"/>
      <c r="AI75" s="177"/>
      <c r="AJ75" s="177"/>
      <c r="AK75" s="177"/>
      <c r="AL75" s="177"/>
      <c r="AM75" s="177"/>
      <c r="AN75" s="177"/>
      <c r="AO75" s="177"/>
      <c r="AP75" s="177"/>
      <c r="AQ75" s="177"/>
      <c r="AR75" s="177"/>
      <c r="AS75" s="177"/>
      <c r="AT75" s="177"/>
      <c r="AU75" s="177"/>
      <c r="AV75" s="177"/>
      <c r="AW75" s="177"/>
      <c r="AX75" s="177"/>
      <c r="AY75" s="177"/>
      <c r="AZ75" s="177"/>
      <c r="BA75" s="177"/>
      <c r="BB75" s="177"/>
      <c r="BC75" s="177"/>
      <c r="BD75" s="177"/>
      <c r="BE75" s="177"/>
      <c r="BF75" s="177"/>
      <c r="BG75" s="177"/>
      <c r="BH75" s="177"/>
      <c r="BI75" s="177"/>
      <c r="BJ75" s="177"/>
      <c r="BK75" s="177"/>
    </row>
    <row r="76" spans="1:63" ht="12" customHeight="1" x14ac:dyDescent="0.2">
      <c r="A76" s="158"/>
      <c r="B76" s="158"/>
      <c r="C76" s="709"/>
      <c r="D76" s="709"/>
      <c r="E76" s="709"/>
      <c r="F76" s="709"/>
      <c r="G76" s="709"/>
      <c r="H76" s="709"/>
      <c r="I76" s="709"/>
      <c r="J76" s="709"/>
      <c r="K76" s="709"/>
      <c r="L76" s="709"/>
      <c r="M76" s="709"/>
      <c r="N76" s="709"/>
      <c r="O76" s="709"/>
      <c r="P76" s="709"/>
      <c r="Q76" s="709"/>
      <c r="R76" s="709"/>
      <c r="S76" s="709"/>
      <c r="T76" s="709"/>
      <c r="U76" s="709"/>
      <c r="V76" s="709"/>
      <c r="W76" s="709"/>
      <c r="X76" s="709"/>
      <c r="Y76" s="709"/>
      <c r="Z76" s="709"/>
      <c r="AA76" s="709"/>
      <c r="AB76" s="709"/>
      <c r="AC76" s="709"/>
      <c r="AD76" s="709"/>
      <c r="AE76" s="709"/>
      <c r="AF76" s="156"/>
      <c r="AG76" s="730" t="s">
        <v>110</v>
      </c>
      <c r="AH76" s="730"/>
      <c r="AI76" s="709" t="s">
        <v>425</v>
      </c>
      <c r="AJ76" s="709"/>
      <c r="AK76" s="709"/>
      <c r="AL76" s="709"/>
      <c r="AM76" s="709"/>
      <c r="AN76" s="709"/>
      <c r="AO76" s="709"/>
      <c r="AP76" s="709"/>
      <c r="AQ76" s="709"/>
      <c r="AR76" s="709"/>
      <c r="AS76" s="709"/>
      <c r="AT76" s="709"/>
      <c r="AU76" s="709"/>
      <c r="AV76" s="709"/>
      <c r="AW76" s="709"/>
      <c r="AX76" s="709"/>
      <c r="AY76" s="709"/>
      <c r="AZ76" s="709"/>
      <c r="BA76" s="709"/>
      <c r="BB76" s="709"/>
      <c r="BC76" s="709"/>
      <c r="BD76" s="709"/>
      <c r="BE76" s="709"/>
      <c r="BF76" s="709"/>
      <c r="BG76" s="709"/>
      <c r="BH76" s="709"/>
      <c r="BI76" s="709"/>
      <c r="BJ76" s="709"/>
      <c r="BK76" s="709"/>
    </row>
    <row r="77" spans="1:63" ht="12" customHeight="1" x14ac:dyDescent="0.2">
      <c r="A77" s="158"/>
      <c r="B77" s="158"/>
      <c r="C77" s="709"/>
      <c r="D77" s="709"/>
      <c r="E77" s="709"/>
      <c r="F77" s="709"/>
      <c r="G77" s="709"/>
      <c r="H77" s="709"/>
      <c r="I77" s="709"/>
      <c r="J77" s="709"/>
      <c r="K77" s="709"/>
      <c r="L77" s="709"/>
      <c r="M77" s="709"/>
      <c r="N77" s="709"/>
      <c r="O77" s="709"/>
      <c r="P77" s="709"/>
      <c r="Q77" s="709"/>
      <c r="R77" s="709"/>
      <c r="S77" s="709"/>
      <c r="T77" s="709"/>
      <c r="U77" s="709"/>
      <c r="V77" s="709"/>
      <c r="W77" s="709"/>
      <c r="X77" s="709"/>
      <c r="Y77" s="709"/>
      <c r="Z77" s="709"/>
      <c r="AA77" s="709"/>
      <c r="AB77" s="709"/>
      <c r="AC77" s="709"/>
      <c r="AD77" s="709"/>
      <c r="AE77" s="709"/>
      <c r="AF77" s="156"/>
      <c r="AG77" s="158"/>
      <c r="AH77" s="158"/>
      <c r="AI77" s="709"/>
      <c r="AJ77" s="709"/>
      <c r="AK77" s="709"/>
      <c r="AL77" s="709"/>
      <c r="AM77" s="709"/>
      <c r="AN77" s="709"/>
      <c r="AO77" s="709"/>
      <c r="AP77" s="709"/>
      <c r="AQ77" s="709"/>
      <c r="AR77" s="709"/>
      <c r="AS77" s="709"/>
      <c r="AT77" s="709"/>
      <c r="AU77" s="709"/>
      <c r="AV77" s="709"/>
      <c r="AW77" s="709"/>
      <c r="AX77" s="709"/>
      <c r="AY77" s="709"/>
      <c r="AZ77" s="709"/>
      <c r="BA77" s="709"/>
      <c r="BB77" s="709"/>
      <c r="BC77" s="709"/>
      <c r="BD77" s="709"/>
      <c r="BE77" s="709"/>
      <c r="BF77" s="709"/>
      <c r="BG77" s="709"/>
      <c r="BH77" s="709"/>
      <c r="BI77" s="709"/>
      <c r="BJ77" s="709"/>
      <c r="BK77" s="709"/>
    </row>
    <row r="78" spans="1:63" ht="12" customHeight="1" x14ac:dyDescent="0.2">
      <c r="A78" s="163"/>
      <c r="B78" s="163"/>
      <c r="C78" s="709"/>
      <c r="D78" s="709"/>
      <c r="E78" s="709"/>
      <c r="F78" s="709"/>
      <c r="G78" s="709"/>
      <c r="H78" s="709"/>
      <c r="I78" s="709"/>
      <c r="J78" s="709"/>
      <c r="K78" s="709"/>
      <c r="L78" s="709"/>
      <c r="M78" s="709"/>
      <c r="N78" s="709"/>
      <c r="O78" s="709"/>
      <c r="P78" s="709"/>
      <c r="Q78" s="709"/>
      <c r="R78" s="709"/>
      <c r="S78" s="709"/>
      <c r="T78" s="709"/>
      <c r="U78" s="709"/>
      <c r="V78" s="709"/>
      <c r="W78" s="709"/>
      <c r="X78" s="709"/>
      <c r="Y78" s="709"/>
      <c r="Z78" s="709"/>
      <c r="AA78" s="709"/>
      <c r="AB78" s="709"/>
      <c r="AC78" s="709"/>
      <c r="AD78" s="709"/>
      <c r="AE78" s="709"/>
      <c r="AF78" s="156"/>
      <c r="AG78" s="158"/>
      <c r="AH78" s="169"/>
      <c r="AI78" s="709"/>
      <c r="AJ78" s="709"/>
      <c r="AK78" s="709"/>
      <c r="AL78" s="709"/>
      <c r="AM78" s="709"/>
      <c r="AN78" s="709"/>
      <c r="AO78" s="709"/>
      <c r="AP78" s="709"/>
      <c r="AQ78" s="709"/>
      <c r="AR78" s="709"/>
      <c r="AS78" s="709"/>
      <c r="AT78" s="709"/>
      <c r="AU78" s="709"/>
      <c r="AV78" s="709"/>
      <c r="AW78" s="709"/>
      <c r="AX78" s="709"/>
      <c r="AY78" s="709"/>
      <c r="AZ78" s="709"/>
      <c r="BA78" s="709"/>
      <c r="BB78" s="709"/>
      <c r="BC78" s="709"/>
      <c r="BD78" s="709"/>
      <c r="BE78" s="709"/>
      <c r="BF78" s="709"/>
      <c r="BG78" s="709"/>
      <c r="BH78" s="709"/>
      <c r="BI78" s="709"/>
      <c r="BJ78" s="709"/>
      <c r="BK78" s="709"/>
    </row>
    <row r="79" spans="1:63" ht="12" customHeight="1" x14ac:dyDescent="0.2">
      <c r="A79" s="730" t="s">
        <v>44</v>
      </c>
      <c r="B79" s="730"/>
      <c r="C79" s="709" t="s">
        <v>435</v>
      </c>
      <c r="D79" s="709"/>
      <c r="E79" s="709"/>
      <c r="F79" s="709"/>
      <c r="G79" s="709"/>
      <c r="H79" s="709"/>
      <c r="I79" s="709"/>
      <c r="J79" s="709"/>
      <c r="K79" s="709"/>
      <c r="L79" s="709"/>
      <c r="M79" s="709"/>
      <c r="N79" s="709"/>
      <c r="O79" s="709"/>
      <c r="P79" s="709"/>
      <c r="Q79" s="709"/>
      <c r="R79" s="709"/>
      <c r="S79" s="709"/>
      <c r="T79" s="709"/>
      <c r="U79" s="709"/>
      <c r="V79" s="709"/>
      <c r="W79" s="709"/>
      <c r="X79" s="709"/>
      <c r="Y79" s="709"/>
      <c r="Z79" s="709"/>
      <c r="AA79" s="709"/>
      <c r="AB79" s="709"/>
      <c r="AC79" s="709"/>
      <c r="AD79" s="709"/>
      <c r="AE79" s="709"/>
      <c r="AF79" s="156"/>
      <c r="AG79" s="730" t="s">
        <v>42</v>
      </c>
      <c r="AH79" s="730"/>
      <c r="AI79" s="709" t="s">
        <v>426</v>
      </c>
      <c r="AJ79" s="709"/>
      <c r="AK79" s="709"/>
      <c r="AL79" s="709"/>
      <c r="AM79" s="709"/>
      <c r="AN79" s="709"/>
      <c r="AO79" s="709"/>
      <c r="AP79" s="709"/>
      <c r="AQ79" s="709"/>
      <c r="AR79" s="709"/>
      <c r="AS79" s="709"/>
      <c r="AT79" s="709"/>
      <c r="AU79" s="709"/>
      <c r="AV79" s="709"/>
      <c r="AW79" s="709"/>
      <c r="AX79" s="709"/>
      <c r="AY79" s="709"/>
      <c r="AZ79" s="709"/>
      <c r="BA79" s="709"/>
      <c r="BB79" s="709"/>
      <c r="BC79" s="709"/>
      <c r="BD79" s="709"/>
      <c r="BE79" s="709"/>
      <c r="BF79" s="709"/>
      <c r="BG79" s="709"/>
      <c r="BH79" s="709"/>
      <c r="BI79" s="709"/>
      <c r="BJ79" s="709"/>
      <c r="BK79" s="709"/>
    </row>
    <row r="80" spans="1:63" ht="12" customHeight="1" x14ac:dyDescent="0.2">
      <c r="A80" s="158"/>
      <c r="B80" s="158"/>
      <c r="C80" s="709"/>
      <c r="D80" s="709"/>
      <c r="E80" s="709"/>
      <c r="F80" s="709"/>
      <c r="G80" s="709"/>
      <c r="H80" s="709"/>
      <c r="I80" s="709"/>
      <c r="J80" s="709"/>
      <c r="K80" s="709"/>
      <c r="L80" s="709"/>
      <c r="M80" s="709"/>
      <c r="N80" s="709"/>
      <c r="O80" s="709"/>
      <c r="P80" s="709"/>
      <c r="Q80" s="709"/>
      <c r="R80" s="709"/>
      <c r="S80" s="709"/>
      <c r="T80" s="709"/>
      <c r="U80" s="709"/>
      <c r="V80" s="709"/>
      <c r="W80" s="709"/>
      <c r="X80" s="709"/>
      <c r="Y80" s="709"/>
      <c r="Z80" s="709"/>
      <c r="AA80" s="709"/>
      <c r="AB80" s="709"/>
      <c r="AC80" s="709"/>
      <c r="AD80" s="709"/>
      <c r="AE80" s="709"/>
      <c r="AF80" s="156"/>
      <c r="AG80" s="158"/>
      <c r="AH80" s="158"/>
      <c r="AI80" s="709"/>
      <c r="AJ80" s="709"/>
      <c r="AK80" s="709"/>
      <c r="AL80" s="709"/>
      <c r="AM80" s="709"/>
      <c r="AN80" s="709"/>
      <c r="AO80" s="709"/>
      <c r="AP80" s="709"/>
      <c r="AQ80" s="709"/>
      <c r="AR80" s="709"/>
      <c r="AS80" s="709"/>
      <c r="AT80" s="709"/>
      <c r="AU80" s="709"/>
      <c r="AV80" s="709"/>
      <c r="AW80" s="709"/>
      <c r="AX80" s="709"/>
      <c r="AY80" s="709"/>
      <c r="AZ80" s="709"/>
      <c r="BA80" s="709"/>
      <c r="BB80" s="709"/>
      <c r="BC80" s="709"/>
      <c r="BD80" s="709"/>
      <c r="BE80" s="709"/>
      <c r="BF80" s="709"/>
      <c r="BG80" s="709"/>
      <c r="BH80" s="709"/>
      <c r="BI80" s="709"/>
      <c r="BJ80" s="709"/>
      <c r="BK80" s="709"/>
    </row>
    <row r="81" spans="1:63" ht="12" customHeight="1" x14ac:dyDescent="0.2">
      <c r="A81" s="163"/>
      <c r="B81" s="163"/>
      <c r="C81" s="709"/>
      <c r="D81" s="709"/>
      <c r="E81" s="709"/>
      <c r="F81" s="709"/>
      <c r="G81" s="709"/>
      <c r="H81" s="709"/>
      <c r="I81" s="709"/>
      <c r="J81" s="709"/>
      <c r="K81" s="709"/>
      <c r="L81" s="709"/>
      <c r="M81" s="709"/>
      <c r="N81" s="709"/>
      <c r="O81" s="709"/>
      <c r="P81" s="709"/>
      <c r="Q81" s="709"/>
      <c r="R81" s="709"/>
      <c r="S81" s="709"/>
      <c r="T81" s="709"/>
      <c r="U81" s="709"/>
      <c r="V81" s="709"/>
      <c r="W81" s="709"/>
      <c r="X81" s="709"/>
      <c r="Y81" s="709"/>
      <c r="Z81" s="709"/>
      <c r="AA81" s="709"/>
      <c r="AB81" s="709"/>
      <c r="AC81" s="709"/>
      <c r="AD81" s="709"/>
      <c r="AE81" s="709"/>
      <c r="AF81" s="156"/>
      <c r="AG81" s="158"/>
      <c r="AH81" s="169"/>
      <c r="AI81" s="709"/>
      <c r="AJ81" s="709"/>
      <c r="AK81" s="709"/>
      <c r="AL81" s="709"/>
      <c r="AM81" s="709"/>
      <c r="AN81" s="709"/>
      <c r="AO81" s="709"/>
      <c r="AP81" s="709"/>
      <c r="AQ81" s="709"/>
      <c r="AR81" s="709"/>
      <c r="AS81" s="709"/>
      <c r="AT81" s="709"/>
      <c r="AU81" s="709"/>
      <c r="AV81" s="709"/>
      <c r="AW81" s="709"/>
      <c r="AX81" s="709"/>
      <c r="AY81" s="709"/>
      <c r="AZ81" s="709"/>
      <c r="BA81" s="709"/>
      <c r="BB81" s="709"/>
      <c r="BC81" s="709"/>
      <c r="BD81" s="709"/>
      <c r="BE81" s="709"/>
      <c r="BF81" s="709"/>
      <c r="BG81" s="709"/>
      <c r="BH81" s="709"/>
      <c r="BI81" s="709"/>
      <c r="BJ81" s="709"/>
      <c r="BK81" s="709"/>
    </row>
    <row r="82" spans="1:63" ht="12" customHeight="1" x14ac:dyDescent="0.2">
      <c r="A82" s="730" t="s">
        <v>43</v>
      </c>
      <c r="B82" s="730"/>
      <c r="C82" s="709" t="str">
        <f>"Girovla təmin edilmiş öhdəliyin icrası üçün girov qoyulmuş əmlak satılarkən əldə olunmuş vəsait tələb olunan məbləğdən az olarsa tərəflərin "&amp;"qarşılıqlı razılığı ilə və ya Azərbaycan Respublikasının qanunvericiliyinə müvafiq qaydada tutma  «Girov qoyan»ın digər əmlakına yönəldilir."</f>
        <v>Girovla təmin edilmiş öhdəliyin icrası üçün girov qoyulmuş əmlak satılarkən əldə olunmuş vəsait tələb olunan məbləğdən az olarsa tərəflərin qarşılıqlı razılığı ilə və ya Azərbaycan Respublikasının qanunvericiliyinə müvafiq qaydada tutma  «Girov qoyan»ın digər əmlakına yönəldilir.</v>
      </c>
      <c r="D82" s="709"/>
      <c r="E82" s="709"/>
      <c r="F82" s="709"/>
      <c r="G82" s="709"/>
      <c r="H82" s="709"/>
      <c r="I82" s="709"/>
      <c r="J82" s="709"/>
      <c r="K82" s="709"/>
      <c r="L82" s="709"/>
      <c r="M82" s="709"/>
      <c r="N82" s="709"/>
      <c r="O82" s="709"/>
      <c r="P82" s="709"/>
      <c r="Q82" s="709"/>
      <c r="R82" s="709"/>
      <c r="S82" s="709"/>
      <c r="T82" s="709"/>
      <c r="U82" s="709"/>
      <c r="V82" s="709"/>
      <c r="W82" s="709"/>
      <c r="X82" s="709"/>
      <c r="Y82" s="709"/>
      <c r="Z82" s="709"/>
      <c r="AA82" s="709"/>
      <c r="AB82" s="709"/>
      <c r="AC82" s="709"/>
      <c r="AD82" s="709"/>
      <c r="AE82" s="709"/>
      <c r="AF82" s="156"/>
      <c r="AG82" s="157"/>
      <c r="AH82" s="154"/>
      <c r="AI82" s="154"/>
      <c r="AJ82" s="157"/>
      <c r="AK82" s="157"/>
      <c r="AL82" s="157"/>
      <c r="AM82" s="157"/>
      <c r="AN82" s="157"/>
      <c r="AO82" s="157"/>
      <c r="AP82" s="157"/>
      <c r="AQ82" s="157"/>
      <c r="AR82" s="157"/>
      <c r="AS82" s="157"/>
      <c r="AT82" s="157"/>
      <c r="AU82" s="157"/>
      <c r="AV82" s="157"/>
      <c r="AW82" s="157"/>
      <c r="AX82" s="157"/>
      <c r="AY82" s="157"/>
      <c r="AZ82" s="157"/>
      <c r="BA82" s="157"/>
      <c r="BB82" s="157"/>
      <c r="BC82" s="157"/>
      <c r="BD82" s="157"/>
      <c r="BE82" s="157"/>
      <c r="BF82" s="157"/>
      <c r="BG82" s="157"/>
      <c r="BH82" s="157"/>
      <c r="BI82" s="157"/>
      <c r="BJ82" s="157"/>
      <c r="BK82" s="157"/>
    </row>
    <row r="83" spans="1:63" ht="12" customHeight="1" x14ac:dyDescent="0.2">
      <c r="A83" s="163"/>
      <c r="B83" s="163"/>
      <c r="C83" s="709"/>
      <c r="D83" s="709"/>
      <c r="E83" s="709"/>
      <c r="F83" s="709"/>
      <c r="G83" s="709"/>
      <c r="H83" s="709"/>
      <c r="I83" s="709"/>
      <c r="J83" s="709"/>
      <c r="K83" s="709"/>
      <c r="L83" s="709"/>
      <c r="M83" s="709"/>
      <c r="N83" s="709"/>
      <c r="O83" s="709"/>
      <c r="P83" s="709"/>
      <c r="Q83" s="709"/>
      <c r="R83" s="709"/>
      <c r="S83" s="709"/>
      <c r="T83" s="709"/>
      <c r="U83" s="709"/>
      <c r="V83" s="709"/>
      <c r="W83" s="709"/>
      <c r="X83" s="709"/>
      <c r="Y83" s="709"/>
      <c r="Z83" s="709"/>
      <c r="AA83" s="709"/>
      <c r="AB83" s="709"/>
      <c r="AC83" s="709"/>
      <c r="AD83" s="709"/>
      <c r="AE83" s="709"/>
      <c r="AF83" s="156"/>
      <c r="AG83" s="708" t="s">
        <v>103</v>
      </c>
      <c r="AH83" s="708"/>
      <c r="AI83" s="708"/>
      <c r="AJ83" s="708"/>
      <c r="AK83" s="708"/>
      <c r="AL83" s="708"/>
      <c r="AM83" s="708"/>
      <c r="AN83" s="708"/>
      <c r="AO83" s="708"/>
      <c r="AP83" s="708"/>
      <c r="AQ83" s="708"/>
      <c r="AR83" s="708"/>
      <c r="AS83" s="708"/>
      <c r="AT83" s="708"/>
      <c r="AU83" s="708"/>
      <c r="AV83" s="708"/>
      <c r="AW83" s="708"/>
      <c r="AX83" s="708"/>
      <c r="AY83" s="708"/>
      <c r="AZ83" s="708"/>
      <c r="BA83" s="708"/>
      <c r="BB83" s="708"/>
      <c r="BC83" s="708"/>
      <c r="BD83" s="708"/>
      <c r="BE83" s="708"/>
      <c r="BF83" s="708"/>
      <c r="BG83" s="708"/>
      <c r="BH83" s="708"/>
      <c r="BI83" s="708"/>
      <c r="BJ83" s="708"/>
      <c r="BK83" s="708"/>
    </row>
    <row r="84" spans="1:63" ht="12" customHeight="1" x14ac:dyDescent="0.2">
      <c r="A84" s="163"/>
      <c r="B84" s="163"/>
      <c r="C84" s="709"/>
      <c r="D84" s="709"/>
      <c r="E84" s="709"/>
      <c r="F84" s="709"/>
      <c r="G84" s="709"/>
      <c r="H84" s="709"/>
      <c r="I84" s="709"/>
      <c r="J84" s="709"/>
      <c r="K84" s="709"/>
      <c r="L84" s="709"/>
      <c r="M84" s="709"/>
      <c r="N84" s="709"/>
      <c r="O84" s="709"/>
      <c r="P84" s="709"/>
      <c r="Q84" s="709"/>
      <c r="R84" s="709"/>
      <c r="S84" s="709"/>
      <c r="T84" s="709"/>
      <c r="U84" s="709"/>
      <c r="V84" s="709"/>
      <c r="W84" s="709"/>
      <c r="X84" s="709"/>
      <c r="Y84" s="709"/>
      <c r="Z84" s="709"/>
      <c r="AA84" s="709"/>
      <c r="AB84" s="709"/>
      <c r="AC84" s="709"/>
      <c r="AD84" s="709"/>
      <c r="AE84" s="709"/>
      <c r="AF84" s="156"/>
      <c r="AG84" s="166"/>
      <c r="AH84" s="166"/>
      <c r="AI84" s="166"/>
      <c r="AJ84" s="166"/>
      <c r="AK84" s="166"/>
      <c r="AL84" s="166"/>
      <c r="AM84" s="166"/>
      <c r="AN84" s="166"/>
      <c r="AO84" s="166"/>
      <c r="AP84" s="166"/>
      <c r="AQ84" s="166"/>
      <c r="AR84" s="166"/>
      <c r="AS84" s="166"/>
      <c r="AT84" s="166"/>
      <c r="AU84" s="166"/>
      <c r="AV84" s="166"/>
      <c r="AW84" s="166"/>
      <c r="AX84" s="166"/>
      <c r="AY84" s="166"/>
      <c r="AZ84" s="166"/>
      <c r="BA84" s="166"/>
      <c r="BB84" s="166"/>
      <c r="BC84" s="166"/>
      <c r="BD84" s="166"/>
      <c r="BE84" s="166"/>
      <c r="BF84" s="166"/>
      <c r="BG84" s="166"/>
      <c r="BH84" s="166"/>
      <c r="BI84" s="166"/>
      <c r="BJ84" s="166"/>
      <c r="BK84" s="166"/>
    </row>
    <row r="85" spans="1:63" ht="12" customHeight="1" x14ac:dyDescent="0.2">
      <c r="A85" s="163"/>
      <c r="B85" s="163"/>
      <c r="C85" s="709"/>
      <c r="D85" s="709"/>
      <c r="E85" s="709"/>
      <c r="F85" s="709"/>
      <c r="G85" s="709"/>
      <c r="H85" s="709"/>
      <c r="I85" s="709"/>
      <c r="J85" s="709"/>
      <c r="K85" s="709"/>
      <c r="L85" s="709"/>
      <c r="M85" s="709"/>
      <c r="N85" s="709"/>
      <c r="O85" s="709"/>
      <c r="P85" s="709"/>
      <c r="Q85" s="709"/>
      <c r="R85" s="709"/>
      <c r="S85" s="709"/>
      <c r="T85" s="709"/>
      <c r="U85" s="709"/>
      <c r="V85" s="709"/>
      <c r="W85" s="709"/>
      <c r="X85" s="709"/>
      <c r="Y85" s="709"/>
      <c r="Z85" s="709"/>
      <c r="AA85" s="709"/>
      <c r="AB85" s="709"/>
      <c r="AC85" s="709"/>
      <c r="AD85" s="709"/>
      <c r="AE85" s="709"/>
      <c r="AF85" s="156"/>
      <c r="AG85" s="730" t="s">
        <v>102</v>
      </c>
      <c r="AH85" s="730"/>
      <c r="AI85" s="709" t="str">
        <f>"Bu müqavilə Azərbaycan dilində tərtib olunmuş eyni hüquqi qüvvəli 2 (iki) nüsxədən ibarətdir. Nüsxələrdən biri «Girov qoyan»da, digəri isə  «Girov saxlayan»da saxlanılır. "</f>
        <v xml:space="preserve">Bu müqavilə Azərbaycan dilində tərtib olunmuş eyni hüquqi qüvvəli 2 (iki) nüsxədən ibarətdir. Nüsxələrdən biri «Girov qoyan»da, digəri isə  «Girov saxlayan»da saxlanılır. </v>
      </c>
      <c r="AJ85" s="709"/>
      <c r="AK85" s="709"/>
      <c r="AL85" s="709"/>
      <c r="AM85" s="709"/>
      <c r="AN85" s="709"/>
      <c r="AO85" s="709"/>
      <c r="AP85" s="709"/>
      <c r="AQ85" s="709"/>
      <c r="AR85" s="709"/>
      <c r="AS85" s="709"/>
      <c r="AT85" s="709"/>
      <c r="AU85" s="709"/>
      <c r="AV85" s="709"/>
      <c r="AW85" s="709"/>
      <c r="AX85" s="709"/>
      <c r="AY85" s="709"/>
      <c r="AZ85" s="709"/>
      <c r="BA85" s="709"/>
      <c r="BB85" s="709"/>
      <c r="BC85" s="709"/>
      <c r="BD85" s="709"/>
      <c r="BE85" s="709"/>
      <c r="BF85" s="709"/>
      <c r="BG85" s="709"/>
      <c r="BH85" s="709"/>
      <c r="BI85" s="709"/>
      <c r="BJ85" s="709"/>
      <c r="BK85" s="709"/>
    </row>
    <row r="86" spans="1:63" ht="12" customHeight="1" x14ac:dyDescent="0.2">
      <c r="A86" s="163"/>
      <c r="B86" s="163"/>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6"/>
      <c r="AG86" s="158"/>
      <c r="AH86" s="158"/>
      <c r="AI86" s="709"/>
      <c r="AJ86" s="709"/>
      <c r="AK86" s="709"/>
      <c r="AL86" s="709"/>
      <c r="AM86" s="709"/>
      <c r="AN86" s="709"/>
      <c r="AO86" s="709"/>
      <c r="AP86" s="709"/>
      <c r="AQ86" s="709"/>
      <c r="AR86" s="709"/>
      <c r="AS86" s="709"/>
      <c r="AT86" s="709"/>
      <c r="AU86" s="709"/>
      <c r="AV86" s="709"/>
      <c r="AW86" s="709"/>
      <c r="AX86" s="709"/>
      <c r="AY86" s="709"/>
      <c r="AZ86" s="709"/>
      <c r="BA86" s="709"/>
      <c r="BB86" s="709"/>
      <c r="BC86" s="709"/>
      <c r="BD86" s="709"/>
      <c r="BE86" s="709"/>
      <c r="BF86" s="709"/>
      <c r="BG86" s="709"/>
      <c r="BH86" s="709"/>
      <c r="BI86" s="709"/>
      <c r="BJ86" s="709"/>
      <c r="BK86" s="709"/>
    </row>
    <row r="87" spans="1:63" ht="12" customHeight="1" x14ac:dyDescent="0.2">
      <c r="A87" s="708" t="s">
        <v>420</v>
      </c>
      <c r="B87" s="708"/>
      <c r="C87" s="708"/>
      <c r="D87" s="708"/>
      <c r="E87" s="708"/>
      <c r="F87" s="708"/>
      <c r="G87" s="708"/>
      <c r="H87" s="708"/>
      <c r="I87" s="708"/>
      <c r="J87" s="708"/>
      <c r="K87" s="708"/>
      <c r="L87" s="708"/>
      <c r="M87" s="708"/>
      <c r="N87" s="708"/>
      <c r="O87" s="708"/>
      <c r="P87" s="708"/>
      <c r="Q87" s="708"/>
      <c r="R87" s="708"/>
      <c r="S87" s="708"/>
      <c r="T87" s="708"/>
      <c r="U87" s="708"/>
      <c r="V87" s="708"/>
      <c r="W87" s="708"/>
      <c r="X87" s="708"/>
      <c r="Y87" s="708"/>
      <c r="Z87" s="708"/>
      <c r="AA87" s="708"/>
      <c r="AB87" s="708"/>
      <c r="AC87" s="708"/>
      <c r="AD87" s="708"/>
      <c r="AE87" s="708"/>
      <c r="AF87" s="156"/>
      <c r="AG87" s="155"/>
      <c r="AH87" s="155"/>
      <c r="AI87" s="709"/>
      <c r="AJ87" s="709"/>
      <c r="AK87" s="709"/>
      <c r="AL87" s="709"/>
      <c r="AM87" s="709"/>
      <c r="AN87" s="709"/>
      <c r="AO87" s="709"/>
      <c r="AP87" s="709"/>
      <c r="AQ87" s="709"/>
      <c r="AR87" s="709"/>
      <c r="AS87" s="709"/>
      <c r="AT87" s="709"/>
      <c r="AU87" s="709"/>
      <c r="AV87" s="709"/>
      <c r="AW87" s="709"/>
      <c r="AX87" s="709"/>
      <c r="AY87" s="709"/>
      <c r="AZ87" s="709"/>
      <c r="BA87" s="709"/>
      <c r="BB87" s="709"/>
      <c r="BC87" s="709"/>
      <c r="BD87" s="709"/>
      <c r="BE87" s="709"/>
      <c r="BF87" s="709"/>
      <c r="BG87" s="709"/>
      <c r="BH87" s="709"/>
      <c r="BI87" s="709"/>
      <c r="BJ87" s="709"/>
      <c r="BK87" s="709"/>
    </row>
    <row r="88" spans="1:63" ht="12" customHeight="1" x14ac:dyDescent="0.2">
      <c r="A88" s="166"/>
      <c r="B88" s="166"/>
      <c r="C88" s="166"/>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6"/>
      <c r="AC88" s="166"/>
      <c r="AD88" s="166"/>
      <c r="AE88" s="166"/>
      <c r="AF88" s="156"/>
      <c r="AG88" s="730" t="s">
        <v>40</v>
      </c>
      <c r="AH88" s="730"/>
      <c r="AI88" s="709" t="s">
        <v>432</v>
      </c>
      <c r="AJ88" s="709"/>
      <c r="AK88" s="709"/>
      <c r="AL88" s="709"/>
      <c r="AM88" s="709"/>
      <c r="AN88" s="709"/>
      <c r="AO88" s="709"/>
      <c r="AP88" s="709"/>
      <c r="AQ88" s="709"/>
      <c r="AR88" s="709"/>
      <c r="AS88" s="709"/>
      <c r="AT88" s="709"/>
      <c r="AU88" s="709"/>
      <c r="AV88" s="709"/>
      <c r="AW88" s="709"/>
      <c r="AX88" s="709"/>
      <c r="AY88" s="709"/>
      <c r="AZ88" s="709"/>
      <c r="BA88" s="709"/>
      <c r="BB88" s="709"/>
      <c r="BC88" s="709"/>
      <c r="BD88" s="709"/>
      <c r="BE88" s="709"/>
      <c r="BF88" s="709"/>
      <c r="BG88" s="709"/>
      <c r="BH88" s="709"/>
      <c r="BI88" s="709"/>
      <c r="BJ88" s="709"/>
      <c r="BK88" s="709"/>
    </row>
    <row r="89" spans="1:63" ht="12" customHeight="1" x14ac:dyDescent="0.2">
      <c r="A89" s="730" t="s">
        <v>39</v>
      </c>
      <c r="B89" s="730"/>
      <c r="C89" s="709" t="s">
        <v>436</v>
      </c>
      <c r="D89" s="709"/>
      <c r="E89" s="709"/>
      <c r="F89" s="709"/>
      <c r="G89" s="709"/>
      <c r="H89" s="709"/>
      <c r="I89" s="709"/>
      <c r="J89" s="709"/>
      <c r="K89" s="709"/>
      <c r="L89" s="709"/>
      <c r="M89" s="709"/>
      <c r="N89" s="709"/>
      <c r="O89" s="709"/>
      <c r="P89" s="709"/>
      <c r="Q89" s="709"/>
      <c r="R89" s="709"/>
      <c r="S89" s="709"/>
      <c r="T89" s="709"/>
      <c r="U89" s="709"/>
      <c r="V89" s="709"/>
      <c r="W89" s="709"/>
      <c r="X89" s="709"/>
      <c r="Y89" s="709"/>
      <c r="Z89" s="709"/>
      <c r="AA89" s="709"/>
      <c r="AB89" s="709"/>
      <c r="AC89" s="709"/>
      <c r="AD89" s="709"/>
      <c r="AE89" s="709"/>
      <c r="AF89" s="156"/>
      <c r="AG89" s="158"/>
      <c r="AH89" s="155"/>
      <c r="AI89" s="709"/>
      <c r="AJ89" s="709"/>
      <c r="AK89" s="709"/>
      <c r="AL89" s="709"/>
      <c r="AM89" s="709"/>
      <c r="AN89" s="709"/>
      <c r="AO89" s="709"/>
      <c r="AP89" s="709"/>
      <c r="AQ89" s="709"/>
      <c r="AR89" s="709"/>
      <c r="AS89" s="709"/>
      <c r="AT89" s="709"/>
      <c r="AU89" s="709"/>
      <c r="AV89" s="709"/>
      <c r="AW89" s="709"/>
      <c r="AX89" s="709"/>
      <c r="AY89" s="709"/>
      <c r="AZ89" s="709"/>
      <c r="BA89" s="709"/>
      <c r="BB89" s="709"/>
      <c r="BC89" s="709"/>
      <c r="BD89" s="709"/>
      <c r="BE89" s="709"/>
      <c r="BF89" s="709"/>
      <c r="BG89" s="709"/>
      <c r="BH89" s="709"/>
      <c r="BI89" s="709"/>
      <c r="BJ89" s="709"/>
      <c r="BK89" s="709"/>
    </row>
    <row r="90" spans="1:63" ht="12" customHeight="1" x14ac:dyDescent="0.2">
      <c r="A90" s="158"/>
      <c r="B90" s="158"/>
      <c r="C90" s="709"/>
      <c r="D90" s="709"/>
      <c r="E90" s="709"/>
      <c r="F90" s="709"/>
      <c r="G90" s="709"/>
      <c r="H90" s="709"/>
      <c r="I90" s="709"/>
      <c r="J90" s="709"/>
      <c r="K90" s="709"/>
      <c r="L90" s="709"/>
      <c r="M90" s="709"/>
      <c r="N90" s="709"/>
      <c r="O90" s="709"/>
      <c r="P90" s="709"/>
      <c r="Q90" s="709"/>
      <c r="R90" s="709"/>
      <c r="S90" s="709"/>
      <c r="T90" s="709"/>
      <c r="U90" s="709"/>
      <c r="V90" s="709"/>
      <c r="W90" s="709"/>
      <c r="X90" s="709"/>
      <c r="Y90" s="709"/>
      <c r="Z90" s="709"/>
      <c r="AA90" s="709"/>
      <c r="AB90" s="709"/>
      <c r="AC90" s="709"/>
      <c r="AD90" s="709"/>
      <c r="AE90" s="709"/>
      <c r="AF90" s="156"/>
      <c r="AG90" s="158"/>
      <c r="AH90" s="168"/>
      <c r="AI90" s="709"/>
      <c r="AJ90" s="709"/>
      <c r="AK90" s="709"/>
      <c r="AL90" s="709"/>
      <c r="AM90" s="709"/>
      <c r="AN90" s="709"/>
      <c r="AO90" s="709"/>
      <c r="AP90" s="709"/>
      <c r="AQ90" s="709"/>
      <c r="AR90" s="709"/>
      <c r="AS90" s="709"/>
      <c r="AT90" s="709"/>
      <c r="AU90" s="709"/>
      <c r="AV90" s="709"/>
      <c r="AW90" s="709"/>
      <c r="AX90" s="709"/>
      <c r="AY90" s="709"/>
      <c r="AZ90" s="709"/>
      <c r="BA90" s="709"/>
      <c r="BB90" s="709"/>
      <c r="BC90" s="709"/>
      <c r="BD90" s="709"/>
      <c r="BE90" s="709"/>
      <c r="BF90" s="709"/>
      <c r="BG90" s="709"/>
      <c r="BH90" s="709"/>
      <c r="BI90" s="709"/>
      <c r="BJ90" s="709"/>
      <c r="BK90" s="709"/>
    </row>
    <row r="91" spans="1:63" ht="12" customHeight="1" x14ac:dyDescent="0.2">
      <c r="A91" s="158"/>
      <c r="B91" s="158"/>
      <c r="C91" s="709"/>
      <c r="D91" s="709"/>
      <c r="E91" s="709"/>
      <c r="F91" s="709"/>
      <c r="G91" s="709"/>
      <c r="H91" s="709"/>
      <c r="I91" s="709"/>
      <c r="J91" s="709"/>
      <c r="K91" s="709"/>
      <c r="L91" s="709"/>
      <c r="M91" s="709"/>
      <c r="N91" s="709"/>
      <c r="O91" s="709"/>
      <c r="P91" s="709"/>
      <c r="Q91" s="709"/>
      <c r="R91" s="709"/>
      <c r="S91" s="709"/>
      <c r="T91" s="709"/>
      <c r="U91" s="709"/>
      <c r="V91" s="709"/>
      <c r="W91" s="709"/>
      <c r="X91" s="709"/>
      <c r="Y91" s="709"/>
      <c r="Z91" s="709"/>
      <c r="AA91" s="709"/>
      <c r="AB91" s="709"/>
      <c r="AC91" s="709"/>
      <c r="AD91" s="709"/>
      <c r="AE91" s="709"/>
      <c r="AF91" s="156"/>
      <c r="AG91" s="730" t="s">
        <v>99</v>
      </c>
      <c r="AH91" s="730"/>
      <c r="AI91" s="709" t="s">
        <v>98</v>
      </c>
      <c r="AJ91" s="709"/>
      <c r="AK91" s="709"/>
      <c r="AL91" s="709"/>
      <c r="AM91" s="709"/>
      <c r="AN91" s="709"/>
      <c r="AO91" s="709"/>
      <c r="AP91" s="709"/>
      <c r="AQ91" s="709"/>
      <c r="AR91" s="709"/>
      <c r="AS91" s="709"/>
      <c r="AT91" s="709"/>
      <c r="AU91" s="709"/>
      <c r="AV91" s="709"/>
      <c r="AW91" s="709"/>
      <c r="AX91" s="709"/>
      <c r="AY91" s="709"/>
      <c r="AZ91" s="709"/>
      <c r="BA91" s="709"/>
      <c r="BB91" s="709"/>
      <c r="BC91" s="709"/>
      <c r="BD91" s="709"/>
      <c r="BE91" s="709"/>
      <c r="BF91" s="709"/>
      <c r="BG91" s="709"/>
      <c r="BH91" s="709"/>
      <c r="BI91" s="709"/>
      <c r="BJ91" s="709"/>
      <c r="BK91" s="709"/>
    </row>
    <row r="92" spans="1:63" ht="12" customHeight="1" x14ac:dyDescent="0.2">
      <c r="A92" s="730" t="s">
        <v>37</v>
      </c>
      <c r="B92" s="730"/>
      <c r="C92" s="709" t="str">
        <f>"Bu müqavilə və ya onunla əlaqədar yaranan bütün mübahisələr, fikir ayrılıqları və tələblər tərəflər arasında danışıqlar yolu ilə həll edilir. Tərəflər arasında olan mübahisələri danışıqlar yolu ilə həll etmək mümkün olmadıqda, "&amp;"onlar Azərbaycan Respublikasının qanunvericiliyinə  müvafiq olaraq məhkəmə qaydasında həll edilir."</f>
        <v>Bu müqavilə və ya onunla əlaqədar yaranan bütün mübahisələr, fikir ayrılıqları və tələblər tərəflər arasında danışıqlar yolu ilə həll edilir. Tərəflər arasında olan mübahisələri danışıqlar yolu ilə həll etmək mümkün olmadıqda, onlar Azərbaycan Respublikasının qanunvericiliyinə  müvafiq olaraq məhkəmə qaydasında həll edilir.</v>
      </c>
      <c r="D92" s="709"/>
      <c r="E92" s="709"/>
      <c r="F92" s="709"/>
      <c r="G92" s="709"/>
      <c r="H92" s="709"/>
      <c r="I92" s="709"/>
      <c r="J92" s="709"/>
      <c r="K92" s="709"/>
      <c r="L92" s="709"/>
      <c r="M92" s="709"/>
      <c r="N92" s="709"/>
      <c r="O92" s="709"/>
      <c r="P92" s="709"/>
      <c r="Q92" s="709"/>
      <c r="R92" s="709"/>
      <c r="S92" s="709"/>
      <c r="T92" s="709"/>
      <c r="U92" s="709"/>
      <c r="V92" s="709"/>
      <c r="W92" s="709"/>
      <c r="X92" s="709"/>
      <c r="Y92" s="709"/>
      <c r="Z92" s="709"/>
      <c r="AA92" s="709"/>
      <c r="AB92" s="709"/>
      <c r="AC92" s="709"/>
      <c r="AD92" s="709"/>
      <c r="AE92" s="709"/>
      <c r="AF92" s="156"/>
      <c r="AG92" s="155"/>
      <c r="AH92" s="168"/>
      <c r="AI92" s="709"/>
      <c r="AJ92" s="709"/>
      <c r="AK92" s="709"/>
      <c r="AL92" s="709"/>
      <c r="AM92" s="709"/>
      <c r="AN92" s="709"/>
      <c r="AO92" s="709"/>
      <c r="AP92" s="709"/>
      <c r="AQ92" s="709"/>
      <c r="AR92" s="709"/>
      <c r="AS92" s="709"/>
      <c r="AT92" s="709"/>
      <c r="AU92" s="709"/>
      <c r="AV92" s="709"/>
      <c r="AW92" s="709"/>
      <c r="AX92" s="709"/>
      <c r="AY92" s="709"/>
      <c r="AZ92" s="709"/>
      <c r="BA92" s="709"/>
      <c r="BB92" s="709"/>
      <c r="BC92" s="709"/>
      <c r="BD92" s="709"/>
      <c r="BE92" s="709"/>
      <c r="BF92" s="709"/>
      <c r="BG92" s="709"/>
      <c r="BH92" s="709"/>
      <c r="BI92" s="709"/>
      <c r="BJ92" s="709"/>
      <c r="BK92" s="709"/>
    </row>
    <row r="93" spans="1:63" ht="12" customHeight="1" x14ac:dyDescent="0.2">
      <c r="A93" s="158"/>
      <c r="B93" s="158"/>
      <c r="C93" s="709"/>
      <c r="D93" s="709"/>
      <c r="E93" s="709"/>
      <c r="F93" s="709"/>
      <c r="G93" s="709"/>
      <c r="H93" s="709"/>
      <c r="I93" s="709"/>
      <c r="J93" s="709"/>
      <c r="K93" s="709"/>
      <c r="L93" s="709"/>
      <c r="M93" s="709"/>
      <c r="N93" s="709"/>
      <c r="O93" s="709"/>
      <c r="P93" s="709"/>
      <c r="Q93" s="709"/>
      <c r="R93" s="709"/>
      <c r="S93" s="709"/>
      <c r="T93" s="709"/>
      <c r="U93" s="709"/>
      <c r="V93" s="709"/>
      <c r="W93" s="709"/>
      <c r="X93" s="709"/>
      <c r="Y93" s="709"/>
      <c r="Z93" s="709"/>
      <c r="AA93" s="709"/>
      <c r="AB93" s="709"/>
      <c r="AC93" s="709"/>
      <c r="AD93" s="709"/>
      <c r="AE93" s="709"/>
      <c r="AF93" s="156"/>
      <c r="AG93" s="735" t="s">
        <v>100</v>
      </c>
      <c r="AH93" s="735"/>
      <c r="AI93" s="728" t="str">
        <f>"Girov qoyulmuş əşyaya mülkiyyət hüququ həmin əşyanın əvəzli və ya əvəzsiz özgəninkiləşdirilməsi nəticəsində və ya universal hüquq varisliyi qaydasında  «Girov qoyan»dan başqa şəxsə keçdikdə girov hüququ qüvvədə qalır.  "&amp;"«Girov qoyan»ın hüququ varisi  «Girov qoyan»ın yerini tutur və onun bütün vəzifələrini daşıyır."</f>
        <v>Girov qoyulmuş əşyaya mülkiyyət hüququ həmin əşyanın əvəzli və ya əvəzsiz özgəninkiləşdirilməsi nəticəsində və ya universal hüquq varisliyi qaydasında  «Girov qoyan»dan başqa şəxsə keçdikdə girov hüququ qüvvədə qalır.  «Girov qoyan»ın hüququ varisi  «Girov qoyan»ın yerini tutur və onun bütün vəzifələrini daşıyır.</v>
      </c>
      <c r="AJ93" s="728"/>
      <c r="AK93" s="728"/>
      <c r="AL93" s="728"/>
      <c r="AM93" s="728"/>
      <c r="AN93" s="728"/>
      <c r="AO93" s="728"/>
      <c r="AP93" s="728"/>
      <c r="AQ93" s="728"/>
      <c r="AR93" s="728"/>
      <c r="AS93" s="728"/>
      <c r="AT93" s="728"/>
      <c r="AU93" s="728"/>
      <c r="AV93" s="728"/>
      <c r="AW93" s="728"/>
      <c r="AX93" s="728"/>
      <c r="AY93" s="728"/>
      <c r="AZ93" s="728"/>
      <c r="BA93" s="728"/>
      <c r="BB93" s="728"/>
      <c r="BC93" s="728"/>
      <c r="BD93" s="728"/>
      <c r="BE93" s="728"/>
      <c r="BF93" s="728"/>
      <c r="BG93" s="728"/>
      <c r="BH93" s="728"/>
      <c r="BI93" s="728"/>
      <c r="BJ93" s="728"/>
      <c r="BK93" s="728"/>
    </row>
    <row r="94" spans="1:63" ht="12" customHeight="1" x14ac:dyDescent="0.2">
      <c r="A94" s="158"/>
      <c r="B94" s="158"/>
      <c r="C94" s="709"/>
      <c r="D94" s="709"/>
      <c r="E94" s="709"/>
      <c r="F94" s="709"/>
      <c r="G94" s="709"/>
      <c r="H94" s="709"/>
      <c r="I94" s="709"/>
      <c r="J94" s="709"/>
      <c r="K94" s="709"/>
      <c r="L94" s="709"/>
      <c r="M94" s="709"/>
      <c r="N94" s="709"/>
      <c r="O94" s="709"/>
      <c r="P94" s="709"/>
      <c r="Q94" s="709"/>
      <c r="R94" s="709"/>
      <c r="S94" s="709"/>
      <c r="T94" s="709"/>
      <c r="U94" s="709"/>
      <c r="V94" s="709"/>
      <c r="W94" s="709"/>
      <c r="X94" s="709"/>
      <c r="Y94" s="709"/>
      <c r="Z94" s="709"/>
      <c r="AA94" s="709"/>
      <c r="AB94" s="709"/>
      <c r="AC94" s="709"/>
      <c r="AD94" s="709"/>
      <c r="AE94" s="709"/>
      <c r="AF94" s="156"/>
      <c r="AG94" s="155"/>
      <c r="AH94" s="163"/>
      <c r="AI94" s="728"/>
      <c r="AJ94" s="728"/>
      <c r="AK94" s="728"/>
      <c r="AL94" s="728"/>
      <c r="AM94" s="728"/>
      <c r="AN94" s="728"/>
      <c r="AO94" s="728"/>
      <c r="AP94" s="728"/>
      <c r="AQ94" s="728"/>
      <c r="AR94" s="728"/>
      <c r="AS94" s="728"/>
      <c r="AT94" s="728"/>
      <c r="AU94" s="728"/>
      <c r="AV94" s="728"/>
      <c r="AW94" s="728"/>
      <c r="AX94" s="728"/>
      <c r="AY94" s="728"/>
      <c r="AZ94" s="728"/>
      <c r="BA94" s="728"/>
      <c r="BB94" s="728"/>
      <c r="BC94" s="728"/>
      <c r="BD94" s="728"/>
      <c r="BE94" s="728"/>
      <c r="BF94" s="728"/>
      <c r="BG94" s="728"/>
      <c r="BH94" s="728"/>
      <c r="BI94" s="728"/>
      <c r="BJ94" s="728"/>
      <c r="BK94" s="728"/>
    </row>
    <row r="95" spans="1:63" ht="12" customHeight="1" x14ac:dyDescent="0.2">
      <c r="A95" s="157"/>
      <c r="B95" s="157"/>
      <c r="C95" s="709"/>
      <c r="D95" s="709"/>
      <c r="E95" s="709"/>
      <c r="F95" s="709"/>
      <c r="G95" s="709"/>
      <c r="H95" s="709"/>
      <c r="I95" s="709"/>
      <c r="J95" s="709"/>
      <c r="K95" s="709"/>
      <c r="L95" s="709"/>
      <c r="M95" s="709"/>
      <c r="N95" s="709"/>
      <c r="O95" s="709"/>
      <c r="P95" s="709"/>
      <c r="Q95" s="709"/>
      <c r="R95" s="709"/>
      <c r="S95" s="709"/>
      <c r="T95" s="709"/>
      <c r="U95" s="709"/>
      <c r="V95" s="709"/>
      <c r="W95" s="709"/>
      <c r="X95" s="709"/>
      <c r="Y95" s="709"/>
      <c r="Z95" s="709"/>
      <c r="AA95" s="709"/>
      <c r="AB95" s="709"/>
      <c r="AC95" s="709"/>
      <c r="AD95" s="709"/>
      <c r="AE95" s="709"/>
      <c r="AF95" s="156"/>
      <c r="AG95" s="155"/>
      <c r="AH95" s="163"/>
      <c r="AI95" s="728"/>
      <c r="AJ95" s="728"/>
      <c r="AK95" s="728"/>
      <c r="AL95" s="728"/>
      <c r="AM95" s="728"/>
      <c r="AN95" s="728"/>
      <c r="AO95" s="728"/>
      <c r="AP95" s="728"/>
      <c r="AQ95" s="728"/>
      <c r="AR95" s="728"/>
      <c r="AS95" s="728"/>
      <c r="AT95" s="728"/>
      <c r="AU95" s="728"/>
      <c r="AV95" s="728"/>
      <c r="AW95" s="728"/>
      <c r="AX95" s="728"/>
      <c r="AY95" s="728"/>
      <c r="AZ95" s="728"/>
      <c r="BA95" s="728"/>
      <c r="BB95" s="728"/>
      <c r="BC95" s="728"/>
      <c r="BD95" s="728"/>
      <c r="BE95" s="728"/>
      <c r="BF95" s="728"/>
      <c r="BG95" s="728"/>
      <c r="BH95" s="728"/>
      <c r="BI95" s="728"/>
      <c r="BJ95" s="728"/>
      <c r="BK95" s="728"/>
    </row>
    <row r="96" spans="1:63" ht="12" customHeight="1" x14ac:dyDescent="0.2">
      <c r="A96" s="157"/>
      <c r="B96" s="157"/>
      <c r="C96" s="709"/>
      <c r="D96" s="709"/>
      <c r="E96" s="709"/>
      <c r="F96" s="709"/>
      <c r="G96" s="709"/>
      <c r="H96" s="709"/>
      <c r="I96" s="709"/>
      <c r="J96" s="709"/>
      <c r="K96" s="709"/>
      <c r="L96" s="709"/>
      <c r="M96" s="709"/>
      <c r="N96" s="709"/>
      <c r="O96" s="709"/>
      <c r="P96" s="709"/>
      <c r="Q96" s="709"/>
      <c r="R96" s="709"/>
      <c r="S96" s="709"/>
      <c r="T96" s="709"/>
      <c r="U96" s="709"/>
      <c r="V96" s="709"/>
      <c r="W96" s="709"/>
      <c r="X96" s="709"/>
      <c r="Y96" s="709"/>
      <c r="Z96" s="709"/>
      <c r="AA96" s="709"/>
      <c r="AB96" s="709"/>
      <c r="AC96" s="709"/>
      <c r="AD96" s="709"/>
      <c r="AE96" s="709"/>
      <c r="AF96" s="156"/>
      <c r="AG96" s="159"/>
      <c r="AH96" s="163"/>
      <c r="AI96" s="728"/>
      <c r="AJ96" s="728"/>
      <c r="AK96" s="728"/>
      <c r="AL96" s="728"/>
      <c r="AM96" s="728"/>
      <c r="AN96" s="728"/>
      <c r="AO96" s="728"/>
      <c r="AP96" s="728"/>
      <c r="AQ96" s="728"/>
      <c r="AR96" s="728"/>
      <c r="AS96" s="728"/>
      <c r="AT96" s="728"/>
      <c r="AU96" s="728"/>
      <c r="AV96" s="728"/>
      <c r="AW96" s="728"/>
      <c r="AX96" s="728"/>
      <c r="AY96" s="728"/>
      <c r="AZ96" s="728"/>
      <c r="BA96" s="728"/>
      <c r="BB96" s="728"/>
      <c r="BC96" s="728"/>
      <c r="BD96" s="728"/>
      <c r="BE96" s="728"/>
      <c r="BF96" s="728"/>
      <c r="BG96" s="728"/>
      <c r="BH96" s="728"/>
      <c r="BI96" s="728"/>
      <c r="BJ96" s="728"/>
      <c r="BK96" s="728"/>
    </row>
    <row r="97" spans="1:67" ht="12" customHeight="1" x14ac:dyDescent="0.2">
      <c r="A97" s="157"/>
      <c r="B97" s="157"/>
      <c r="C97" s="168"/>
      <c r="D97" s="168"/>
      <c r="E97" s="168"/>
      <c r="F97" s="168"/>
      <c r="G97" s="168"/>
      <c r="H97" s="168"/>
      <c r="I97" s="168"/>
      <c r="J97" s="168"/>
      <c r="K97" s="168"/>
      <c r="L97" s="168"/>
      <c r="M97" s="168"/>
      <c r="N97" s="168"/>
      <c r="O97" s="168"/>
      <c r="P97" s="168"/>
      <c r="Q97" s="168"/>
      <c r="R97" s="168"/>
      <c r="S97" s="168"/>
      <c r="T97" s="168"/>
      <c r="U97" s="168"/>
      <c r="V97" s="168"/>
      <c r="W97" s="168"/>
      <c r="X97" s="168"/>
      <c r="Y97" s="168"/>
      <c r="Z97" s="168"/>
      <c r="AA97" s="168"/>
      <c r="AB97" s="168"/>
      <c r="AC97" s="168"/>
      <c r="AD97" s="168"/>
      <c r="AE97" s="168"/>
      <c r="AF97" s="156"/>
      <c r="AG97" s="159"/>
      <c r="AH97" s="163"/>
      <c r="AI97" s="728"/>
      <c r="AJ97" s="728"/>
      <c r="AK97" s="728"/>
      <c r="AL97" s="728"/>
      <c r="AM97" s="728"/>
      <c r="AN97" s="728"/>
      <c r="AO97" s="728"/>
      <c r="AP97" s="728"/>
      <c r="AQ97" s="728"/>
      <c r="AR97" s="728"/>
      <c r="AS97" s="728"/>
      <c r="AT97" s="728"/>
      <c r="AU97" s="728"/>
      <c r="AV97" s="728"/>
      <c r="AW97" s="728"/>
      <c r="AX97" s="728"/>
      <c r="AY97" s="728"/>
      <c r="AZ97" s="728"/>
      <c r="BA97" s="728"/>
      <c r="BB97" s="728"/>
      <c r="BC97" s="728"/>
      <c r="BD97" s="728"/>
      <c r="BE97" s="728"/>
      <c r="BF97" s="728"/>
      <c r="BG97" s="728"/>
      <c r="BH97" s="728"/>
      <c r="BI97" s="728"/>
      <c r="BJ97" s="728"/>
      <c r="BK97" s="728"/>
    </row>
    <row r="98" spans="1:67" ht="4.5" customHeight="1" x14ac:dyDescent="0.2">
      <c r="A98" s="157"/>
      <c r="B98" s="157"/>
      <c r="C98" s="168"/>
      <c r="D98" s="168"/>
      <c r="E98" s="168"/>
      <c r="F98" s="168"/>
      <c r="G98" s="168"/>
      <c r="H98" s="168"/>
      <c r="I98" s="168"/>
      <c r="J98" s="168"/>
      <c r="K98" s="168"/>
      <c r="L98" s="168"/>
      <c r="M98" s="168"/>
      <c r="N98" s="168"/>
      <c r="O98" s="168"/>
      <c r="P98" s="168"/>
      <c r="Q98" s="168"/>
      <c r="R98" s="168"/>
      <c r="S98" s="168"/>
      <c r="T98" s="168"/>
      <c r="U98" s="168"/>
      <c r="V98" s="168"/>
      <c r="W98" s="168"/>
      <c r="X98" s="168"/>
      <c r="Y98" s="168"/>
      <c r="Z98" s="168"/>
      <c r="AA98" s="168"/>
      <c r="AB98" s="168"/>
      <c r="AC98" s="168"/>
      <c r="AD98" s="168"/>
      <c r="AE98" s="168"/>
      <c r="AF98" s="156"/>
      <c r="AG98" s="159"/>
      <c r="AH98" s="163"/>
      <c r="AI98" s="214"/>
      <c r="AJ98" s="214"/>
      <c r="AK98" s="214"/>
      <c r="AL98" s="214"/>
      <c r="AM98" s="214"/>
      <c r="AN98" s="214"/>
      <c r="AO98" s="214"/>
      <c r="AP98" s="214"/>
      <c r="AQ98" s="214"/>
      <c r="AR98" s="214"/>
      <c r="AS98" s="214"/>
      <c r="AT98" s="214"/>
      <c r="AU98" s="214"/>
      <c r="AV98" s="214"/>
      <c r="AW98" s="214"/>
      <c r="AX98" s="214"/>
      <c r="AY98" s="214"/>
      <c r="AZ98" s="214"/>
      <c r="BA98" s="214"/>
      <c r="BB98" s="214"/>
      <c r="BC98" s="214"/>
      <c r="BD98" s="214"/>
      <c r="BE98" s="214"/>
      <c r="BF98" s="214"/>
      <c r="BG98" s="214"/>
      <c r="BH98" s="214"/>
      <c r="BI98" s="214"/>
      <c r="BJ98" s="214"/>
      <c r="BK98" s="214"/>
    </row>
    <row r="99" spans="1:67" ht="12" customHeight="1" x14ac:dyDescent="0.2">
      <c r="A99" s="731" t="s">
        <v>475</v>
      </c>
      <c r="B99" s="731"/>
      <c r="C99" s="731"/>
      <c r="D99" s="731"/>
      <c r="E99" s="731"/>
      <c r="F99" s="731"/>
      <c r="G99" s="731"/>
      <c r="H99" s="731"/>
      <c r="I99" s="731"/>
      <c r="J99" s="731"/>
      <c r="K99" s="731"/>
      <c r="L99" s="731"/>
      <c r="M99" s="731"/>
      <c r="N99" s="731"/>
      <c r="O99" s="731"/>
      <c r="P99" s="731"/>
      <c r="Q99" s="731"/>
      <c r="R99" s="731"/>
      <c r="S99" s="731"/>
      <c r="T99" s="731"/>
      <c r="U99" s="731"/>
      <c r="V99" s="731"/>
      <c r="W99" s="731"/>
      <c r="X99" s="731"/>
      <c r="Y99" s="731"/>
      <c r="Z99" s="731"/>
      <c r="AA99" s="731"/>
      <c r="AB99" s="731"/>
      <c r="AC99" s="731"/>
      <c r="AD99" s="731"/>
      <c r="AE99" s="731"/>
      <c r="AF99" s="731"/>
      <c r="AG99" s="731"/>
      <c r="AH99" s="731"/>
      <c r="AI99" s="731"/>
      <c r="AJ99" s="731"/>
      <c r="AK99" s="731"/>
      <c r="AL99" s="731"/>
      <c r="AM99" s="731"/>
      <c r="AN99" s="731"/>
      <c r="AO99" s="731"/>
      <c r="AP99" s="731"/>
      <c r="AQ99" s="731"/>
      <c r="AR99" s="731"/>
      <c r="AS99" s="731"/>
      <c r="AT99" s="731"/>
      <c r="AU99" s="731"/>
      <c r="AV99" s="731"/>
      <c r="AW99" s="731"/>
      <c r="AX99" s="731"/>
      <c r="AY99" s="731"/>
      <c r="AZ99" s="731"/>
      <c r="BA99" s="731"/>
      <c r="BB99" s="731"/>
      <c r="BC99" s="731"/>
      <c r="BD99" s="731"/>
      <c r="BE99" s="731"/>
      <c r="BF99" s="731"/>
      <c r="BG99" s="731"/>
      <c r="BH99" s="731"/>
      <c r="BI99" s="731"/>
      <c r="BJ99" s="731"/>
      <c r="BK99" s="731"/>
    </row>
    <row r="100" spans="1:67" ht="3.75" customHeight="1" x14ac:dyDescent="0.2">
      <c r="A100" s="154"/>
      <c r="B100" s="154"/>
      <c r="C100" s="153"/>
      <c r="D100" s="153"/>
      <c r="E100" s="153"/>
      <c r="F100" s="153"/>
      <c r="G100" s="153"/>
      <c r="H100" s="153"/>
      <c r="I100" s="153"/>
      <c r="J100" s="153"/>
      <c r="K100" s="153"/>
      <c r="L100" s="153"/>
      <c r="M100" s="153"/>
      <c r="N100" s="153"/>
      <c r="O100" s="153"/>
      <c r="P100" s="153"/>
      <c r="Q100" s="153"/>
      <c r="R100" s="153"/>
      <c r="S100" s="153"/>
      <c r="T100" s="153"/>
      <c r="U100" s="153"/>
      <c r="V100" s="153"/>
      <c r="W100" s="153"/>
      <c r="X100" s="153"/>
      <c r="Y100" s="153"/>
      <c r="Z100" s="153"/>
      <c r="AA100" s="153"/>
      <c r="AB100" s="153"/>
      <c r="AC100" s="153"/>
      <c r="AD100" s="153"/>
      <c r="AE100" s="153"/>
      <c r="AF100" s="153"/>
      <c r="AG100" s="153"/>
      <c r="AH100" s="153"/>
      <c r="AI100" s="153"/>
      <c r="AJ100" s="153"/>
      <c r="AK100" s="153"/>
      <c r="AL100" s="153"/>
      <c r="AM100" s="153"/>
      <c r="AN100" s="153"/>
      <c r="AO100" s="153"/>
      <c r="AP100" s="153"/>
      <c r="AQ100" s="153"/>
      <c r="AR100" s="153"/>
      <c r="AS100" s="153"/>
      <c r="AT100" s="153"/>
      <c r="AU100" s="153"/>
      <c r="AV100" s="153"/>
      <c r="AW100" s="153"/>
      <c r="AX100" s="153"/>
      <c r="AY100" s="153"/>
      <c r="AZ100" s="153"/>
      <c r="BA100" s="153"/>
      <c r="BB100" s="153"/>
      <c r="BC100" s="153"/>
      <c r="BD100" s="153"/>
      <c r="BE100" s="153"/>
      <c r="BF100" s="153"/>
      <c r="BG100" s="153"/>
      <c r="BH100" s="153"/>
      <c r="BI100" s="153"/>
      <c r="BJ100" s="157"/>
      <c r="BK100" s="157"/>
      <c r="BO100" s="124"/>
    </row>
    <row r="101" spans="1:67" ht="12" customHeight="1" x14ac:dyDescent="0.2">
      <c r="A101" s="747" t="s">
        <v>869</v>
      </c>
      <c r="B101" s="748"/>
      <c r="C101" s="748"/>
      <c r="D101" s="748"/>
      <c r="E101" s="748"/>
      <c r="F101" s="748"/>
      <c r="G101" s="748"/>
      <c r="H101" s="748"/>
      <c r="I101" s="748"/>
      <c r="J101" s="748"/>
      <c r="K101" s="748"/>
      <c r="L101" s="748"/>
      <c r="M101" s="748"/>
      <c r="N101" s="748"/>
      <c r="O101" s="748"/>
      <c r="P101" s="748"/>
      <c r="Q101" s="748"/>
      <c r="R101" s="748"/>
      <c r="S101" s="748"/>
      <c r="T101" s="748"/>
      <c r="U101" s="748"/>
      <c r="V101" s="748"/>
      <c r="W101" s="748"/>
      <c r="X101" s="748"/>
      <c r="Y101" s="748"/>
      <c r="Z101" s="748"/>
      <c r="AA101" s="748"/>
      <c r="AB101" s="748"/>
      <c r="AC101" s="748"/>
      <c r="AD101" s="748"/>
      <c r="AE101" s="748"/>
      <c r="AF101" s="170"/>
      <c r="AG101" s="747" t="s">
        <v>870</v>
      </c>
      <c r="AH101" s="748"/>
      <c r="AI101" s="748"/>
      <c r="AJ101" s="748"/>
      <c r="AK101" s="748"/>
      <c r="AL101" s="748"/>
      <c r="AM101" s="748"/>
      <c r="AN101" s="748"/>
      <c r="AO101" s="748"/>
      <c r="AP101" s="748"/>
      <c r="AQ101" s="748"/>
      <c r="AR101" s="748"/>
      <c r="AS101" s="748"/>
      <c r="AT101" s="748"/>
      <c r="AU101" s="748"/>
      <c r="AV101" s="748"/>
      <c r="AW101" s="748"/>
      <c r="AX101" s="748"/>
      <c r="AY101" s="748"/>
      <c r="AZ101" s="748"/>
      <c r="BA101" s="748"/>
      <c r="BB101" s="748"/>
      <c r="BC101" s="748"/>
      <c r="BD101" s="748"/>
      <c r="BE101" s="748"/>
      <c r="BF101" s="748"/>
      <c r="BG101" s="748"/>
      <c r="BH101" s="748"/>
      <c r="BI101" s="748"/>
      <c r="BJ101" s="748"/>
      <c r="BK101" s="749"/>
    </row>
    <row r="102" spans="1:67" ht="12" customHeight="1" x14ac:dyDescent="0.2">
      <c r="A102" s="171"/>
      <c r="B102" s="162"/>
      <c r="C102" s="166"/>
      <c r="D102" s="166"/>
      <c r="E102" s="166"/>
      <c r="F102" s="166"/>
      <c r="G102" s="166"/>
      <c r="H102" s="166"/>
      <c r="I102" s="738"/>
      <c r="J102" s="738"/>
      <c r="K102" s="738"/>
      <c r="L102" s="738"/>
      <c r="M102" s="738"/>
      <c r="N102" s="738"/>
      <c r="O102" s="738"/>
      <c r="P102" s="738"/>
      <c r="Q102" s="738"/>
      <c r="R102" s="738"/>
      <c r="S102" s="738"/>
      <c r="T102" s="738"/>
      <c r="U102" s="738"/>
      <c r="V102" s="738"/>
      <c r="W102" s="738"/>
      <c r="X102" s="738"/>
      <c r="Y102" s="738"/>
      <c r="Z102" s="172"/>
      <c r="AA102" s="172"/>
      <c r="AB102" s="172"/>
      <c r="AC102" s="172"/>
      <c r="AD102" s="172"/>
      <c r="AE102" s="172"/>
      <c r="AF102" s="172"/>
      <c r="AG102" s="173"/>
      <c r="AH102" s="161"/>
      <c r="AI102" s="161"/>
      <c r="AJ102" s="161"/>
      <c r="AK102" s="161"/>
      <c r="AL102" s="161"/>
      <c r="AM102" s="161"/>
      <c r="AN102" s="161"/>
      <c r="AO102" s="161"/>
      <c r="AP102" s="161"/>
      <c r="AQ102" s="161"/>
      <c r="AR102" s="161"/>
      <c r="AS102" s="161"/>
      <c r="AT102" s="161"/>
      <c r="AU102" s="161"/>
      <c r="AV102" s="161"/>
      <c r="AW102" s="172"/>
      <c r="AX102" s="172"/>
      <c r="AY102" s="172"/>
      <c r="AZ102" s="172"/>
      <c r="BA102" s="172"/>
      <c r="BB102" s="172"/>
      <c r="BC102" s="172"/>
      <c r="BD102" s="164"/>
      <c r="BE102" s="164"/>
      <c r="BF102" s="164"/>
      <c r="BG102" s="164"/>
      <c r="BH102" s="164"/>
      <c r="BI102" s="164"/>
      <c r="BJ102" s="164"/>
      <c r="BK102" s="174"/>
    </row>
    <row r="103" spans="1:67" ht="12" customHeight="1" x14ac:dyDescent="0.2">
      <c r="A103" s="175"/>
      <c r="B103" s="160"/>
      <c r="C103" s="161"/>
      <c r="D103" s="738" t="s">
        <v>868</v>
      </c>
      <c r="E103" s="738"/>
      <c r="F103" s="738"/>
      <c r="G103" s="738"/>
      <c r="H103" s="738"/>
      <c r="I103" s="738"/>
      <c r="J103" s="738"/>
      <c r="K103" s="738"/>
      <c r="L103" s="738"/>
      <c r="M103" s="738"/>
      <c r="N103" s="738"/>
      <c r="O103" s="738"/>
      <c r="P103" s="738"/>
      <c r="Q103" s="738"/>
      <c r="R103" s="738"/>
      <c r="S103" s="738"/>
      <c r="T103" s="738"/>
      <c r="U103" s="738"/>
      <c r="V103" s="738"/>
      <c r="W103" s="738"/>
      <c r="X103" s="738"/>
      <c r="Y103" s="738"/>
      <c r="Z103" s="738"/>
      <c r="AA103" s="738"/>
      <c r="AB103" s="738"/>
      <c r="AC103" s="738"/>
      <c r="AD103" s="165"/>
      <c r="AE103" s="165"/>
      <c r="AF103" s="165"/>
      <c r="AG103" s="175"/>
      <c r="AH103" s="161"/>
      <c r="AI103" s="161"/>
      <c r="AJ103" s="164"/>
      <c r="AK103" s="164"/>
      <c r="AL103" s="164"/>
      <c r="AM103" s="164"/>
      <c r="AN103" s="164"/>
      <c r="AO103" s="164"/>
      <c r="AP103" s="164"/>
      <c r="AQ103" s="744" t="str">
        <f>SURNAME_KREDITOR&amp;" "&amp;NAME_KREDITOR&amp;" "&amp;FATHERNAME_KREDITOR&amp;" "&amp;G_KREDITOR</f>
        <v>Həsənov Kənan Asdan qızı</v>
      </c>
      <c r="AR103" s="744"/>
      <c r="AS103" s="744"/>
      <c r="AT103" s="744"/>
      <c r="AU103" s="744"/>
      <c r="AV103" s="744"/>
      <c r="AW103" s="744"/>
      <c r="AX103" s="744"/>
      <c r="AY103" s="744"/>
      <c r="AZ103" s="744"/>
      <c r="BA103" s="744"/>
      <c r="BB103" s="744"/>
      <c r="BC103" s="744"/>
      <c r="BD103" s="744"/>
      <c r="BE103" s="744"/>
      <c r="BF103" s="164"/>
      <c r="BG103" s="164"/>
      <c r="BH103" s="164"/>
      <c r="BI103" s="164"/>
      <c r="BJ103" s="164"/>
      <c r="BK103" s="174"/>
    </row>
    <row r="104" spans="1:67" ht="30" customHeight="1" x14ac:dyDescent="0.2">
      <c r="A104" s="175"/>
      <c r="B104" s="164"/>
      <c r="C104" s="165"/>
      <c r="D104" s="165"/>
      <c r="E104" s="738" t="str">
        <f>NAME_BRANCH&amp;" "&amp;POSITION_MENEGER_BRANCH&amp;"
 "&amp;SURNAME_MENEGER_BRANCH&amp;" "&amp;NAME_MENEGER_BRANCH&amp;" "&amp;FATHERNAME_MENEGER_BRANCH&amp;" "&amp;G_MENEGER_BRANCH</f>
        <v>Ağcabədi  Filialının kredit meneceri
 Əhmədov  Bəhruz  Tofiq  oğlu</v>
      </c>
      <c r="F104" s="738"/>
      <c r="G104" s="738"/>
      <c r="H104" s="738"/>
      <c r="I104" s="738"/>
      <c r="J104" s="738"/>
      <c r="K104" s="738"/>
      <c r="L104" s="738"/>
      <c r="M104" s="738"/>
      <c r="N104" s="738"/>
      <c r="O104" s="738"/>
      <c r="P104" s="738"/>
      <c r="Q104" s="738"/>
      <c r="R104" s="738"/>
      <c r="S104" s="738"/>
      <c r="T104" s="738"/>
      <c r="U104" s="738"/>
      <c r="V104" s="738"/>
      <c r="W104" s="738"/>
      <c r="X104" s="738"/>
      <c r="Y104" s="738"/>
      <c r="Z104" s="738"/>
      <c r="AA104" s="738"/>
      <c r="AB104" s="164"/>
      <c r="AC104" s="164"/>
      <c r="AD104" s="164"/>
      <c r="AE104" s="164"/>
      <c r="AF104" s="164"/>
      <c r="AG104" s="176"/>
      <c r="AH104" s="743" t="str">
        <f>IF(OR(AQ104=0,AQ104=""),"","Şəxsiyyət vəsiqəsi: ")</f>
        <v xml:space="preserve">Şəxsiyyət vəsiqəsi: </v>
      </c>
      <c r="AI104" s="743"/>
      <c r="AJ104" s="743"/>
      <c r="AK104" s="743"/>
      <c r="AL104" s="743"/>
      <c r="AM104" s="743"/>
      <c r="AN104" s="743"/>
      <c r="AO104" s="743"/>
      <c r="AP104" s="743"/>
      <c r="AQ104" s="709" t="str">
        <f>IF(OR(SHV_SN_KREDITOR=0,SHV_D_KREDITOR=0,SHV_R_KREDITOR=0,SHV_SN_KREDITOR="",SHV_D_KREDITOR="",SHV_R_KREDITOR=""),"",SHV_SN_KREDITOR&amp;"  "&amp;SHV_D_KREDITOR_SOZLE&amp;" "&amp;SHV_R_KREDITOR&amp;" tərəfindən verilmişdir.")</f>
        <v>AZE № 14577224  «27» May 2014-cü il Mingəçevir ŞPŞ tərəfindən verilmişdir.</v>
      </c>
      <c r="AR104" s="709"/>
      <c r="AS104" s="709"/>
      <c r="AT104" s="709"/>
      <c r="AU104" s="709"/>
      <c r="AV104" s="709"/>
      <c r="AW104" s="709"/>
      <c r="AX104" s="709"/>
      <c r="AY104" s="709"/>
      <c r="AZ104" s="709"/>
      <c r="BA104" s="709"/>
      <c r="BB104" s="709"/>
      <c r="BC104" s="709"/>
      <c r="BD104" s="709"/>
      <c r="BE104" s="709"/>
      <c r="BF104" s="709"/>
      <c r="BG104" s="709"/>
      <c r="BH104" s="709"/>
      <c r="BI104" s="709"/>
      <c r="BJ104" s="164"/>
      <c r="BK104" s="174"/>
    </row>
    <row r="105" spans="1:67" ht="12" customHeight="1" x14ac:dyDescent="0.2">
      <c r="A105" s="175"/>
      <c r="B105" s="164"/>
      <c r="C105" s="164"/>
      <c r="D105" s="164"/>
      <c r="E105" s="164"/>
      <c r="F105" s="164"/>
      <c r="G105" s="742" t="s">
        <v>33</v>
      </c>
      <c r="H105" s="742"/>
      <c r="I105" s="742"/>
      <c r="J105" s="742"/>
      <c r="K105" s="709" t="str">
        <f>NAME_REGION &amp;", "&amp;ADDRESS_REGION</f>
        <v>Ağcabədi şəhəri, İ.Qayıbov 2</v>
      </c>
      <c r="L105" s="709"/>
      <c r="M105" s="709"/>
      <c r="N105" s="709"/>
      <c r="O105" s="709"/>
      <c r="P105" s="709"/>
      <c r="Q105" s="709"/>
      <c r="R105" s="709"/>
      <c r="S105" s="709"/>
      <c r="T105" s="709"/>
      <c r="U105" s="709"/>
      <c r="V105" s="709"/>
      <c r="W105" s="709"/>
      <c r="X105" s="709"/>
      <c r="Y105" s="709"/>
      <c r="Z105" s="709"/>
      <c r="AA105" s="709"/>
      <c r="AB105" s="709"/>
      <c r="AC105" s="164"/>
      <c r="AD105" s="164"/>
      <c r="AE105" s="164"/>
      <c r="AF105" s="164"/>
      <c r="AG105" s="175"/>
      <c r="AH105" s="164"/>
      <c r="AI105" s="164"/>
      <c r="AJ105" s="164"/>
      <c r="AK105" s="164"/>
      <c r="AL105" s="164"/>
      <c r="AM105" s="164"/>
      <c r="AN105" s="164"/>
      <c r="AO105" s="164"/>
      <c r="AP105" s="164"/>
      <c r="AQ105" s="709"/>
      <c r="AR105" s="709"/>
      <c r="AS105" s="709"/>
      <c r="AT105" s="709"/>
      <c r="AU105" s="709"/>
      <c r="AV105" s="709"/>
      <c r="AW105" s="709"/>
      <c r="AX105" s="709"/>
      <c r="AY105" s="709"/>
      <c r="AZ105" s="709"/>
      <c r="BA105" s="709"/>
      <c r="BB105" s="709"/>
      <c r="BC105" s="709"/>
      <c r="BD105" s="709"/>
      <c r="BE105" s="709"/>
      <c r="BF105" s="709"/>
      <c r="BG105" s="709"/>
      <c r="BH105" s="709"/>
      <c r="BI105" s="709"/>
      <c r="BJ105" s="164"/>
      <c r="BK105" s="174"/>
    </row>
    <row r="106" spans="1:67" ht="12" customHeight="1" x14ac:dyDescent="0.2">
      <c r="A106" s="178"/>
      <c r="B106" s="160"/>
      <c r="C106" s="160"/>
      <c r="D106" s="160"/>
      <c r="E106" s="164"/>
      <c r="F106" s="164"/>
      <c r="G106" s="742"/>
      <c r="H106" s="742"/>
      <c r="I106" s="742"/>
      <c r="J106" s="742"/>
      <c r="K106" s="709"/>
      <c r="L106" s="709"/>
      <c r="M106" s="709"/>
      <c r="N106" s="709"/>
      <c r="O106" s="709"/>
      <c r="P106" s="709"/>
      <c r="Q106" s="709"/>
      <c r="R106" s="709"/>
      <c r="S106" s="709"/>
      <c r="T106" s="709"/>
      <c r="U106" s="709"/>
      <c r="V106" s="709"/>
      <c r="W106" s="709"/>
      <c r="X106" s="709"/>
      <c r="Y106" s="709"/>
      <c r="Z106" s="709"/>
      <c r="AA106" s="709"/>
      <c r="AB106" s="709"/>
      <c r="AC106" s="164"/>
      <c r="AD106" s="164"/>
      <c r="AE106" s="164"/>
      <c r="AF106" s="164"/>
      <c r="AG106" s="176"/>
      <c r="AH106" s="165"/>
      <c r="AI106" s="164"/>
      <c r="AJ106" s="164"/>
      <c r="AK106" s="164"/>
      <c r="AL106" s="164"/>
      <c r="AM106" s="164"/>
      <c r="AN106" s="741" t="str">
        <f>IF(OR(AQ106=0,AQ106=""),"","Ünvan:" )</f>
        <v>Ünvan:</v>
      </c>
      <c r="AO106" s="741"/>
      <c r="AP106" s="741"/>
      <c r="AQ106" s="736" t="str">
        <f>IF(OR(ADDRESS_KREDITOR=0,ADDRESS_KREDITOR=""),"",ADDRESS_KREDITOR)</f>
        <v xml:space="preserve">Mingəçevir şəh., H.Əliyev PR., ev. 76/1, m. 22 </v>
      </c>
      <c r="AR106" s="736"/>
      <c r="AS106" s="736"/>
      <c r="AT106" s="736"/>
      <c r="AU106" s="736"/>
      <c r="AV106" s="736"/>
      <c r="AW106" s="736"/>
      <c r="AX106" s="736"/>
      <c r="AY106" s="736"/>
      <c r="AZ106" s="736"/>
      <c r="BA106" s="736"/>
      <c r="BB106" s="736"/>
      <c r="BC106" s="736"/>
      <c r="BD106" s="736"/>
      <c r="BE106" s="736"/>
      <c r="BF106" s="736"/>
      <c r="BG106" s="736"/>
      <c r="BH106" s="736"/>
      <c r="BI106" s="736"/>
      <c r="BJ106" s="164"/>
      <c r="BK106" s="174"/>
    </row>
    <row r="107" spans="1:67" ht="12" customHeight="1" x14ac:dyDescent="0.2">
      <c r="A107" s="178"/>
      <c r="B107" s="160"/>
      <c r="C107" s="160"/>
      <c r="D107" s="164"/>
      <c r="E107" s="164"/>
      <c r="F107" s="164"/>
      <c r="G107" s="743" t="str">
        <f>IF(OR(K107=0,K107=""),"","Telefon:")</f>
        <v>Telefon:</v>
      </c>
      <c r="H107" s="743"/>
      <c r="I107" s="743"/>
      <c r="J107" s="743"/>
      <c r="K107" s="744" t="str">
        <f>IF(OR(NUM_BRANCH=0,NUM_BRANCH=""),"",NUM_BRANCH)</f>
        <v>(+994 24) 274 13 23</v>
      </c>
      <c r="L107" s="744"/>
      <c r="M107" s="744"/>
      <c r="N107" s="744"/>
      <c r="O107" s="744"/>
      <c r="P107" s="744"/>
      <c r="Q107" s="744"/>
      <c r="R107" s="744"/>
      <c r="S107" s="744"/>
      <c r="T107" s="744"/>
      <c r="U107" s="744"/>
      <c r="V107" s="744"/>
      <c r="W107" s="744"/>
      <c r="X107" s="744"/>
      <c r="Y107" s="744"/>
      <c r="Z107" s="164"/>
      <c r="AA107" s="164"/>
      <c r="AB107" s="165"/>
      <c r="AC107" s="164"/>
      <c r="AD107" s="179"/>
      <c r="AE107" s="179"/>
      <c r="AF107" s="179"/>
      <c r="AG107" s="176"/>
      <c r="AH107" s="165"/>
      <c r="AI107" s="164"/>
      <c r="AJ107" s="164"/>
      <c r="AK107" s="164"/>
      <c r="AL107" s="164"/>
      <c r="AM107" s="164"/>
      <c r="AN107" s="179"/>
      <c r="AO107" s="179"/>
      <c r="AP107" s="179"/>
      <c r="AQ107" s="736"/>
      <c r="AR107" s="736"/>
      <c r="AS107" s="736"/>
      <c r="AT107" s="736"/>
      <c r="AU107" s="736"/>
      <c r="AV107" s="736"/>
      <c r="AW107" s="736"/>
      <c r="AX107" s="736"/>
      <c r="AY107" s="736"/>
      <c r="AZ107" s="736"/>
      <c r="BA107" s="736"/>
      <c r="BB107" s="736"/>
      <c r="BC107" s="736"/>
      <c r="BD107" s="736"/>
      <c r="BE107" s="736"/>
      <c r="BF107" s="736"/>
      <c r="BG107" s="736"/>
      <c r="BH107" s="736"/>
      <c r="BI107" s="736"/>
      <c r="BJ107" s="164"/>
      <c r="BK107" s="174"/>
    </row>
    <row r="108" spans="1:67" ht="12" customHeight="1" x14ac:dyDescent="0.2">
      <c r="A108" s="175"/>
      <c r="B108" s="160"/>
      <c r="C108" s="161"/>
      <c r="D108" s="164"/>
      <c r="E108" s="164"/>
      <c r="F108" s="164"/>
      <c r="G108" s="743" t="str">
        <f>IF(OR(K108=0,K108=""),"","Faks:")</f>
        <v>Faks:</v>
      </c>
      <c r="H108" s="743"/>
      <c r="I108" s="743"/>
      <c r="J108" s="743"/>
      <c r="K108" s="744" t="str">
        <f>IF(OR(FAX_BRANCH=0,FAX_BRANCH=""),"",FAX_BRANCH)</f>
        <v>(+994 24) 274 20 24</v>
      </c>
      <c r="L108" s="744"/>
      <c r="M108" s="744"/>
      <c r="N108" s="744"/>
      <c r="O108" s="744"/>
      <c r="P108" s="744"/>
      <c r="Q108" s="744"/>
      <c r="R108" s="744"/>
      <c r="S108" s="744"/>
      <c r="T108" s="744"/>
      <c r="U108" s="744"/>
      <c r="V108" s="744"/>
      <c r="W108" s="744"/>
      <c r="X108" s="744"/>
      <c r="Y108" s="744"/>
      <c r="Z108" s="164"/>
      <c r="AA108" s="164"/>
      <c r="AB108" s="165"/>
      <c r="AC108" s="164"/>
      <c r="AD108" s="164"/>
      <c r="AE108" s="164"/>
      <c r="AF108" s="164"/>
      <c r="AG108" s="176"/>
      <c r="AH108" s="165"/>
      <c r="AI108" s="164"/>
      <c r="AJ108" s="164"/>
      <c r="AK108" s="164"/>
      <c r="AL108" s="164"/>
      <c r="AM108" s="746" t="str">
        <f>IF(OR(AQ108=0,AQ108=""),"","Telefon:")</f>
        <v>Telefon:</v>
      </c>
      <c r="AN108" s="746"/>
      <c r="AO108" s="746"/>
      <c r="AP108" s="746"/>
      <c r="AQ108" s="745" t="str">
        <f>IF(OR(NUM_1_KREDITOR=0,NUM_1_KREDITOR=""),"",NUM_1_KREDITOR&amp;"; ")&amp;IF(OR(NUM_2_KREDITOR=0,NUM_2_KREDITOR=""),"",NUM_2_KREDITOR&amp;"; ")</f>
        <v xml:space="preserve">055-915-96-56; </v>
      </c>
      <c r="AR108" s="745"/>
      <c r="AS108" s="745"/>
      <c r="AT108" s="745"/>
      <c r="AU108" s="745"/>
      <c r="AV108" s="745"/>
      <c r="AW108" s="745"/>
      <c r="AX108" s="745"/>
      <c r="AY108" s="745"/>
      <c r="AZ108" s="745"/>
      <c r="BA108" s="745"/>
      <c r="BB108" s="745"/>
      <c r="BC108" s="745"/>
      <c r="BD108" s="745"/>
      <c r="BE108" s="745"/>
      <c r="BF108" s="164"/>
      <c r="BG108" s="164"/>
      <c r="BH108" s="164"/>
      <c r="BI108" s="164"/>
      <c r="BJ108" s="164"/>
      <c r="BK108" s="174"/>
    </row>
    <row r="109" spans="1:67" ht="4.5" customHeight="1" x14ac:dyDescent="0.2">
      <c r="A109" s="178"/>
      <c r="B109" s="160"/>
      <c r="C109" s="160"/>
      <c r="D109" s="180"/>
      <c r="E109" s="180"/>
      <c r="F109" s="180"/>
      <c r="G109" s="164"/>
      <c r="H109" s="164"/>
      <c r="I109" s="164"/>
      <c r="J109" s="164"/>
      <c r="K109" s="180"/>
      <c r="L109" s="180"/>
      <c r="M109" s="180"/>
      <c r="N109" s="180"/>
      <c r="O109" s="180"/>
      <c r="P109" s="180"/>
      <c r="Q109" s="180"/>
      <c r="R109" s="180"/>
      <c r="S109" s="180"/>
      <c r="T109" s="180"/>
      <c r="U109" s="180"/>
      <c r="V109" s="180"/>
      <c r="W109" s="180"/>
      <c r="X109" s="180"/>
      <c r="Y109" s="180"/>
      <c r="Z109" s="160"/>
      <c r="AA109" s="160"/>
      <c r="AB109" s="166"/>
      <c r="AC109" s="166"/>
      <c r="AD109" s="166"/>
      <c r="AE109" s="166"/>
      <c r="AF109" s="166"/>
      <c r="AG109" s="181"/>
      <c r="AH109" s="164"/>
      <c r="AI109" s="164"/>
      <c r="AJ109" s="164"/>
      <c r="AK109" s="164"/>
      <c r="AL109" s="164"/>
      <c r="AM109" s="164"/>
      <c r="AN109" s="164"/>
      <c r="AO109" s="164"/>
      <c r="AP109" s="164"/>
      <c r="AQ109" s="164"/>
      <c r="AR109" s="164"/>
      <c r="AS109" s="164"/>
      <c r="AT109" s="164"/>
      <c r="AU109" s="164"/>
      <c r="AV109" s="164"/>
      <c r="AW109" s="164"/>
      <c r="AX109" s="164"/>
      <c r="AY109" s="164"/>
      <c r="AZ109" s="164"/>
      <c r="BA109" s="164"/>
      <c r="BB109" s="164"/>
      <c r="BC109" s="164"/>
      <c r="BD109" s="164"/>
      <c r="BE109" s="164"/>
      <c r="BF109" s="164"/>
      <c r="BG109" s="164"/>
      <c r="BH109" s="164"/>
      <c r="BI109" s="164"/>
      <c r="BJ109" s="164"/>
      <c r="BK109" s="174"/>
    </row>
    <row r="110" spans="1:67" ht="12" customHeight="1" x14ac:dyDescent="0.2">
      <c r="A110" s="175"/>
      <c r="B110" s="164"/>
      <c r="C110" s="165"/>
      <c r="D110" s="165"/>
      <c r="E110" s="164"/>
      <c r="F110" s="164"/>
      <c r="G110" s="739" t="s">
        <v>32</v>
      </c>
      <c r="H110" s="739"/>
      <c r="I110" s="739"/>
      <c r="J110" s="739"/>
      <c r="K110" s="164"/>
      <c r="L110" s="164"/>
      <c r="M110" s="161"/>
      <c r="N110" s="164"/>
      <c r="O110" s="164"/>
      <c r="P110" s="164"/>
      <c r="Q110" s="164"/>
      <c r="R110" s="164"/>
      <c r="S110" s="164"/>
      <c r="T110" s="164"/>
      <c r="U110" s="164"/>
      <c r="V110" s="164"/>
      <c r="W110" s="164"/>
      <c r="X110" s="164"/>
      <c r="Y110" s="164"/>
      <c r="Z110" s="165"/>
      <c r="AA110" s="164"/>
      <c r="AB110" s="164"/>
      <c r="AC110" s="164"/>
      <c r="AD110" s="164"/>
      <c r="AE110" s="164"/>
      <c r="AF110" s="164"/>
      <c r="AG110" s="176"/>
      <c r="AH110" s="165"/>
      <c r="AI110" s="164"/>
      <c r="AJ110" s="164"/>
      <c r="AK110" s="164"/>
      <c r="AL110" s="164"/>
      <c r="AM110" s="739" t="s">
        <v>32</v>
      </c>
      <c r="AN110" s="739"/>
      <c r="AO110" s="739"/>
      <c r="AP110" s="739"/>
      <c r="AQ110" s="739"/>
      <c r="AR110" s="164"/>
      <c r="AS110" s="164"/>
      <c r="AT110" s="164"/>
      <c r="AU110" s="164"/>
      <c r="AV110" s="164"/>
      <c r="AW110" s="164"/>
      <c r="AX110" s="164"/>
      <c r="AY110" s="164"/>
      <c r="AZ110" s="164"/>
      <c r="BA110" s="164"/>
      <c r="BB110" s="164"/>
      <c r="BC110" s="164"/>
      <c r="BD110" s="164"/>
      <c r="BE110" s="164"/>
      <c r="BF110" s="164"/>
      <c r="BG110" s="164"/>
      <c r="BH110" s="164"/>
      <c r="BI110" s="164"/>
      <c r="BJ110" s="164"/>
      <c r="BK110" s="174"/>
    </row>
    <row r="111" spans="1:67" ht="12" customHeight="1" x14ac:dyDescent="0.2">
      <c r="A111" s="182"/>
      <c r="B111" s="313"/>
      <c r="C111" s="314"/>
      <c r="D111" s="314" t="s">
        <v>413</v>
      </c>
      <c r="E111" s="183"/>
      <c r="F111" s="183"/>
      <c r="G111" s="314"/>
      <c r="H111" s="314"/>
      <c r="I111" s="183"/>
      <c r="J111" s="314"/>
      <c r="K111" s="314"/>
      <c r="L111" s="314"/>
      <c r="M111" s="314"/>
      <c r="N111" s="314"/>
      <c r="O111" s="314"/>
      <c r="P111" s="314"/>
      <c r="Q111" s="314"/>
      <c r="R111" s="314"/>
      <c r="S111" s="314"/>
      <c r="T111" s="314"/>
      <c r="U111" s="314"/>
      <c r="V111" s="314"/>
      <c r="W111" s="314"/>
      <c r="X111" s="314"/>
      <c r="Y111" s="314"/>
      <c r="Z111" s="314"/>
      <c r="AA111" s="314"/>
      <c r="AB111" s="183"/>
      <c r="AC111" s="314"/>
      <c r="AD111" s="314"/>
      <c r="AE111" s="314"/>
      <c r="AF111" s="314"/>
      <c r="AG111" s="315"/>
      <c r="AH111" s="314"/>
      <c r="AI111" s="314"/>
      <c r="AJ111" s="314"/>
      <c r="AK111" s="183"/>
      <c r="AL111" s="314" t="s">
        <v>414</v>
      </c>
      <c r="AM111" s="183"/>
      <c r="AN111" s="314"/>
      <c r="AO111" s="314"/>
      <c r="AP111" s="314"/>
      <c r="AQ111" s="314"/>
      <c r="AR111" s="314"/>
      <c r="AS111" s="314"/>
      <c r="AT111" s="314"/>
      <c r="AU111" s="314"/>
      <c r="AV111" s="314"/>
      <c r="AW111" s="314"/>
      <c r="AX111" s="314"/>
      <c r="AY111" s="314"/>
      <c r="AZ111" s="314"/>
      <c r="BA111" s="314"/>
      <c r="BB111" s="314"/>
      <c r="BC111" s="183"/>
      <c r="BD111" s="183"/>
      <c r="BE111" s="183"/>
      <c r="BF111" s="183"/>
      <c r="BG111" s="183"/>
      <c r="BH111" s="183"/>
      <c r="BI111" s="183"/>
      <c r="BJ111" s="183"/>
      <c r="BK111" s="184"/>
    </row>
    <row r="112" spans="1:67" ht="9.75" customHeight="1" x14ac:dyDescent="0.2">
      <c r="A112" s="120"/>
      <c r="B112" s="120"/>
      <c r="C112" s="126"/>
      <c r="D112" s="126"/>
      <c r="E112" s="126"/>
      <c r="F112" s="126"/>
      <c r="G112" s="126"/>
      <c r="H112" s="126"/>
      <c r="I112" s="126"/>
      <c r="J112" s="126"/>
      <c r="K112" s="126"/>
      <c r="L112" s="126"/>
      <c r="M112" s="126"/>
      <c r="N112" s="126"/>
      <c r="O112" s="126"/>
    </row>
    <row r="113" spans="1:63" ht="9.75" customHeight="1" x14ac:dyDescent="0.2">
      <c r="A113" s="120"/>
      <c r="B113" s="120"/>
      <c r="C113" s="126"/>
      <c r="D113" s="126"/>
      <c r="E113" s="126"/>
      <c r="F113" s="126"/>
      <c r="G113" s="126"/>
      <c r="H113" s="126"/>
      <c r="I113" s="126"/>
      <c r="J113" s="126"/>
      <c r="K113" s="126"/>
      <c r="L113" s="126"/>
      <c r="M113" s="126"/>
      <c r="N113" s="126"/>
      <c r="O113" s="126"/>
    </row>
    <row r="114" spans="1:63" ht="9.75" customHeight="1" x14ac:dyDescent="0.2">
      <c r="A114" s="120"/>
      <c r="B114" s="120"/>
      <c r="C114" s="126"/>
      <c r="D114" s="126"/>
      <c r="E114" s="126"/>
      <c r="F114" s="126"/>
      <c r="G114" s="126"/>
      <c r="H114" s="126"/>
      <c r="I114" s="126"/>
      <c r="J114" s="126"/>
      <c r="K114" s="126"/>
      <c r="L114" s="126"/>
      <c r="M114" s="126"/>
      <c r="N114" s="126"/>
      <c r="O114" s="126"/>
    </row>
    <row r="115" spans="1:63" s="127" customFormat="1" ht="9.75" customHeight="1" x14ac:dyDescent="0.2">
      <c r="A115" s="120"/>
      <c r="B115" s="120"/>
      <c r="C115" s="126"/>
      <c r="D115" s="126"/>
      <c r="E115" s="126"/>
      <c r="F115" s="126"/>
      <c r="G115" s="126"/>
      <c r="H115" s="126"/>
      <c r="I115" s="126"/>
      <c r="J115" s="126"/>
      <c r="K115" s="126"/>
      <c r="L115" s="126"/>
      <c r="M115" s="126"/>
      <c r="N115" s="126"/>
      <c r="O115" s="126"/>
      <c r="P115" s="119"/>
      <c r="Q115" s="119"/>
      <c r="R115" s="119"/>
      <c r="S115" s="119"/>
      <c r="T115" s="119"/>
      <c r="U115" s="119"/>
      <c r="V115" s="119"/>
      <c r="W115" s="119"/>
      <c r="X115" s="119"/>
      <c r="Y115" s="119"/>
      <c r="Z115" s="119"/>
      <c r="AA115" s="119"/>
      <c r="AB115" s="119"/>
      <c r="AC115" s="119"/>
      <c r="AD115" s="119"/>
      <c r="AE115" s="119"/>
      <c r="AF115" s="119"/>
      <c r="AG115" s="119"/>
      <c r="AH115" s="120"/>
      <c r="AI115" s="120"/>
      <c r="AJ115" s="119"/>
      <c r="AK115" s="119"/>
      <c r="AL115" s="119"/>
      <c r="AM115" s="119"/>
      <c r="AN115" s="119"/>
      <c r="AO115" s="119"/>
      <c r="AP115" s="119"/>
      <c r="AQ115" s="119"/>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row>
    <row r="116" spans="1:63" s="124" customFormat="1" ht="9.75" customHeight="1" x14ac:dyDescent="0.2">
      <c r="A116" s="120"/>
      <c r="B116" s="120"/>
      <c r="C116" s="126"/>
      <c r="D116" s="126"/>
      <c r="E116" s="126"/>
      <c r="F116" s="126"/>
      <c r="G116" s="126"/>
      <c r="H116" s="126"/>
      <c r="I116" s="126"/>
      <c r="J116" s="126"/>
      <c r="K116" s="126"/>
      <c r="L116" s="126"/>
      <c r="M116" s="126"/>
      <c r="N116" s="126"/>
      <c r="O116" s="126"/>
      <c r="P116" s="119"/>
      <c r="Q116" s="119"/>
      <c r="R116" s="119"/>
      <c r="S116" s="119"/>
      <c r="T116" s="119"/>
      <c r="U116" s="119"/>
      <c r="V116" s="119"/>
      <c r="W116" s="119"/>
      <c r="X116" s="119"/>
      <c r="Y116" s="119"/>
      <c r="Z116" s="119"/>
      <c r="AA116" s="119"/>
      <c r="AB116" s="119"/>
      <c r="AC116" s="119"/>
      <c r="AD116" s="119"/>
      <c r="AE116" s="119"/>
      <c r="AF116" s="119"/>
      <c r="AG116" s="119"/>
      <c r="AH116" s="120"/>
      <c r="AI116" s="120"/>
      <c r="AJ116" s="119"/>
      <c r="AK116" s="119"/>
      <c r="AL116" s="119"/>
      <c r="AM116" s="119"/>
      <c r="AN116" s="119"/>
      <c r="AO116" s="119"/>
      <c r="AP116" s="119"/>
      <c r="AQ116" s="119"/>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row>
    <row r="117" spans="1:63" s="124" customFormat="1" ht="9.75" customHeight="1" x14ac:dyDescent="0.2">
      <c r="A117" s="120"/>
      <c r="B117" s="120"/>
      <c r="C117" s="126"/>
      <c r="D117" s="126"/>
      <c r="E117" s="126"/>
      <c r="F117" s="126"/>
      <c r="G117" s="126"/>
      <c r="H117" s="126"/>
      <c r="I117" s="126"/>
      <c r="J117" s="126"/>
      <c r="K117" s="126"/>
      <c r="L117" s="126"/>
      <c r="M117" s="126"/>
      <c r="N117" s="126"/>
      <c r="O117" s="126"/>
      <c r="P117" s="119"/>
      <c r="Q117" s="119"/>
      <c r="R117" s="119"/>
      <c r="S117" s="119"/>
      <c r="T117" s="119"/>
      <c r="U117" s="119"/>
      <c r="V117" s="119"/>
      <c r="W117" s="119"/>
      <c r="X117" s="119"/>
      <c r="Y117" s="119"/>
      <c r="Z117" s="119"/>
      <c r="AA117" s="119"/>
      <c r="AB117" s="119"/>
      <c r="AC117" s="119"/>
      <c r="AD117" s="119"/>
      <c r="AE117" s="119"/>
      <c r="AF117" s="119"/>
      <c r="AG117" s="119"/>
      <c r="AH117" s="120"/>
      <c r="AI117" s="120"/>
      <c r="AJ117" s="119"/>
      <c r="AK117" s="119"/>
      <c r="AL117" s="119"/>
      <c r="AM117" s="119"/>
      <c r="AN117" s="119"/>
      <c r="AO117" s="119"/>
      <c r="AP117" s="119"/>
      <c r="AQ117" s="119"/>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row>
    <row r="118" spans="1:63" ht="9.75" customHeight="1" x14ac:dyDescent="0.2">
      <c r="A118" s="120"/>
      <c r="B118" s="120"/>
      <c r="C118" s="126"/>
      <c r="D118" s="126"/>
      <c r="E118" s="126"/>
      <c r="F118" s="126"/>
      <c r="G118" s="126"/>
      <c r="H118" s="126"/>
      <c r="I118" s="126"/>
      <c r="J118" s="126"/>
      <c r="K118" s="126"/>
      <c r="L118" s="126"/>
      <c r="M118" s="126"/>
      <c r="N118" s="126"/>
      <c r="O118" s="126"/>
    </row>
    <row r="119" spans="1:63" ht="9.75" customHeight="1" x14ac:dyDescent="0.2">
      <c r="A119" s="120"/>
      <c r="B119" s="120"/>
      <c r="C119" s="126"/>
      <c r="D119" s="126"/>
      <c r="E119" s="126"/>
      <c r="F119" s="126"/>
      <c r="G119" s="126"/>
      <c r="H119" s="126"/>
      <c r="I119" s="126"/>
      <c r="J119" s="126"/>
      <c r="K119" s="126"/>
      <c r="L119" s="126"/>
      <c r="M119" s="126"/>
      <c r="N119" s="126"/>
      <c r="O119" s="126"/>
    </row>
    <row r="120" spans="1:63" ht="9.75" customHeight="1" x14ac:dyDescent="0.2">
      <c r="A120" s="120"/>
      <c r="B120" s="120"/>
      <c r="C120" s="126"/>
      <c r="D120" s="126"/>
      <c r="E120" s="126"/>
      <c r="F120" s="126"/>
      <c r="G120" s="126"/>
      <c r="H120" s="126"/>
      <c r="I120" s="126"/>
      <c r="J120" s="126"/>
      <c r="K120" s="126"/>
      <c r="L120" s="126"/>
      <c r="M120" s="126"/>
      <c r="N120" s="126"/>
      <c r="O120" s="126"/>
    </row>
    <row r="121" spans="1:63" ht="9.75" customHeight="1" x14ac:dyDescent="0.2">
      <c r="A121" s="120"/>
      <c r="B121" s="120"/>
      <c r="C121" s="126"/>
      <c r="D121" s="126"/>
      <c r="E121" s="126"/>
      <c r="F121" s="126"/>
      <c r="G121" s="126"/>
      <c r="H121" s="126"/>
      <c r="I121" s="126"/>
      <c r="J121" s="126"/>
      <c r="K121" s="126"/>
      <c r="L121" s="126"/>
      <c r="M121" s="126"/>
      <c r="N121" s="126"/>
      <c r="O121" s="126"/>
    </row>
    <row r="122" spans="1:63" s="123" customFormat="1" ht="9.75" customHeight="1" x14ac:dyDescent="0.2">
      <c r="A122" s="120"/>
      <c r="B122" s="120"/>
      <c r="C122" s="126"/>
      <c r="D122" s="126"/>
      <c r="E122" s="126"/>
      <c r="F122" s="126"/>
      <c r="G122" s="126"/>
      <c r="H122" s="126"/>
      <c r="I122" s="126"/>
      <c r="J122" s="126"/>
      <c r="K122" s="126"/>
      <c r="L122" s="126"/>
      <c r="M122" s="126"/>
      <c r="N122" s="126"/>
      <c r="O122" s="126"/>
      <c r="P122" s="119"/>
      <c r="Q122" s="119"/>
      <c r="R122" s="119"/>
      <c r="S122" s="119"/>
      <c r="T122" s="119"/>
      <c r="U122" s="119"/>
      <c r="V122" s="119"/>
      <c r="W122" s="119"/>
      <c r="X122" s="119"/>
      <c r="Y122" s="119"/>
      <c r="Z122" s="119"/>
      <c r="AA122" s="119"/>
      <c r="AB122" s="119"/>
      <c r="AC122" s="119"/>
      <c r="AD122" s="119"/>
      <c r="AE122" s="119"/>
      <c r="AF122" s="119"/>
      <c r="AG122" s="119"/>
      <c r="AH122" s="120"/>
      <c r="AI122" s="120"/>
      <c r="AJ122" s="119"/>
      <c r="AK122" s="119"/>
      <c r="AL122" s="119"/>
      <c r="AM122" s="119"/>
      <c r="AN122" s="119"/>
      <c r="AO122" s="119"/>
      <c r="AP122" s="119"/>
      <c r="AQ122" s="119"/>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row>
    <row r="123" spans="1:63" s="123" customFormat="1" ht="9.75" customHeight="1" x14ac:dyDescent="0.2">
      <c r="A123" s="120"/>
      <c r="B123" s="120"/>
      <c r="C123" s="126"/>
      <c r="D123" s="126"/>
      <c r="E123" s="126"/>
      <c r="F123" s="126"/>
      <c r="G123" s="126"/>
      <c r="H123" s="126"/>
      <c r="I123" s="126"/>
      <c r="J123" s="126"/>
      <c r="K123" s="126"/>
      <c r="L123" s="126"/>
      <c r="M123" s="126"/>
      <c r="N123" s="126"/>
      <c r="O123" s="126"/>
      <c r="P123" s="119"/>
      <c r="Q123" s="119"/>
      <c r="R123" s="119"/>
      <c r="S123" s="119"/>
      <c r="T123" s="119"/>
      <c r="U123" s="119"/>
      <c r="V123" s="119"/>
      <c r="W123" s="119"/>
      <c r="X123" s="119"/>
      <c r="Y123" s="119"/>
      <c r="Z123" s="119"/>
      <c r="AA123" s="119"/>
      <c r="AB123" s="119"/>
      <c r="AC123" s="119"/>
      <c r="AD123" s="119"/>
      <c r="AE123" s="119"/>
      <c r="AF123" s="119"/>
      <c r="AG123" s="119"/>
      <c r="AH123" s="120"/>
      <c r="AI123" s="120"/>
      <c r="AJ123" s="119"/>
      <c r="AK123" s="119"/>
      <c r="AL123" s="119"/>
      <c r="AM123" s="119"/>
      <c r="AN123" s="119"/>
      <c r="AO123" s="119"/>
      <c r="AP123" s="119"/>
      <c r="AQ123" s="119"/>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row>
    <row r="124" spans="1:63" s="123" customFormat="1" ht="9.75" customHeight="1" x14ac:dyDescent="0.2">
      <c r="A124" s="120"/>
      <c r="B124" s="120"/>
      <c r="C124" s="126"/>
      <c r="D124" s="126"/>
      <c r="E124" s="126"/>
      <c r="F124" s="126"/>
      <c r="G124" s="126"/>
      <c r="H124" s="126"/>
      <c r="I124" s="126"/>
      <c r="J124" s="126"/>
      <c r="K124" s="126"/>
      <c r="L124" s="126"/>
      <c r="M124" s="126"/>
      <c r="N124" s="126"/>
      <c r="O124" s="126"/>
      <c r="P124" s="119"/>
      <c r="Q124" s="119"/>
      <c r="R124" s="119"/>
      <c r="S124" s="119"/>
      <c r="T124" s="119"/>
      <c r="U124" s="119"/>
      <c r="V124" s="119"/>
      <c r="W124" s="119"/>
      <c r="X124" s="119"/>
      <c r="Y124" s="119"/>
      <c r="Z124" s="119"/>
      <c r="AA124" s="119"/>
      <c r="AB124" s="119"/>
      <c r="AC124" s="119"/>
      <c r="AD124" s="119"/>
      <c r="AE124" s="119"/>
      <c r="AF124" s="119"/>
      <c r="AG124" s="119"/>
      <c r="AH124" s="120"/>
      <c r="AI124" s="120"/>
      <c r="AJ124" s="119"/>
      <c r="AK124" s="119"/>
      <c r="AL124" s="119"/>
      <c r="AM124" s="119"/>
      <c r="AN124" s="119"/>
      <c r="AO124" s="119"/>
      <c r="AP124" s="119"/>
      <c r="AQ124" s="119"/>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row>
    <row r="125" spans="1:63" s="123" customFormat="1" ht="9.75" customHeight="1" x14ac:dyDescent="0.2">
      <c r="A125" s="120"/>
      <c r="B125" s="120"/>
      <c r="C125" s="126"/>
      <c r="D125" s="126"/>
      <c r="E125" s="126"/>
      <c r="F125" s="126"/>
      <c r="G125" s="126"/>
      <c r="H125" s="126"/>
      <c r="I125" s="126"/>
      <c r="J125" s="126"/>
      <c r="K125" s="126"/>
      <c r="L125" s="126"/>
      <c r="M125" s="126"/>
      <c r="N125" s="126"/>
      <c r="O125" s="126"/>
      <c r="P125" s="119"/>
      <c r="Q125" s="119"/>
      <c r="R125" s="119"/>
      <c r="S125" s="119"/>
      <c r="T125" s="119"/>
      <c r="U125" s="119"/>
      <c r="V125" s="119"/>
      <c r="W125" s="119"/>
      <c r="X125" s="119"/>
      <c r="Y125" s="119"/>
      <c r="Z125" s="119"/>
      <c r="AA125" s="119"/>
      <c r="AB125" s="119"/>
      <c r="AC125" s="119"/>
      <c r="AD125" s="119"/>
      <c r="AE125" s="119"/>
      <c r="AF125" s="119"/>
      <c r="AG125" s="119"/>
      <c r="AH125" s="120"/>
      <c r="AI125" s="120"/>
      <c r="AJ125" s="119"/>
      <c r="AK125" s="119"/>
      <c r="AL125" s="119"/>
      <c r="AM125" s="119"/>
      <c r="AN125" s="119"/>
      <c r="AO125" s="119"/>
      <c r="AP125" s="119"/>
      <c r="AQ125" s="119"/>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row>
    <row r="126" spans="1:63" s="123" customFormat="1" ht="9.75" customHeight="1" x14ac:dyDescent="0.2">
      <c r="A126" s="120"/>
      <c r="B126" s="120"/>
      <c r="C126" s="126"/>
      <c r="D126" s="126"/>
      <c r="E126" s="126"/>
      <c r="F126" s="126"/>
      <c r="G126" s="126"/>
      <c r="H126" s="126"/>
      <c r="I126" s="126"/>
      <c r="J126" s="126"/>
      <c r="K126" s="126"/>
      <c r="L126" s="126"/>
      <c r="M126" s="126"/>
      <c r="N126" s="126"/>
      <c r="O126" s="126"/>
      <c r="P126" s="119"/>
      <c r="Q126" s="119"/>
      <c r="R126" s="119"/>
      <c r="S126" s="119"/>
      <c r="T126" s="119"/>
      <c r="U126" s="119"/>
      <c r="V126" s="119"/>
      <c r="W126" s="119"/>
      <c r="X126" s="119"/>
      <c r="Y126" s="119"/>
      <c r="Z126" s="119"/>
      <c r="AA126" s="119"/>
      <c r="AB126" s="119"/>
      <c r="AC126" s="119"/>
      <c r="AD126" s="119"/>
      <c r="AE126" s="119"/>
      <c r="AF126" s="119"/>
      <c r="AG126" s="119"/>
      <c r="AH126" s="120"/>
      <c r="AI126" s="120"/>
      <c r="AJ126" s="119"/>
      <c r="AK126" s="119"/>
      <c r="AL126" s="119"/>
      <c r="AM126" s="119"/>
      <c r="AN126" s="119"/>
      <c r="AO126" s="119"/>
      <c r="AP126" s="119"/>
      <c r="AQ126" s="119"/>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row>
    <row r="127" spans="1:63" s="123" customFormat="1" ht="9.75" customHeight="1" x14ac:dyDescent="0.2">
      <c r="A127" s="120"/>
      <c r="B127" s="120"/>
      <c r="C127" s="126"/>
      <c r="D127" s="126"/>
      <c r="E127" s="126"/>
      <c r="F127" s="126"/>
      <c r="G127" s="126"/>
      <c r="H127" s="126"/>
      <c r="I127" s="126"/>
      <c r="J127" s="126"/>
      <c r="K127" s="126"/>
      <c r="L127" s="126"/>
      <c r="M127" s="126"/>
      <c r="N127" s="126"/>
      <c r="O127" s="126"/>
      <c r="P127" s="119"/>
      <c r="Q127" s="119"/>
      <c r="R127" s="119"/>
      <c r="S127" s="119"/>
      <c r="T127" s="119"/>
      <c r="U127" s="119"/>
      <c r="V127" s="119"/>
      <c r="W127" s="119"/>
      <c r="X127" s="119"/>
      <c r="Y127" s="119"/>
      <c r="Z127" s="119"/>
      <c r="AA127" s="119"/>
      <c r="AB127" s="119"/>
      <c r="AC127" s="119"/>
      <c r="AD127" s="119"/>
      <c r="AE127" s="119"/>
      <c r="AF127" s="119"/>
      <c r="AG127" s="119"/>
      <c r="AH127" s="120"/>
      <c r="AI127" s="120"/>
      <c r="AJ127" s="119"/>
      <c r="AK127" s="119"/>
      <c r="AL127" s="119"/>
      <c r="AM127" s="119"/>
      <c r="AN127" s="119"/>
      <c r="AO127" s="119"/>
      <c r="AP127" s="119"/>
      <c r="AQ127" s="119"/>
      <c r="AR127" s="119"/>
      <c r="AS127" s="119"/>
      <c r="AT127" s="119"/>
      <c r="AU127" s="119"/>
      <c r="AV127" s="119"/>
      <c r="AW127" s="119"/>
      <c r="AX127" s="119"/>
      <c r="AY127" s="119"/>
      <c r="AZ127" s="119"/>
      <c r="BA127" s="119"/>
      <c r="BB127" s="119"/>
      <c r="BC127" s="119"/>
      <c r="BD127" s="119"/>
      <c r="BE127" s="119"/>
      <c r="BF127" s="119"/>
      <c r="BG127" s="119"/>
      <c r="BH127" s="119"/>
      <c r="BI127" s="119"/>
      <c r="BJ127" s="119"/>
      <c r="BK127" s="119"/>
    </row>
    <row r="128" spans="1:63" s="123" customFormat="1" ht="9.75" customHeight="1" x14ac:dyDescent="0.2">
      <c r="A128" s="119"/>
      <c r="C128" s="118"/>
      <c r="D128" s="118"/>
      <c r="E128" s="118"/>
      <c r="F128" s="118"/>
      <c r="G128" s="118"/>
      <c r="H128" s="118"/>
      <c r="I128" s="118"/>
      <c r="J128" s="118"/>
      <c r="K128" s="118"/>
      <c r="L128" s="118"/>
      <c r="M128" s="118"/>
      <c r="N128" s="118"/>
      <c r="O128" s="122"/>
      <c r="P128" s="119"/>
      <c r="Q128" s="119"/>
      <c r="R128" s="119"/>
      <c r="S128" s="119"/>
      <c r="T128" s="119"/>
      <c r="U128" s="119"/>
      <c r="V128" s="119"/>
      <c r="W128" s="119"/>
      <c r="X128" s="119"/>
      <c r="Y128" s="119"/>
      <c r="Z128" s="119"/>
      <c r="AA128" s="119"/>
      <c r="AB128" s="119"/>
      <c r="AC128" s="119"/>
      <c r="AD128" s="119"/>
      <c r="AE128" s="119"/>
      <c r="AF128" s="119"/>
      <c r="AG128" s="119"/>
      <c r="AH128" s="120"/>
      <c r="AI128" s="120"/>
      <c r="AJ128" s="119"/>
      <c r="AK128" s="119"/>
      <c r="AL128" s="119"/>
      <c r="AM128" s="119"/>
      <c r="AN128" s="119"/>
      <c r="AO128" s="119"/>
      <c r="AP128" s="119"/>
      <c r="AQ128" s="119"/>
      <c r="AR128" s="119"/>
      <c r="AS128" s="119"/>
      <c r="AT128" s="119"/>
      <c r="AU128" s="119"/>
      <c r="AV128" s="119"/>
      <c r="AW128" s="119"/>
      <c r="AX128" s="119"/>
      <c r="AY128" s="119"/>
      <c r="AZ128" s="119"/>
      <c r="BA128" s="119"/>
      <c r="BB128" s="119"/>
      <c r="BC128" s="119"/>
      <c r="BD128" s="119"/>
      <c r="BE128" s="119"/>
      <c r="BF128" s="119"/>
      <c r="BG128" s="119"/>
      <c r="BH128" s="119"/>
      <c r="BI128" s="119"/>
      <c r="BJ128" s="119"/>
      <c r="BK128" s="119"/>
    </row>
    <row r="129" spans="1:63" s="123" customFormat="1" ht="9.75" customHeight="1" x14ac:dyDescent="0.2">
      <c r="A129" s="119"/>
      <c r="B129" s="119"/>
      <c r="C129" s="119"/>
      <c r="D129" s="119"/>
      <c r="E129" s="119"/>
      <c r="F129" s="119"/>
      <c r="G129" s="119"/>
      <c r="H129" s="119"/>
      <c r="I129" s="119"/>
      <c r="J129" s="119"/>
      <c r="K129" s="119"/>
      <c r="L129" s="119"/>
      <c r="M129" s="119"/>
      <c r="N129" s="119"/>
      <c r="O129" s="119"/>
      <c r="P129" s="119"/>
      <c r="Q129" s="119"/>
      <c r="R129" s="119"/>
      <c r="S129" s="119"/>
      <c r="T129" s="119"/>
      <c r="U129" s="119"/>
      <c r="V129" s="119"/>
      <c r="W129" s="119"/>
      <c r="X129" s="119"/>
      <c r="Y129" s="119"/>
      <c r="Z129" s="119"/>
      <c r="AA129" s="119"/>
      <c r="AB129" s="119"/>
      <c r="AC129" s="119"/>
      <c r="AD129" s="119"/>
      <c r="AE129" s="119"/>
      <c r="AF129" s="119"/>
      <c r="AG129" s="119"/>
      <c r="AH129" s="120"/>
      <c r="AI129" s="120"/>
      <c r="AJ129" s="119"/>
      <c r="AK129" s="119"/>
      <c r="AL129" s="119"/>
      <c r="AM129" s="119"/>
      <c r="AN129" s="119"/>
      <c r="AO129" s="119"/>
      <c r="AP129" s="119"/>
      <c r="AQ129" s="119"/>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row>
    <row r="130" spans="1:63" s="123" customFormat="1" ht="9.75" customHeight="1" x14ac:dyDescent="0.2">
      <c r="A130" s="119"/>
      <c r="B130" s="119"/>
      <c r="C130" s="119"/>
      <c r="D130" s="119"/>
      <c r="E130" s="119"/>
      <c r="F130" s="119"/>
      <c r="G130" s="119"/>
      <c r="H130" s="119"/>
      <c r="I130" s="119"/>
      <c r="J130" s="119"/>
      <c r="K130" s="119"/>
      <c r="L130" s="119"/>
      <c r="M130" s="119"/>
      <c r="N130" s="119"/>
      <c r="O130" s="119"/>
      <c r="P130" s="119"/>
      <c r="Q130" s="119"/>
      <c r="R130" s="119"/>
      <c r="S130" s="119"/>
      <c r="T130" s="119"/>
      <c r="U130" s="119"/>
      <c r="V130" s="119"/>
      <c r="W130" s="119"/>
      <c r="X130" s="119"/>
      <c r="Y130" s="119"/>
      <c r="Z130" s="119"/>
      <c r="AA130" s="119"/>
      <c r="AB130" s="119"/>
      <c r="AC130" s="119"/>
      <c r="AD130" s="119"/>
      <c r="AE130" s="119"/>
      <c r="AF130" s="119"/>
      <c r="AG130" s="119"/>
      <c r="AH130" s="120"/>
      <c r="AI130" s="120"/>
      <c r="AJ130" s="119"/>
      <c r="AK130" s="119"/>
      <c r="AL130" s="119"/>
      <c r="AM130" s="119"/>
      <c r="AN130" s="119"/>
      <c r="AO130" s="119"/>
      <c r="AP130" s="119"/>
      <c r="AQ130" s="119"/>
      <c r="AR130" s="119"/>
      <c r="AS130" s="119"/>
      <c r="AT130" s="119"/>
      <c r="AU130" s="119"/>
      <c r="AV130" s="119"/>
      <c r="AW130" s="119"/>
      <c r="AX130" s="119"/>
      <c r="AY130" s="119"/>
      <c r="AZ130" s="119"/>
      <c r="BA130" s="119"/>
      <c r="BB130" s="119"/>
      <c r="BC130" s="119"/>
      <c r="BD130" s="119"/>
      <c r="BE130" s="119"/>
      <c r="BF130" s="119"/>
      <c r="BG130" s="119"/>
      <c r="BH130" s="119"/>
      <c r="BI130" s="119"/>
      <c r="BJ130" s="119"/>
      <c r="BK130" s="119"/>
    </row>
    <row r="131" spans="1:63" ht="9.75" customHeight="1" x14ac:dyDescent="0.2"/>
    <row r="132" spans="1:63" ht="9.75" customHeight="1" x14ac:dyDescent="0.2"/>
  </sheetData>
  <mergeCells count="130">
    <mergeCell ref="A73:AE73"/>
    <mergeCell ref="A75:B75"/>
    <mergeCell ref="A79:B79"/>
    <mergeCell ref="AI57:BK59"/>
    <mergeCell ref="AI61:BK63"/>
    <mergeCell ref="AI60:BK60"/>
    <mergeCell ref="AI64:BK65"/>
    <mergeCell ref="AI66:BK68"/>
    <mergeCell ref="AG64:AH64"/>
    <mergeCell ref="AG61:AH61"/>
    <mergeCell ref="AG66:AH66"/>
    <mergeCell ref="A63:B63"/>
    <mergeCell ref="B62:AE62"/>
    <mergeCell ref="A59:B59"/>
    <mergeCell ref="AG54:AH54"/>
    <mergeCell ref="C92:AE96"/>
    <mergeCell ref="AI85:BK87"/>
    <mergeCell ref="AI88:BK90"/>
    <mergeCell ref="AG88:AH88"/>
    <mergeCell ref="C82:AE85"/>
    <mergeCell ref="AG85:AH85"/>
    <mergeCell ref="AQ103:BE103"/>
    <mergeCell ref="AG91:AH91"/>
    <mergeCell ref="C89:AE91"/>
    <mergeCell ref="AG79:AH79"/>
    <mergeCell ref="AG76:AH76"/>
    <mergeCell ref="C63:AE67"/>
    <mergeCell ref="C68:AE68"/>
    <mergeCell ref="AG73:BK74"/>
    <mergeCell ref="AG72:BK72"/>
    <mergeCell ref="I102:Y102"/>
    <mergeCell ref="AG83:BK83"/>
    <mergeCell ref="A101:AE101"/>
    <mergeCell ref="A92:B92"/>
    <mergeCell ref="A82:B82"/>
    <mergeCell ref="C79:AE81"/>
    <mergeCell ref="C75:AE78"/>
    <mergeCell ref="A72:AE72"/>
    <mergeCell ref="AI37:BK38"/>
    <mergeCell ref="AI39:BK40"/>
    <mergeCell ref="AI41:BK44"/>
    <mergeCell ref="AI45:BK47"/>
    <mergeCell ref="AI93:BK97"/>
    <mergeCell ref="AI91:BK92"/>
    <mergeCell ref="AI79:BK81"/>
    <mergeCell ref="AI48:BK50"/>
    <mergeCell ref="AI51:BK53"/>
    <mergeCell ref="AI54:BK56"/>
    <mergeCell ref="K105:AB106"/>
    <mergeCell ref="AM110:AQ110"/>
    <mergeCell ref="G107:J107"/>
    <mergeCell ref="K107:Y107"/>
    <mergeCell ref="G108:J108"/>
    <mergeCell ref="K108:Y108"/>
    <mergeCell ref="AQ108:BE108"/>
    <mergeCell ref="AM108:AP108"/>
    <mergeCell ref="AI76:BK78"/>
    <mergeCell ref="AG101:BK101"/>
    <mergeCell ref="AG34:BK34"/>
    <mergeCell ref="AG31:AI31"/>
    <mergeCell ref="A47:AE47"/>
    <mergeCell ref="B31:AE32"/>
    <mergeCell ref="B45:AE45"/>
    <mergeCell ref="A53:B53"/>
    <mergeCell ref="A56:B56"/>
    <mergeCell ref="D103:AC103"/>
    <mergeCell ref="G110:J110"/>
    <mergeCell ref="A99:BK99"/>
    <mergeCell ref="AG93:AH93"/>
    <mergeCell ref="A89:B89"/>
    <mergeCell ref="A87:AE87"/>
    <mergeCell ref="C53:AE55"/>
    <mergeCell ref="C56:AE58"/>
    <mergeCell ref="C59:AE61"/>
    <mergeCell ref="AG60:AH60"/>
    <mergeCell ref="AG57:AH57"/>
    <mergeCell ref="AN106:AP106"/>
    <mergeCell ref="G105:J106"/>
    <mergeCell ref="E104:AA104"/>
    <mergeCell ref="AH104:AP104"/>
    <mergeCell ref="AQ104:BI105"/>
    <mergeCell ref="AQ106:BI107"/>
    <mergeCell ref="AJ26:BK30"/>
    <mergeCell ref="AI12:BK13"/>
    <mergeCell ref="AG5:AH5"/>
    <mergeCell ref="AG7:AH7"/>
    <mergeCell ref="AI17:BK20"/>
    <mergeCell ref="A50:B50"/>
    <mergeCell ref="AI10:BK11"/>
    <mergeCell ref="AI14:BK16"/>
    <mergeCell ref="A52:B52"/>
    <mergeCell ref="AJ31:BK32"/>
    <mergeCell ref="AG36:AH36"/>
    <mergeCell ref="B38:AE44"/>
    <mergeCell ref="A36:AE36"/>
    <mergeCell ref="AG51:AH51"/>
    <mergeCell ref="A12:AE12"/>
    <mergeCell ref="AG21:AI21"/>
    <mergeCell ref="AG23:AI23"/>
    <mergeCell ref="AG17:AH17"/>
    <mergeCell ref="C50:AE51"/>
    <mergeCell ref="C52:AE52"/>
    <mergeCell ref="A29:AE29"/>
    <mergeCell ref="B24:AE25"/>
    <mergeCell ref="AI36:BK36"/>
    <mergeCell ref="AG14:AH14"/>
    <mergeCell ref="AG45:AH45"/>
    <mergeCell ref="B49:AE49"/>
    <mergeCell ref="AG41:AH41"/>
    <mergeCell ref="AG39:AH39"/>
    <mergeCell ref="AG37:AH37"/>
    <mergeCell ref="B33:AE34"/>
    <mergeCell ref="AI7:BK9"/>
    <mergeCell ref="AG48:AH48"/>
    <mergeCell ref="AI1:BK1"/>
    <mergeCell ref="B14:AE21"/>
    <mergeCell ref="AI2:BK4"/>
    <mergeCell ref="B22:AE23"/>
    <mergeCell ref="B26:AE27"/>
    <mergeCell ref="AJ21:BK22"/>
    <mergeCell ref="AG12:AH12"/>
    <mergeCell ref="A1:AE1"/>
    <mergeCell ref="AG2:AH2"/>
    <mergeCell ref="A3:U3"/>
    <mergeCell ref="V3:AE3"/>
    <mergeCell ref="A5:AE10"/>
    <mergeCell ref="AG26:AI26"/>
    <mergeCell ref="AI5:BK6"/>
    <mergeCell ref="AG10:AH10"/>
    <mergeCell ref="AJ23:BK25"/>
  </mergeCells>
  <pageMargins left="0.55000000000000004" right="0.39" top="0.56000000000000005" bottom="0.17" header="0.54" footer="0.17"/>
  <pageSetup scale="8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Z">
    <tabColor theme="3" tint="0.39997558519241921"/>
  </sheetPr>
  <dimension ref="A1:BK68"/>
  <sheetViews>
    <sheetView showGridLines="0" showRowColHeaders="0" view="pageBreakPreview" zoomScaleNormal="160" zoomScaleSheetLayoutView="100" workbookViewId="0">
      <selection sqref="A1:AD1"/>
    </sheetView>
  </sheetViews>
  <sheetFormatPr defaultRowHeight="11.25" x14ac:dyDescent="0.2"/>
  <cols>
    <col min="1" max="1" width="1.85546875" style="97" customWidth="1"/>
    <col min="2" max="2" width="2.5703125" style="98" customWidth="1"/>
    <col min="3" max="32" width="1.85546875" style="98" customWidth="1"/>
    <col min="33" max="33" width="2.42578125" style="98" customWidth="1"/>
    <col min="34" max="61" width="1.85546875" style="98" customWidth="1"/>
    <col min="62" max="62" width="1.7109375" style="98" hidden="1" customWidth="1"/>
    <col min="63" max="16384" width="9.140625" style="98"/>
  </cols>
  <sheetData>
    <row r="1" spans="1:62" ht="12" customHeight="1" x14ac:dyDescent="0.2">
      <c r="A1" s="695" t="str">
        <f>"ZAMİNLİK MÜQAVİLƏSİ      "&amp;LD_NUM</f>
        <v>ZAMİNLİK MÜQAVİLƏSİ      LD/15212/00143</v>
      </c>
      <c r="B1" s="695"/>
      <c r="C1" s="695"/>
      <c r="D1" s="695"/>
      <c r="E1" s="695"/>
      <c r="F1" s="695"/>
      <c r="G1" s="695"/>
      <c r="H1" s="695"/>
      <c r="I1" s="695"/>
      <c r="J1" s="695"/>
      <c r="K1" s="695"/>
      <c r="L1" s="695"/>
      <c r="M1" s="695"/>
      <c r="N1" s="695"/>
      <c r="O1" s="695"/>
      <c r="P1" s="695"/>
      <c r="Q1" s="695"/>
      <c r="R1" s="695"/>
      <c r="S1" s="695"/>
      <c r="T1" s="695"/>
      <c r="U1" s="695"/>
      <c r="V1" s="695"/>
      <c r="W1" s="695"/>
      <c r="X1" s="695"/>
      <c r="Y1" s="695"/>
      <c r="Z1" s="695"/>
      <c r="AA1" s="695"/>
      <c r="AB1" s="695"/>
      <c r="AC1" s="695"/>
      <c r="AD1" s="695"/>
      <c r="AF1" s="710" t="s">
        <v>169</v>
      </c>
      <c r="AG1" s="710"/>
      <c r="AH1" s="773" t="s">
        <v>459</v>
      </c>
      <c r="AI1" s="773"/>
      <c r="AJ1" s="773"/>
      <c r="AK1" s="773"/>
      <c r="AL1" s="773"/>
      <c r="AM1" s="773"/>
      <c r="AN1" s="773"/>
      <c r="AO1" s="773"/>
      <c r="AP1" s="773"/>
      <c r="AQ1" s="773"/>
      <c r="AR1" s="773"/>
      <c r="AS1" s="773"/>
      <c r="AT1" s="773"/>
      <c r="AU1" s="773"/>
      <c r="AV1" s="773"/>
      <c r="AW1" s="773"/>
      <c r="AX1" s="773"/>
      <c r="AY1" s="773"/>
      <c r="AZ1" s="773"/>
      <c r="BA1" s="773"/>
      <c r="BB1" s="773"/>
      <c r="BC1" s="773"/>
      <c r="BD1" s="773"/>
      <c r="BE1" s="773"/>
      <c r="BF1" s="773"/>
      <c r="BG1" s="773"/>
      <c r="BH1" s="773"/>
      <c r="BI1" s="773"/>
      <c r="BJ1" s="87"/>
    </row>
    <row r="2" spans="1:62" ht="12" customHeight="1" x14ac:dyDescent="0.2">
      <c r="A2" s="114"/>
      <c r="AF2" s="710" t="s">
        <v>206</v>
      </c>
      <c r="AG2" s="710"/>
      <c r="AH2" s="694" t="s">
        <v>437</v>
      </c>
      <c r="AI2" s="694"/>
      <c r="AJ2" s="694"/>
      <c r="AK2" s="694"/>
      <c r="AL2" s="694"/>
      <c r="AM2" s="694"/>
      <c r="AN2" s="694"/>
      <c r="AO2" s="694"/>
      <c r="AP2" s="694"/>
      <c r="AQ2" s="694"/>
      <c r="AR2" s="694"/>
      <c r="AS2" s="694"/>
      <c r="AT2" s="694"/>
      <c r="AU2" s="694"/>
      <c r="AV2" s="694"/>
      <c r="AW2" s="694"/>
      <c r="AX2" s="694"/>
      <c r="AY2" s="694"/>
      <c r="AZ2" s="694"/>
      <c r="BA2" s="694"/>
      <c r="BB2" s="694"/>
      <c r="BC2" s="694"/>
      <c r="BD2" s="694"/>
      <c r="BE2" s="694"/>
      <c r="BF2" s="694"/>
      <c r="BG2" s="694"/>
      <c r="BH2" s="694"/>
      <c r="BI2" s="694"/>
      <c r="BJ2" s="87"/>
    </row>
    <row r="3" spans="1:62" ht="12" customHeight="1" x14ac:dyDescent="0.2">
      <c r="A3" s="702" t="str">
        <f>NAME_REGION</f>
        <v>Ağcabədi şəhəri</v>
      </c>
      <c r="B3" s="702"/>
      <c r="C3" s="702"/>
      <c r="D3" s="702"/>
      <c r="E3" s="702"/>
      <c r="F3" s="702"/>
      <c r="G3" s="702"/>
      <c r="H3" s="702"/>
      <c r="I3" s="702"/>
      <c r="J3" s="702"/>
      <c r="K3" s="702"/>
      <c r="L3" s="702"/>
      <c r="M3" s="702"/>
      <c r="N3" s="702"/>
      <c r="O3" s="702"/>
      <c r="P3" s="702"/>
      <c r="Q3" s="702"/>
      <c r="R3" s="702"/>
      <c r="S3" s="702"/>
      <c r="T3" s="702"/>
      <c r="U3" s="697" t="str">
        <f>START_DATE_KREDIT_SOZLE</f>
        <v>«31» İyul 2015-ci il</v>
      </c>
      <c r="V3" s="697"/>
      <c r="W3" s="697"/>
      <c r="X3" s="697"/>
      <c r="Y3" s="697"/>
      <c r="Z3" s="697"/>
      <c r="AA3" s="697"/>
      <c r="AB3" s="697"/>
      <c r="AC3" s="697"/>
      <c r="AD3" s="697"/>
      <c r="AF3" s="97"/>
      <c r="AG3" s="97"/>
      <c r="AH3" s="694"/>
      <c r="AI3" s="694"/>
      <c r="AJ3" s="694"/>
      <c r="AK3" s="694"/>
      <c r="AL3" s="694"/>
      <c r="AM3" s="694"/>
      <c r="AN3" s="694"/>
      <c r="AO3" s="694"/>
      <c r="AP3" s="694"/>
      <c r="AQ3" s="694"/>
      <c r="AR3" s="694"/>
      <c r="AS3" s="694"/>
      <c r="AT3" s="694"/>
      <c r="AU3" s="694"/>
      <c r="AV3" s="694"/>
      <c r="AW3" s="694"/>
      <c r="AX3" s="694"/>
      <c r="AY3" s="694"/>
      <c r="AZ3" s="694"/>
      <c r="BA3" s="694"/>
      <c r="BB3" s="694"/>
      <c r="BC3" s="694"/>
      <c r="BD3" s="694"/>
      <c r="BE3" s="694"/>
      <c r="BF3" s="694"/>
      <c r="BG3" s="694"/>
      <c r="BH3" s="694"/>
      <c r="BI3" s="694"/>
      <c r="BJ3" s="87"/>
    </row>
    <row r="4" spans="1:62" ht="12" customHeight="1" x14ac:dyDescent="0.2">
      <c r="A4" s="98"/>
      <c r="U4" s="96"/>
      <c r="V4" s="96"/>
      <c r="W4" s="96"/>
      <c r="X4" s="96"/>
      <c r="Y4" s="96"/>
      <c r="Z4" s="96"/>
      <c r="AA4" s="96"/>
      <c r="AB4" s="96"/>
      <c r="AC4" s="96"/>
      <c r="AD4" s="96"/>
      <c r="AF4" s="701" t="s">
        <v>205</v>
      </c>
      <c r="AG4" s="701"/>
      <c r="AH4" s="704" t="s">
        <v>460</v>
      </c>
      <c r="AI4" s="704"/>
      <c r="AJ4" s="704"/>
      <c r="AK4" s="704"/>
      <c r="AL4" s="704"/>
      <c r="AM4" s="704"/>
      <c r="AN4" s="704"/>
      <c r="AO4" s="704"/>
      <c r="AP4" s="704"/>
      <c r="AQ4" s="704"/>
      <c r="AR4" s="704"/>
      <c r="AS4" s="704"/>
      <c r="AT4" s="704"/>
      <c r="AU4" s="704"/>
      <c r="AV4" s="704"/>
      <c r="AW4" s="704"/>
      <c r="AX4" s="704"/>
      <c r="AY4" s="704"/>
      <c r="AZ4" s="704"/>
      <c r="BA4" s="704"/>
      <c r="BB4" s="704"/>
      <c r="BC4" s="704"/>
      <c r="BD4" s="704"/>
      <c r="BE4" s="704"/>
      <c r="BF4" s="704"/>
      <c r="BG4" s="704"/>
      <c r="BH4" s="704"/>
      <c r="BI4" s="704"/>
      <c r="BJ4" s="704"/>
    </row>
    <row r="5" spans="1:62" ht="12" customHeight="1" x14ac:dyDescent="0.2">
      <c r="A5" s="694" t="str">
        <f>"Bir tərəfdən bundan sonra «Borc verən» adlanacaq, Azərbaycan Respublikasının Mərkəzi Bankı  tərəfindən  verilmiş  lisenziya və Nizamnamə əsasında fəaliyyət göstərən, Bank Olmayan Kredit Təşkilatı «Vijn Fond Azərkredit» MMC, "&amp;NAME_BRANCH&amp;"  "&amp;POSITION_MENEGER_BRANCH&amp;" "&amp;SURNAME_MENEGER_BRANCH&amp;" "&amp;NAME_MENEGER_BRANCH&amp;" "&amp;FATHERNAME_MENEGER_BRANCH&amp;" "&amp;G_MENEGER_BRANCH&amp;"nun şəxsində digər tərəfdən, bundan sonra «Zamin» adlanacaq, "&amp;SURNAME_ZAMIN&amp;" "&amp;NAME_ZAMIN&amp;" "&amp;FATHERNAME_ZAMIN&amp;" "&amp;G_ZAMIN&amp;" və üçüncü tərəfdən bundan sonra «Borc alan» adlanacaq "&amp;SURNAME_KREDITOR&amp;" "&amp;NAME_KREDITOR&amp;" "&amp;FATHERNAME_KREDITOR&amp;" "&amp;G_KREDITOR&amp;"   aşağıdakı məzmunda və şərtlərlə bu müqaviləni bağladılar."</f>
        <v>Bir tərəfdən bundan sonra «Borc verən» adlanacaq, Azərbaycan Respublikasının Mərkəzi Bankı  tərəfindən  verilmiş  lisenziya və Nizamnamə əsasında fəaliyyət göstərən, Bank Olmayan Kredit Təşkilatı «Vijn Fond Azərkredit» MMC, Ağcabədi  Filialının  kredit meneceri Əhmədov  Bəhruz  Tofiq  oğlunun şəxsində digər tərəfdən, bundan sonra «Zamin» adlanacaq, Hacıyeva Rahilə Zahid qızı və üçüncü tərəfdən bundan sonra «Borc alan» adlanacaq Həsənov Kənan Asdan qızı   aşağıdakı məzmunda və şərtlərlə bu müqaviləni bağladılar.</v>
      </c>
      <c r="B5" s="694"/>
      <c r="C5" s="694"/>
      <c r="D5" s="694"/>
      <c r="E5" s="694"/>
      <c r="F5" s="694"/>
      <c r="G5" s="694"/>
      <c r="H5" s="694"/>
      <c r="I5" s="694"/>
      <c r="J5" s="694"/>
      <c r="K5" s="694"/>
      <c r="L5" s="694"/>
      <c r="M5" s="694"/>
      <c r="N5" s="694"/>
      <c r="O5" s="694"/>
      <c r="P5" s="694"/>
      <c r="Q5" s="694"/>
      <c r="R5" s="694"/>
      <c r="S5" s="694"/>
      <c r="T5" s="694"/>
      <c r="U5" s="694"/>
      <c r="V5" s="694"/>
      <c r="W5" s="694"/>
      <c r="X5" s="694"/>
      <c r="Y5" s="694"/>
      <c r="Z5" s="694"/>
      <c r="AA5" s="694"/>
      <c r="AB5" s="694"/>
      <c r="AC5" s="694"/>
      <c r="AD5" s="694"/>
      <c r="AF5" s="701" t="s">
        <v>204</v>
      </c>
      <c r="AG5" s="701"/>
      <c r="AH5" s="694" t="s">
        <v>203</v>
      </c>
      <c r="AI5" s="694"/>
      <c r="AJ5" s="694"/>
      <c r="AK5" s="694"/>
      <c r="AL5" s="694"/>
      <c r="AM5" s="694"/>
      <c r="AN5" s="694"/>
      <c r="AO5" s="694"/>
      <c r="AP5" s="694"/>
      <c r="AQ5" s="694"/>
      <c r="AR5" s="694"/>
      <c r="AS5" s="694"/>
      <c r="AT5" s="694"/>
      <c r="AU5" s="694"/>
      <c r="AV5" s="694"/>
      <c r="AW5" s="694"/>
      <c r="AX5" s="694"/>
      <c r="AY5" s="694"/>
      <c r="AZ5" s="694"/>
      <c r="BA5" s="694"/>
      <c r="BB5" s="694"/>
      <c r="BC5" s="694"/>
      <c r="BD5" s="694"/>
      <c r="BE5" s="694"/>
      <c r="BF5" s="694"/>
      <c r="BG5" s="694"/>
      <c r="BH5" s="694"/>
      <c r="BI5" s="694"/>
      <c r="BJ5" s="694"/>
    </row>
    <row r="6" spans="1:62" ht="12" customHeight="1" x14ac:dyDescent="0.2">
      <c r="A6" s="694"/>
      <c r="B6" s="694"/>
      <c r="C6" s="694"/>
      <c r="D6" s="694"/>
      <c r="E6" s="694"/>
      <c r="F6" s="694"/>
      <c r="G6" s="694"/>
      <c r="H6" s="694"/>
      <c r="I6" s="694"/>
      <c r="J6" s="694"/>
      <c r="K6" s="694"/>
      <c r="L6" s="694"/>
      <c r="M6" s="694"/>
      <c r="N6" s="694"/>
      <c r="O6" s="694"/>
      <c r="P6" s="694"/>
      <c r="Q6" s="694"/>
      <c r="R6" s="694"/>
      <c r="S6" s="694"/>
      <c r="T6" s="694"/>
      <c r="U6" s="694"/>
      <c r="V6" s="694"/>
      <c r="W6" s="694"/>
      <c r="X6" s="694"/>
      <c r="Y6" s="694"/>
      <c r="Z6" s="694"/>
      <c r="AA6" s="694"/>
      <c r="AB6" s="694"/>
      <c r="AC6" s="694"/>
      <c r="AD6" s="694"/>
      <c r="AF6" s="701" t="s">
        <v>202</v>
      </c>
      <c r="AG6" s="701"/>
      <c r="AH6" s="694" t="s">
        <v>201</v>
      </c>
      <c r="AI6" s="694"/>
      <c r="AJ6" s="694"/>
      <c r="AK6" s="694"/>
      <c r="AL6" s="694"/>
      <c r="AM6" s="694"/>
      <c r="AN6" s="694"/>
      <c r="AO6" s="694"/>
      <c r="AP6" s="694"/>
      <c r="AQ6" s="694"/>
      <c r="AR6" s="694"/>
      <c r="AS6" s="694"/>
      <c r="AT6" s="694"/>
      <c r="AU6" s="694"/>
      <c r="AV6" s="694"/>
      <c r="AW6" s="694"/>
      <c r="AX6" s="694"/>
      <c r="AY6" s="694"/>
      <c r="AZ6" s="694"/>
      <c r="BA6" s="694"/>
      <c r="BB6" s="694"/>
      <c r="BC6" s="694"/>
      <c r="BD6" s="694"/>
      <c r="BE6" s="694"/>
      <c r="BF6" s="694"/>
      <c r="BG6" s="694"/>
      <c r="BH6" s="694"/>
      <c r="BI6" s="694"/>
      <c r="BJ6" s="694"/>
    </row>
    <row r="7" spans="1:62" ht="12" customHeight="1" x14ac:dyDescent="0.2">
      <c r="A7" s="694"/>
      <c r="B7" s="694"/>
      <c r="C7" s="694"/>
      <c r="D7" s="694"/>
      <c r="E7" s="694"/>
      <c r="F7" s="694"/>
      <c r="G7" s="694"/>
      <c r="H7" s="694"/>
      <c r="I7" s="694"/>
      <c r="J7" s="694"/>
      <c r="K7" s="694"/>
      <c r="L7" s="694"/>
      <c r="M7" s="694"/>
      <c r="N7" s="694"/>
      <c r="O7" s="694"/>
      <c r="P7" s="694"/>
      <c r="Q7" s="694"/>
      <c r="R7" s="694"/>
      <c r="S7" s="694"/>
      <c r="T7" s="694"/>
      <c r="U7" s="694"/>
      <c r="V7" s="694"/>
      <c r="W7" s="694"/>
      <c r="X7" s="694"/>
      <c r="Y7" s="694"/>
      <c r="Z7" s="694"/>
      <c r="AA7" s="694"/>
      <c r="AB7" s="694"/>
      <c r="AC7" s="694"/>
      <c r="AD7" s="694"/>
      <c r="AH7" s="694"/>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c r="BH7" s="694"/>
      <c r="BI7" s="694"/>
      <c r="BJ7" s="694"/>
    </row>
    <row r="8" spans="1:62" ht="12" customHeight="1" x14ac:dyDescent="0.2">
      <c r="A8" s="694"/>
      <c r="B8" s="694"/>
      <c r="C8" s="694"/>
      <c r="D8" s="694"/>
      <c r="E8" s="694"/>
      <c r="F8" s="694"/>
      <c r="G8" s="694"/>
      <c r="H8" s="694"/>
      <c r="I8" s="694"/>
      <c r="J8" s="694"/>
      <c r="K8" s="694"/>
      <c r="L8" s="694"/>
      <c r="M8" s="694"/>
      <c r="N8" s="694"/>
      <c r="O8" s="694"/>
      <c r="P8" s="694"/>
      <c r="Q8" s="694"/>
      <c r="R8" s="694"/>
      <c r="S8" s="694"/>
      <c r="T8" s="694"/>
      <c r="U8" s="694"/>
      <c r="V8" s="694"/>
      <c r="W8" s="694"/>
      <c r="X8" s="694"/>
      <c r="Y8" s="694"/>
      <c r="Z8" s="694"/>
      <c r="AA8" s="694"/>
      <c r="AB8" s="694"/>
      <c r="AC8" s="694"/>
      <c r="AD8" s="694"/>
      <c r="AF8" s="699" t="s">
        <v>200</v>
      </c>
      <c r="AG8" s="699"/>
      <c r="AH8" s="694" t="s">
        <v>438</v>
      </c>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c r="BH8" s="694"/>
      <c r="BI8" s="694"/>
      <c r="BJ8" s="694"/>
    </row>
    <row r="9" spans="1:62" ht="12" customHeight="1" x14ac:dyDescent="0.2">
      <c r="A9" s="694"/>
      <c r="B9" s="694"/>
      <c r="C9" s="694"/>
      <c r="D9" s="694"/>
      <c r="E9" s="694"/>
      <c r="F9" s="694"/>
      <c r="G9" s="694"/>
      <c r="H9" s="694"/>
      <c r="I9" s="694"/>
      <c r="J9" s="694"/>
      <c r="K9" s="694"/>
      <c r="L9" s="694"/>
      <c r="M9" s="694"/>
      <c r="N9" s="694"/>
      <c r="O9" s="694"/>
      <c r="P9" s="694"/>
      <c r="Q9" s="694"/>
      <c r="R9" s="694"/>
      <c r="S9" s="694"/>
      <c r="T9" s="694"/>
      <c r="U9" s="694"/>
      <c r="V9" s="694"/>
      <c r="W9" s="694"/>
      <c r="X9" s="694"/>
      <c r="Y9" s="694"/>
      <c r="Z9" s="694"/>
      <c r="AA9" s="694"/>
      <c r="AB9" s="694"/>
      <c r="AC9" s="694"/>
      <c r="AD9" s="694"/>
    </row>
    <row r="10" spans="1:62" ht="12" customHeight="1" x14ac:dyDescent="0.2">
      <c r="A10" s="694"/>
      <c r="B10" s="694"/>
      <c r="C10" s="694"/>
      <c r="D10" s="694"/>
      <c r="E10" s="694"/>
      <c r="F10" s="694"/>
      <c r="G10" s="694"/>
      <c r="H10" s="694"/>
      <c r="I10" s="694"/>
      <c r="J10" s="694"/>
      <c r="K10" s="694"/>
      <c r="L10" s="694"/>
      <c r="M10" s="694"/>
      <c r="N10" s="694"/>
      <c r="O10" s="694"/>
      <c r="P10" s="694"/>
      <c r="Q10" s="694"/>
      <c r="R10" s="694"/>
      <c r="S10" s="694"/>
      <c r="T10" s="694"/>
      <c r="U10" s="694"/>
      <c r="V10" s="694"/>
      <c r="W10" s="694"/>
      <c r="X10" s="694"/>
      <c r="Y10" s="694"/>
      <c r="Z10" s="694"/>
      <c r="AA10" s="694"/>
      <c r="AB10" s="694"/>
      <c r="AC10" s="694"/>
      <c r="AD10" s="694"/>
      <c r="AF10" s="695" t="s">
        <v>439</v>
      </c>
      <c r="AG10" s="695"/>
      <c r="AH10" s="695"/>
      <c r="AI10" s="695"/>
      <c r="AJ10" s="695"/>
      <c r="AK10" s="695"/>
      <c r="AL10" s="695"/>
      <c r="AM10" s="695"/>
      <c r="AN10" s="695"/>
      <c r="AO10" s="695"/>
      <c r="AP10" s="695"/>
      <c r="AQ10" s="695"/>
      <c r="AR10" s="695"/>
      <c r="AS10" s="695"/>
      <c r="AT10" s="695"/>
      <c r="AU10" s="695"/>
      <c r="AV10" s="695"/>
      <c r="AW10" s="695"/>
      <c r="AX10" s="695"/>
      <c r="AY10" s="695"/>
      <c r="AZ10" s="695"/>
      <c r="BA10" s="695"/>
      <c r="BB10" s="695"/>
      <c r="BC10" s="695"/>
      <c r="BD10" s="695"/>
      <c r="BE10" s="695"/>
      <c r="BF10" s="695"/>
      <c r="BG10" s="695"/>
      <c r="BH10" s="695"/>
      <c r="BI10" s="695"/>
      <c r="BJ10" s="695"/>
    </row>
    <row r="11" spans="1:62" ht="12" customHeight="1" x14ac:dyDescent="0.2">
      <c r="A11" s="694"/>
      <c r="B11" s="694"/>
      <c r="C11" s="694"/>
      <c r="D11" s="694"/>
      <c r="E11" s="694"/>
      <c r="F11" s="694"/>
      <c r="G11" s="694"/>
      <c r="H11" s="694"/>
      <c r="I11" s="694"/>
      <c r="J11" s="694"/>
      <c r="K11" s="694"/>
      <c r="L11" s="694"/>
      <c r="M11" s="694"/>
      <c r="N11" s="694"/>
      <c r="O11" s="694"/>
      <c r="P11" s="694"/>
      <c r="Q11" s="694"/>
      <c r="R11" s="694"/>
      <c r="S11" s="694"/>
      <c r="T11" s="694"/>
      <c r="U11" s="694"/>
      <c r="V11" s="694"/>
      <c r="W11" s="694"/>
      <c r="X11" s="694"/>
      <c r="Y11" s="694"/>
      <c r="Z11" s="694"/>
      <c r="AA11" s="694"/>
      <c r="AB11" s="694"/>
      <c r="AC11" s="694"/>
      <c r="AD11" s="69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row>
    <row r="12" spans="1:62" ht="12" customHeight="1" x14ac:dyDescent="0.2">
      <c r="A12" s="695" t="s">
        <v>94</v>
      </c>
      <c r="B12" s="695"/>
      <c r="C12" s="695"/>
      <c r="D12" s="695"/>
      <c r="E12" s="695"/>
      <c r="F12" s="695"/>
      <c r="G12" s="695"/>
      <c r="H12" s="695"/>
      <c r="I12" s="695"/>
      <c r="J12" s="695"/>
      <c r="K12" s="695"/>
      <c r="L12" s="695"/>
      <c r="M12" s="695"/>
      <c r="N12" s="695"/>
      <c r="O12" s="695"/>
      <c r="P12" s="695"/>
      <c r="Q12" s="695"/>
      <c r="R12" s="695"/>
      <c r="S12" s="695"/>
      <c r="T12" s="695"/>
      <c r="U12" s="695"/>
      <c r="V12" s="695"/>
      <c r="W12" s="695"/>
      <c r="X12" s="695"/>
      <c r="Y12" s="695"/>
      <c r="Z12" s="695"/>
      <c r="AA12" s="695"/>
      <c r="AB12" s="695"/>
      <c r="AC12" s="695"/>
      <c r="AD12" s="695"/>
      <c r="AF12" s="701" t="s">
        <v>135</v>
      </c>
      <c r="AG12" s="701"/>
      <c r="AH12" s="694" t="s">
        <v>461</v>
      </c>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c r="BH12" s="694"/>
      <c r="BI12" s="694"/>
      <c r="BJ12" s="694"/>
    </row>
    <row r="13" spans="1:62" ht="12" customHeight="1" x14ac:dyDescent="0.2">
      <c r="A13" s="98"/>
      <c r="AF13" s="114"/>
      <c r="AG13" s="114"/>
      <c r="AH13" s="694"/>
      <c r="AI13" s="694"/>
      <c r="AJ13" s="694"/>
      <c r="AK13" s="694"/>
      <c r="AL13" s="694"/>
      <c r="AM13" s="694"/>
      <c r="AN13" s="694"/>
      <c r="AO13" s="694"/>
      <c r="AP13" s="694"/>
      <c r="AQ13" s="694"/>
      <c r="AR13" s="694"/>
      <c r="AS13" s="694"/>
      <c r="AT13" s="694"/>
      <c r="AU13" s="694"/>
      <c r="AV13" s="694"/>
      <c r="AW13" s="694"/>
      <c r="AX13" s="694"/>
      <c r="AY13" s="694"/>
      <c r="AZ13" s="694"/>
      <c r="BA13" s="694"/>
      <c r="BB13" s="694"/>
      <c r="BC13" s="694"/>
      <c r="BD13" s="694"/>
      <c r="BE13" s="694"/>
      <c r="BF13" s="694"/>
      <c r="BG13" s="694"/>
      <c r="BH13" s="694"/>
      <c r="BI13" s="694"/>
      <c r="BJ13" s="694"/>
    </row>
    <row r="14" spans="1:62" ht="12" customHeight="1" x14ac:dyDescent="0.2">
      <c r="A14" s="701" t="s">
        <v>93</v>
      </c>
      <c r="B14" s="701"/>
      <c r="C14" s="694" t="s">
        <v>455</v>
      </c>
      <c r="D14" s="694"/>
      <c r="E14" s="694"/>
      <c r="F14" s="694"/>
      <c r="G14" s="694"/>
      <c r="H14" s="694"/>
      <c r="I14" s="694"/>
      <c r="J14" s="694"/>
      <c r="K14" s="694"/>
      <c r="L14" s="694"/>
      <c r="M14" s="694"/>
      <c r="N14" s="694"/>
      <c r="O14" s="694"/>
      <c r="P14" s="694"/>
      <c r="Q14" s="694"/>
      <c r="R14" s="694"/>
      <c r="S14" s="694"/>
      <c r="T14" s="694"/>
      <c r="U14" s="694"/>
      <c r="V14" s="694"/>
      <c r="W14" s="694"/>
      <c r="X14" s="694"/>
      <c r="Y14" s="694"/>
      <c r="Z14" s="694"/>
      <c r="AA14" s="694"/>
      <c r="AB14" s="694"/>
      <c r="AC14" s="694"/>
      <c r="AD14" s="694"/>
      <c r="AH14" s="694"/>
      <c r="AI14" s="694"/>
      <c r="AJ14" s="694"/>
      <c r="AK14" s="694"/>
      <c r="AL14" s="694"/>
      <c r="AM14" s="694"/>
      <c r="AN14" s="694"/>
      <c r="AO14" s="694"/>
      <c r="AP14" s="694"/>
      <c r="AQ14" s="694"/>
      <c r="AR14" s="694"/>
      <c r="AS14" s="694"/>
      <c r="AT14" s="694"/>
      <c r="AU14" s="694"/>
      <c r="AV14" s="694"/>
      <c r="AW14" s="694"/>
      <c r="AX14" s="694"/>
      <c r="AY14" s="694"/>
      <c r="AZ14" s="694"/>
      <c r="BA14" s="694"/>
      <c r="BB14" s="694"/>
      <c r="BC14" s="694"/>
      <c r="BD14" s="694"/>
      <c r="BE14" s="694"/>
      <c r="BF14" s="694"/>
      <c r="BG14" s="694"/>
      <c r="BH14" s="694"/>
      <c r="BI14" s="694"/>
      <c r="BJ14" s="694"/>
    </row>
    <row r="15" spans="1:62" ht="12" customHeight="1" x14ac:dyDescent="0.2">
      <c r="A15" s="114"/>
      <c r="B15" s="114"/>
      <c r="C15" s="694"/>
      <c r="D15" s="694"/>
      <c r="E15" s="694"/>
      <c r="F15" s="694"/>
      <c r="G15" s="694"/>
      <c r="H15" s="694"/>
      <c r="I15" s="694"/>
      <c r="J15" s="694"/>
      <c r="K15" s="694"/>
      <c r="L15" s="694"/>
      <c r="M15" s="694"/>
      <c r="N15" s="694"/>
      <c r="O15" s="694"/>
      <c r="P15" s="694"/>
      <c r="Q15" s="694"/>
      <c r="R15" s="694"/>
      <c r="S15" s="694"/>
      <c r="T15" s="694"/>
      <c r="U15" s="694"/>
      <c r="V15" s="694"/>
      <c r="W15" s="694"/>
      <c r="X15" s="694"/>
      <c r="Y15" s="694"/>
      <c r="Z15" s="694"/>
      <c r="AA15" s="694"/>
      <c r="AB15" s="694"/>
      <c r="AC15" s="694"/>
      <c r="AD15" s="694"/>
      <c r="AF15" s="701" t="s">
        <v>199</v>
      </c>
      <c r="AG15" s="701"/>
      <c r="AH15" s="694" t="str">
        <f>"«Zamin» bəyan edir ki, zaminliklə təmin edilmiş öhdəlik icra edilmədikdə və ya lazımınca icra edilmədikdə əsas borcun, faizlərin, dəbbə pulunun habelə  «Borc verən»in "&amp;"çəkmiş olduğu hər hansı digər xərc və zərərin əvəzinin ödənilməsi üzrə  «Borc verən» qarşısında  «Borc alan»la eyni həcmdə məsuliyyət daşıyır."</f>
        <v>«Zamin» bəyan edir ki, zaminliklə təmin edilmiş öhdəlik icra edilmədikdə və ya lazımınca icra edilmədikdə əsas borcun, faizlərin, dəbbə pulunun habelə  «Borc verən»in çəkmiş olduğu hər hansı digər xərc və zərərin əvəzinin ödənilməsi üzrə  «Borc verən» qarşısında  «Borc alan»la eyni həcmdə məsuliyyət daşıyır.</v>
      </c>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c r="BH15" s="694"/>
      <c r="BI15" s="694"/>
      <c r="BJ15" s="694"/>
    </row>
    <row r="16" spans="1:62" ht="12" customHeight="1" x14ac:dyDescent="0.2">
      <c r="A16" s="114"/>
      <c r="C16" s="694"/>
      <c r="D16" s="694"/>
      <c r="E16" s="694"/>
      <c r="F16" s="694"/>
      <c r="G16" s="694"/>
      <c r="H16" s="694"/>
      <c r="I16" s="694"/>
      <c r="J16" s="694"/>
      <c r="K16" s="694"/>
      <c r="L16" s="694"/>
      <c r="M16" s="694"/>
      <c r="N16" s="694"/>
      <c r="O16" s="694"/>
      <c r="P16" s="694"/>
      <c r="Q16" s="694"/>
      <c r="R16" s="694"/>
      <c r="S16" s="694"/>
      <c r="T16" s="694"/>
      <c r="U16" s="694"/>
      <c r="V16" s="694"/>
      <c r="W16" s="694"/>
      <c r="X16" s="694"/>
      <c r="Y16" s="694"/>
      <c r="Z16" s="694"/>
      <c r="AA16" s="694"/>
      <c r="AB16" s="694"/>
      <c r="AC16" s="694"/>
      <c r="AD16" s="694"/>
      <c r="AH16" s="694"/>
      <c r="AI16" s="694"/>
      <c r="AJ16" s="694"/>
      <c r="AK16" s="694"/>
      <c r="AL16" s="694"/>
      <c r="AM16" s="694"/>
      <c r="AN16" s="694"/>
      <c r="AO16" s="694"/>
      <c r="AP16" s="694"/>
      <c r="AQ16" s="694"/>
      <c r="AR16" s="694"/>
      <c r="AS16" s="694"/>
      <c r="AT16" s="694"/>
      <c r="AU16" s="694"/>
      <c r="AV16" s="694"/>
      <c r="AW16" s="694"/>
      <c r="AX16" s="694"/>
      <c r="AY16" s="694"/>
      <c r="AZ16" s="694"/>
      <c r="BA16" s="694"/>
      <c r="BB16" s="694"/>
      <c r="BC16" s="694"/>
      <c r="BD16" s="694"/>
      <c r="BE16" s="694"/>
      <c r="BF16" s="694"/>
      <c r="BG16" s="694"/>
      <c r="BH16" s="694"/>
      <c r="BI16" s="694"/>
      <c r="BJ16" s="694"/>
    </row>
    <row r="17" spans="1:62" ht="12" customHeight="1" x14ac:dyDescent="0.2">
      <c r="A17" s="114"/>
      <c r="C17" s="694"/>
      <c r="D17" s="694"/>
      <c r="E17" s="694"/>
      <c r="F17" s="694"/>
      <c r="G17" s="694"/>
      <c r="H17" s="694"/>
      <c r="I17" s="694"/>
      <c r="J17" s="694"/>
      <c r="K17" s="694"/>
      <c r="L17" s="694"/>
      <c r="M17" s="694"/>
      <c r="N17" s="694"/>
      <c r="O17" s="694"/>
      <c r="P17" s="694"/>
      <c r="Q17" s="694"/>
      <c r="R17" s="694"/>
      <c r="S17" s="694"/>
      <c r="T17" s="694"/>
      <c r="U17" s="694"/>
      <c r="V17" s="694"/>
      <c r="W17" s="694"/>
      <c r="X17" s="694"/>
      <c r="Y17" s="694"/>
      <c r="Z17" s="694"/>
      <c r="AA17" s="694"/>
      <c r="AB17" s="694"/>
      <c r="AC17" s="694"/>
      <c r="AD17" s="694"/>
      <c r="AH17" s="694"/>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c r="BH17" s="694"/>
      <c r="BI17" s="694"/>
      <c r="BJ17" s="694"/>
    </row>
    <row r="18" spans="1:62" ht="12" customHeight="1" x14ac:dyDescent="0.2">
      <c r="A18" s="701" t="s">
        <v>88</v>
      </c>
      <c r="B18" s="701"/>
      <c r="C18" s="698" t="str">
        <f>"«Borc alan» tərəfindən kredit öhdəliyi icra edilmədikdə və ya lazımınca icra edilmədikdə «Zamin» «Borc verən»in ilkin yazılı tələbi ilə kredit məbləğini (əsas borc), ona hesablanmış faiz və cərimə "&amp;"məbləğini o cümlədən borcun ödənilməsi üzrə çəkilmiş məhkəmə xərclərinin dərhal «Borc verən»ə ödənilməsini (qaytarılmasını) öz üzərinə götürür."</f>
        <v>«Borc alan» tərəfindən kredit öhdəliyi icra edilmədikdə və ya lazımınca icra edilmədikdə «Zamin» «Borc verən»in ilkin yazılı tələbi ilə kredit məbləğini (əsas borc), ona hesablanmış faiz və cərimə məbləğini o cümlədən borcun ödənilməsi üzrə çəkilmiş məhkəmə xərclərinin dərhal «Borc verən»ə ödənilməsini (qaytarılmasını) öz üzərinə götürür.</v>
      </c>
      <c r="D18" s="698"/>
      <c r="E18" s="698"/>
      <c r="F18" s="698"/>
      <c r="G18" s="698"/>
      <c r="H18" s="698"/>
      <c r="I18" s="698"/>
      <c r="J18" s="698"/>
      <c r="K18" s="698"/>
      <c r="L18" s="698"/>
      <c r="M18" s="698"/>
      <c r="N18" s="698"/>
      <c r="O18" s="698"/>
      <c r="P18" s="698"/>
      <c r="Q18" s="698"/>
      <c r="R18" s="698"/>
      <c r="S18" s="698"/>
      <c r="T18" s="698"/>
      <c r="U18" s="698"/>
      <c r="V18" s="698"/>
      <c r="W18" s="698"/>
      <c r="X18" s="698"/>
      <c r="Y18" s="698"/>
      <c r="Z18" s="698"/>
      <c r="AA18" s="698"/>
      <c r="AB18" s="698"/>
      <c r="AC18" s="698"/>
      <c r="AD18" s="698"/>
      <c r="AH18" s="694"/>
      <c r="AI18" s="694"/>
      <c r="AJ18" s="694"/>
      <c r="AK18" s="694"/>
      <c r="AL18" s="694"/>
      <c r="AM18" s="694"/>
      <c r="AN18" s="694"/>
      <c r="AO18" s="694"/>
      <c r="AP18" s="694"/>
      <c r="AQ18" s="694"/>
      <c r="AR18" s="694"/>
      <c r="AS18" s="694"/>
      <c r="AT18" s="694"/>
      <c r="AU18" s="694"/>
      <c r="AV18" s="694"/>
      <c r="AW18" s="694"/>
      <c r="AX18" s="694"/>
      <c r="AY18" s="694"/>
      <c r="AZ18" s="694"/>
      <c r="BA18" s="694"/>
      <c r="BB18" s="694"/>
      <c r="BC18" s="694"/>
      <c r="BD18" s="694"/>
      <c r="BE18" s="694"/>
      <c r="BF18" s="694"/>
      <c r="BG18" s="694"/>
      <c r="BH18" s="694"/>
      <c r="BI18" s="694"/>
      <c r="BJ18" s="694"/>
    </row>
    <row r="19" spans="1:62" ht="12" customHeight="1" x14ac:dyDescent="0.2">
      <c r="A19" s="128"/>
      <c r="B19" s="125"/>
      <c r="C19" s="698"/>
      <c r="D19" s="698"/>
      <c r="E19" s="698"/>
      <c r="F19" s="698"/>
      <c r="G19" s="698"/>
      <c r="H19" s="698"/>
      <c r="I19" s="698"/>
      <c r="J19" s="698"/>
      <c r="K19" s="698"/>
      <c r="L19" s="698"/>
      <c r="M19" s="698"/>
      <c r="N19" s="698"/>
      <c r="O19" s="698"/>
      <c r="P19" s="698"/>
      <c r="Q19" s="698"/>
      <c r="R19" s="698"/>
      <c r="S19" s="698"/>
      <c r="T19" s="698"/>
      <c r="U19" s="698"/>
      <c r="V19" s="698"/>
      <c r="W19" s="698"/>
      <c r="X19" s="698"/>
      <c r="Y19" s="698"/>
      <c r="Z19" s="698"/>
      <c r="AA19" s="698"/>
      <c r="AB19" s="698"/>
      <c r="AC19" s="698"/>
      <c r="AD19" s="698"/>
      <c r="AF19" s="701" t="s">
        <v>198</v>
      </c>
      <c r="AG19" s="701"/>
      <c r="AH19" s="694" t="s">
        <v>462</v>
      </c>
      <c r="AI19" s="694"/>
      <c r="AJ19" s="694"/>
      <c r="AK19" s="694"/>
      <c r="AL19" s="694"/>
      <c r="AM19" s="694"/>
      <c r="AN19" s="694"/>
      <c r="AO19" s="694"/>
      <c r="AP19" s="694"/>
      <c r="AQ19" s="694"/>
      <c r="AR19" s="694"/>
      <c r="AS19" s="694"/>
      <c r="AT19" s="694"/>
      <c r="AU19" s="694"/>
      <c r="AV19" s="694"/>
      <c r="AW19" s="694"/>
      <c r="AX19" s="694"/>
      <c r="AY19" s="694"/>
      <c r="AZ19" s="694"/>
      <c r="BA19" s="694"/>
      <c r="BB19" s="694"/>
      <c r="BC19" s="694"/>
      <c r="BD19" s="694"/>
      <c r="BE19" s="694"/>
      <c r="BF19" s="694"/>
      <c r="BG19" s="694"/>
      <c r="BH19" s="694"/>
      <c r="BI19" s="694"/>
      <c r="BJ19" s="694"/>
    </row>
    <row r="20" spans="1:62" ht="12" customHeight="1" x14ac:dyDescent="0.2">
      <c r="A20" s="128"/>
      <c r="B20" s="125"/>
      <c r="C20" s="698"/>
      <c r="D20" s="698"/>
      <c r="E20" s="698"/>
      <c r="F20" s="698"/>
      <c r="G20" s="698"/>
      <c r="H20" s="698"/>
      <c r="I20" s="698"/>
      <c r="J20" s="698"/>
      <c r="K20" s="698"/>
      <c r="L20" s="698"/>
      <c r="M20" s="698"/>
      <c r="N20" s="698"/>
      <c r="O20" s="698"/>
      <c r="P20" s="698"/>
      <c r="Q20" s="698"/>
      <c r="R20" s="698"/>
      <c r="S20" s="698"/>
      <c r="T20" s="698"/>
      <c r="U20" s="698"/>
      <c r="V20" s="698"/>
      <c r="W20" s="698"/>
      <c r="X20" s="698"/>
      <c r="Y20" s="698"/>
      <c r="Z20" s="698"/>
      <c r="AA20" s="698"/>
      <c r="AB20" s="698"/>
      <c r="AC20" s="698"/>
      <c r="AD20" s="698"/>
      <c r="AH20" s="694"/>
      <c r="AI20" s="694"/>
      <c r="AJ20" s="694"/>
      <c r="AK20" s="694"/>
      <c r="AL20" s="694"/>
      <c r="AM20" s="694"/>
      <c r="AN20" s="694"/>
      <c r="AO20" s="694"/>
      <c r="AP20" s="694"/>
      <c r="AQ20" s="694"/>
      <c r="AR20" s="694"/>
      <c r="AS20" s="694"/>
      <c r="AT20" s="694"/>
      <c r="AU20" s="694"/>
      <c r="AV20" s="694"/>
      <c r="AW20" s="694"/>
      <c r="AX20" s="694"/>
      <c r="AY20" s="694"/>
      <c r="AZ20" s="694"/>
      <c r="BA20" s="694"/>
      <c r="BB20" s="694"/>
      <c r="BC20" s="694"/>
      <c r="BD20" s="694"/>
      <c r="BE20" s="694"/>
      <c r="BF20" s="694"/>
      <c r="BG20" s="694"/>
      <c r="BH20" s="694"/>
      <c r="BI20" s="694"/>
      <c r="BJ20" s="694"/>
    </row>
    <row r="21" spans="1:62" ht="12" customHeight="1" x14ac:dyDescent="0.2">
      <c r="A21" s="114"/>
      <c r="B21" s="125"/>
      <c r="C21" s="698"/>
      <c r="D21" s="698"/>
      <c r="E21" s="698"/>
      <c r="F21" s="698"/>
      <c r="G21" s="698"/>
      <c r="H21" s="698"/>
      <c r="I21" s="698"/>
      <c r="J21" s="698"/>
      <c r="K21" s="698"/>
      <c r="L21" s="698"/>
      <c r="M21" s="698"/>
      <c r="N21" s="698"/>
      <c r="O21" s="698"/>
      <c r="P21" s="698"/>
      <c r="Q21" s="698"/>
      <c r="R21" s="698"/>
      <c r="S21" s="698"/>
      <c r="T21" s="698"/>
      <c r="U21" s="698"/>
      <c r="V21" s="698"/>
      <c r="W21" s="698"/>
      <c r="X21" s="698"/>
      <c r="Y21" s="698"/>
      <c r="Z21" s="698"/>
      <c r="AA21" s="698"/>
      <c r="AB21" s="698"/>
      <c r="AC21" s="698"/>
      <c r="AD21" s="698"/>
    </row>
    <row r="22" spans="1:62" ht="12" customHeight="1" x14ac:dyDescent="0.2">
      <c r="A22" s="128"/>
      <c r="B22" s="125"/>
      <c r="C22" s="698"/>
      <c r="D22" s="698"/>
      <c r="E22" s="698"/>
      <c r="F22" s="698"/>
      <c r="G22" s="698"/>
      <c r="H22" s="698"/>
      <c r="I22" s="698"/>
      <c r="J22" s="698"/>
      <c r="K22" s="698"/>
      <c r="L22" s="698"/>
      <c r="M22" s="698"/>
      <c r="N22" s="698"/>
      <c r="O22" s="698"/>
      <c r="P22" s="698"/>
      <c r="Q22" s="698"/>
      <c r="R22" s="698"/>
      <c r="S22" s="698"/>
      <c r="T22" s="698"/>
      <c r="U22" s="698"/>
      <c r="V22" s="698"/>
      <c r="W22" s="698"/>
      <c r="X22" s="698"/>
      <c r="Y22" s="698"/>
      <c r="Z22" s="698"/>
      <c r="AA22" s="698"/>
      <c r="AB22" s="698"/>
      <c r="AC22" s="698"/>
      <c r="AD22" s="698"/>
      <c r="AF22" s="695" t="s">
        <v>197</v>
      </c>
      <c r="AG22" s="695"/>
      <c r="AH22" s="695"/>
      <c r="AI22" s="695"/>
      <c r="AJ22" s="695"/>
      <c r="AK22" s="695"/>
      <c r="AL22" s="695"/>
      <c r="AM22" s="695"/>
      <c r="AN22" s="695"/>
      <c r="AO22" s="695"/>
      <c r="AP22" s="695"/>
      <c r="AQ22" s="695"/>
      <c r="AR22" s="695"/>
      <c r="AS22" s="695"/>
      <c r="AT22" s="695"/>
      <c r="AU22" s="695"/>
      <c r="AV22" s="695"/>
      <c r="AW22" s="695"/>
      <c r="AX22" s="695"/>
      <c r="AY22" s="695"/>
      <c r="AZ22" s="695"/>
      <c r="BA22" s="695"/>
      <c r="BB22" s="695"/>
      <c r="BC22" s="695"/>
      <c r="BD22" s="695"/>
      <c r="BE22" s="695"/>
      <c r="BF22" s="695"/>
      <c r="BG22" s="695"/>
      <c r="BH22" s="695"/>
      <c r="BI22" s="695"/>
      <c r="BJ22" s="695"/>
    </row>
    <row r="23" spans="1:62" ht="12" customHeight="1" x14ac:dyDescent="0.2">
      <c r="A23" s="772" t="s">
        <v>196</v>
      </c>
      <c r="B23" s="772"/>
      <c r="C23" s="694" t="str">
        <f>"Zaminliklə təmin edilən öhdəlik «Borc verən»lə «Borc alan» arasında bağlanmış "&amp;START_DATE_KREDIT_SOZLE&amp;" tarixli, "&amp;LD_NUM&amp;" saylı kredit müqaviləsindən irəli gələn öhdəlikdir."</f>
        <v>Zaminliklə təmin edilən öhdəlik «Borc verən»lə «Borc alan» arasında bağlanmış «31» İyul 2015-ci il tarixli, LD/15212/00143 saylı kredit müqaviləsindən irəli gələn öhdəlikdir.</v>
      </c>
      <c r="D23" s="694"/>
      <c r="E23" s="694"/>
      <c r="F23" s="694"/>
      <c r="G23" s="694"/>
      <c r="H23" s="694"/>
      <c r="I23" s="694"/>
      <c r="J23" s="694"/>
      <c r="K23" s="694"/>
      <c r="L23" s="694"/>
      <c r="M23" s="694"/>
      <c r="N23" s="694"/>
      <c r="O23" s="694"/>
      <c r="P23" s="694"/>
      <c r="Q23" s="694"/>
      <c r="R23" s="694"/>
      <c r="S23" s="694"/>
      <c r="T23" s="694"/>
      <c r="U23" s="694"/>
      <c r="V23" s="694"/>
      <c r="W23" s="694"/>
      <c r="X23" s="694"/>
      <c r="Y23" s="694"/>
      <c r="Z23" s="694"/>
      <c r="AA23" s="694"/>
      <c r="AB23" s="694"/>
      <c r="AC23" s="694"/>
      <c r="AD23" s="694"/>
    </row>
    <row r="24" spans="1:62" ht="12" customHeight="1" x14ac:dyDescent="0.2">
      <c r="A24" s="128"/>
      <c r="B24" s="128"/>
      <c r="C24" s="694"/>
      <c r="D24" s="694"/>
      <c r="E24" s="694"/>
      <c r="F24" s="694"/>
      <c r="G24" s="694"/>
      <c r="H24" s="694"/>
      <c r="I24" s="694"/>
      <c r="J24" s="694"/>
      <c r="K24" s="694"/>
      <c r="L24" s="694"/>
      <c r="M24" s="694"/>
      <c r="N24" s="694"/>
      <c r="O24" s="694"/>
      <c r="P24" s="694"/>
      <c r="Q24" s="694"/>
      <c r="R24" s="694"/>
      <c r="S24" s="694"/>
      <c r="T24" s="694"/>
      <c r="U24" s="694"/>
      <c r="V24" s="694"/>
      <c r="W24" s="694"/>
      <c r="X24" s="694"/>
      <c r="Y24" s="694"/>
      <c r="Z24" s="694"/>
      <c r="AA24" s="694"/>
      <c r="AB24" s="694"/>
      <c r="AC24" s="694"/>
      <c r="AD24" s="694"/>
      <c r="AF24" s="701" t="s">
        <v>195</v>
      </c>
      <c r="AG24" s="701"/>
      <c r="AH24" s="694" t="s">
        <v>194</v>
      </c>
      <c r="AI24" s="694"/>
      <c r="AJ24" s="694"/>
      <c r="AK24" s="694"/>
      <c r="AL24" s="694"/>
      <c r="AM24" s="694"/>
      <c r="AN24" s="694"/>
      <c r="AO24" s="694"/>
      <c r="AP24" s="694"/>
      <c r="AQ24" s="694"/>
      <c r="AR24" s="694"/>
      <c r="AS24" s="694"/>
      <c r="AT24" s="694"/>
      <c r="AU24" s="694"/>
      <c r="AV24" s="694"/>
      <c r="AW24" s="694"/>
      <c r="AX24" s="694"/>
      <c r="AY24" s="694"/>
      <c r="AZ24" s="694"/>
      <c r="BA24" s="694"/>
      <c r="BB24" s="694"/>
      <c r="BC24" s="694"/>
      <c r="BD24" s="694"/>
      <c r="BE24" s="694"/>
      <c r="BF24" s="694"/>
      <c r="BG24" s="694"/>
      <c r="BH24" s="694"/>
      <c r="BI24" s="694"/>
      <c r="BJ24" s="694"/>
    </row>
    <row r="25" spans="1:62" ht="12" customHeight="1" x14ac:dyDescent="0.2">
      <c r="A25" s="114"/>
      <c r="C25" s="694"/>
      <c r="D25" s="694"/>
      <c r="E25" s="694"/>
      <c r="F25" s="694"/>
      <c r="G25" s="694"/>
      <c r="H25" s="694"/>
      <c r="I25" s="694"/>
      <c r="J25" s="694"/>
      <c r="K25" s="694"/>
      <c r="L25" s="694"/>
      <c r="M25" s="694"/>
      <c r="N25" s="694"/>
      <c r="O25" s="694"/>
      <c r="P25" s="694"/>
      <c r="Q25" s="694"/>
      <c r="R25" s="694"/>
      <c r="S25" s="694"/>
      <c r="T25" s="694"/>
      <c r="U25" s="694"/>
      <c r="V25" s="694"/>
      <c r="W25" s="694"/>
      <c r="X25" s="694"/>
      <c r="Y25" s="694"/>
      <c r="Z25" s="694"/>
      <c r="AA25" s="694"/>
      <c r="AB25" s="694"/>
      <c r="AC25" s="694"/>
      <c r="AD25" s="694"/>
      <c r="AH25" s="694"/>
      <c r="AI25" s="694"/>
      <c r="AJ25" s="694"/>
      <c r="AK25" s="694"/>
      <c r="AL25" s="694"/>
      <c r="AM25" s="694"/>
      <c r="AN25" s="694"/>
      <c r="AO25" s="694"/>
      <c r="AP25" s="694"/>
      <c r="AQ25" s="694"/>
      <c r="AR25" s="694"/>
      <c r="AS25" s="694"/>
      <c r="AT25" s="694"/>
      <c r="AU25" s="694"/>
      <c r="AV25" s="694"/>
      <c r="AW25" s="694"/>
      <c r="AX25" s="694"/>
      <c r="AY25" s="694"/>
      <c r="AZ25" s="694"/>
      <c r="BA25" s="694"/>
      <c r="BB25" s="694"/>
      <c r="BC25" s="694"/>
      <c r="BD25" s="694"/>
      <c r="BE25" s="694"/>
      <c r="BF25" s="694"/>
      <c r="BG25" s="694"/>
      <c r="BH25" s="694"/>
      <c r="BI25" s="694"/>
      <c r="BJ25" s="694"/>
    </row>
    <row r="26" spans="1:62" ht="12" customHeight="1" x14ac:dyDescent="0.2">
      <c r="A26" s="772" t="s">
        <v>193</v>
      </c>
      <c r="B26" s="772"/>
      <c r="C26" s="698" t="s">
        <v>456</v>
      </c>
      <c r="D26" s="698"/>
      <c r="E26" s="698"/>
      <c r="F26" s="698"/>
      <c r="G26" s="698"/>
      <c r="H26" s="698"/>
      <c r="I26" s="698"/>
      <c r="J26" s="698"/>
      <c r="K26" s="698"/>
      <c r="L26" s="698"/>
      <c r="M26" s="698"/>
      <c r="N26" s="698"/>
      <c r="O26" s="698"/>
      <c r="P26" s="698"/>
      <c r="Q26" s="698"/>
      <c r="R26" s="698"/>
      <c r="S26" s="698"/>
      <c r="T26" s="698"/>
      <c r="U26" s="698"/>
      <c r="V26" s="698"/>
      <c r="W26" s="698"/>
      <c r="X26" s="698"/>
      <c r="Y26" s="698"/>
      <c r="Z26" s="698"/>
      <c r="AA26" s="698"/>
      <c r="AB26" s="698"/>
      <c r="AC26" s="698"/>
      <c r="AD26" s="698"/>
      <c r="AH26" s="694"/>
      <c r="AI26" s="694"/>
      <c r="AJ26" s="694"/>
      <c r="AK26" s="694"/>
      <c r="AL26" s="694"/>
      <c r="AM26" s="694"/>
      <c r="AN26" s="694"/>
      <c r="AO26" s="694"/>
      <c r="AP26" s="694"/>
      <c r="AQ26" s="694"/>
      <c r="AR26" s="694"/>
      <c r="AS26" s="694"/>
      <c r="AT26" s="694"/>
      <c r="AU26" s="694"/>
      <c r="AV26" s="694"/>
      <c r="AW26" s="694"/>
      <c r="AX26" s="694"/>
      <c r="AY26" s="694"/>
      <c r="AZ26" s="694"/>
      <c r="BA26" s="694"/>
      <c r="BB26" s="694"/>
      <c r="BC26" s="694"/>
      <c r="BD26" s="694"/>
      <c r="BE26" s="694"/>
      <c r="BF26" s="694"/>
      <c r="BG26" s="694"/>
      <c r="BH26" s="694"/>
      <c r="BI26" s="694"/>
      <c r="BJ26" s="694"/>
    </row>
    <row r="27" spans="1:62" ht="12" customHeight="1" x14ac:dyDescent="0.2">
      <c r="A27" s="114"/>
      <c r="C27" s="698"/>
      <c r="D27" s="698"/>
      <c r="E27" s="698"/>
      <c r="F27" s="698"/>
      <c r="G27" s="698"/>
      <c r="H27" s="698"/>
      <c r="I27" s="698"/>
      <c r="J27" s="698"/>
      <c r="K27" s="698"/>
      <c r="L27" s="698"/>
      <c r="M27" s="698"/>
      <c r="N27" s="698"/>
      <c r="O27" s="698"/>
      <c r="P27" s="698"/>
      <c r="Q27" s="698"/>
      <c r="R27" s="698"/>
      <c r="S27" s="698"/>
      <c r="T27" s="698"/>
      <c r="U27" s="698"/>
      <c r="V27" s="698"/>
      <c r="W27" s="698"/>
      <c r="X27" s="698"/>
      <c r="Y27" s="698"/>
      <c r="Z27" s="698"/>
      <c r="AA27" s="698"/>
      <c r="AB27" s="698"/>
      <c r="AC27" s="698"/>
      <c r="AD27" s="698"/>
      <c r="AF27" s="701" t="s">
        <v>116</v>
      </c>
      <c r="AG27" s="701"/>
      <c r="AH27" s="694" t="s">
        <v>192</v>
      </c>
      <c r="AI27" s="694"/>
      <c r="AJ27" s="694"/>
      <c r="AK27" s="694"/>
      <c r="AL27" s="694"/>
      <c r="AM27" s="694"/>
      <c r="AN27" s="694"/>
      <c r="AO27" s="694"/>
      <c r="AP27" s="694"/>
      <c r="AQ27" s="694"/>
      <c r="AR27" s="694"/>
      <c r="AS27" s="694"/>
      <c r="AT27" s="694"/>
      <c r="AU27" s="694"/>
      <c r="AV27" s="694"/>
      <c r="AW27" s="694"/>
      <c r="AX27" s="694"/>
      <c r="AY27" s="694"/>
      <c r="AZ27" s="694"/>
      <c r="BA27" s="694"/>
      <c r="BB27" s="694"/>
      <c r="BC27" s="694"/>
      <c r="BD27" s="694"/>
      <c r="BE27" s="694"/>
      <c r="BF27" s="694"/>
      <c r="BG27" s="694"/>
      <c r="BH27" s="694"/>
      <c r="BI27" s="694"/>
      <c r="BJ27" s="694"/>
    </row>
    <row r="28" spans="1:62" ht="12" customHeight="1" x14ac:dyDescent="0.2">
      <c r="A28" s="128"/>
      <c r="B28" s="125" t="s">
        <v>191</v>
      </c>
      <c r="C28" s="698"/>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H28" s="694"/>
      <c r="AI28" s="694"/>
      <c r="AJ28" s="694"/>
      <c r="AK28" s="694"/>
      <c r="AL28" s="694"/>
      <c r="AM28" s="694"/>
      <c r="AN28" s="694"/>
      <c r="AO28" s="694"/>
      <c r="AP28" s="694"/>
      <c r="AQ28" s="694"/>
      <c r="AR28" s="694"/>
      <c r="AS28" s="694"/>
      <c r="AT28" s="694"/>
      <c r="AU28" s="694"/>
      <c r="AV28" s="694"/>
      <c r="AW28" s="694"/>
      <c r="AX28" s="694"/>
      <c r="AY28" s="694"/>
      <c r="AZ28" s="694"/>
      <c r="BA28" s="694"/>
      <c r="BB28" s="694"/>
      <c r="BC28" s="694"/>
      <c r="BD28" s="694"/>
      <c r="BE28" s="694"/>
      <c r="BF28" s="694"/>
      <c r="BG28" s="694"/>
      <c r="BH28" s="694"/>
      <c r="BI28" s="694"/>
      <c r="BJ28" s="694"/>
    </row>
    <row r="29" spans="1:62" ht="12" customHeight="1" x14ac:dyDescent="0.2">
      <c r="A29" s="114"/>
      <c r="AC29" s="125"/>
      <c r="AF29" s="701" t="s">
        <v>82</v>
      </c>
      <c r="AG29" s="701"/>
      <c r="AH29" s="694" t="s">
        <v>190</v>
      </c>
      <c r="AI29" s="694"/>
      <c r="AJ29" s="694"/>
      <c r="AK29" s="694"/>
      <c r="AL29" s="694"/>
      <c r="AM29" s="694"/>
      <c r="AN29" s="694"/>
      <c r="AO29" s="694"/>
      <c r="AP29" s="694"/>
      <c r="AQ29" s="694"/>
      <c r="AR29" s="694"/>
      <c r="AS29" s="694"/>
      <c r="AT29" s="694"/>
      <c r="AU29" s="694"/>
      <c r="AV29" s="694"/>
      <c r="AW29" s="694"/>
      <c r="AX29" s="694"/>
      <c r="AY29" s="694"/>
      <c r="AZ29" s="694"/>
      <c r="BA29" s="694"/>
      <c r="BB29" s="694"/>
      <c r="BC29" s="694"/>
      <c r="BD29" s="694"/>
      <c r="BE29" s="694"/>
      <c r="BF29" s="694"/>
      <c r="BG29" s="694"/>
      <c r="BH29" s="694"/>
      <c r="BI29" s="694"/>
      <c r="BJ29" s="694"/>
    </row>
    <row r="30" spans="1:62" ht="12" customHeight="1" x14ac:dyDescent="0.2">
      <c r="A30" s="695" t="s">
        <v>189</v>
      </c>
      <c r="B30" s="695"/>
      <c r="C30" s="695"/>
      <c r="D30" s="695"/>
      <c r="E30" s="695"/>
      <c r="F30" s="695"/>
      <c r="G30" s="695"/>
      <c r="H30" s="695"/>
      <c r="I30" s="695"/>
      <c r="J30" s="695"/>
      <c r="K30" s="695"/>
      <c r="L30" s="695"/>
      <c r="M30" s="695"/>
      <c r="N30" s="695"/>
      <c r="O30" s="695"/>
      <c r="P30" s="695"/>
      <c r="Q30" s="695"/>
      <c r="R30" s="695"/>
      <c r="S30" s="695"/>
      <c r="T30" s="695"/>
      <c r="U30" s="695"/>
      <c r="V30" s="695"/>
      <c r="W30" s="695"/>
      <c r="X30" s="695"/>
      <c r="Y30" s="695"/>
      <c r="Z30" s="695"/>
      <c r="AA30" s="695"/>
      <c r="AB30" s="695"/>
      <c r="AC30" s="695"/>
      <c r="AD30" s="695"/>
      <c r="AH30" s="694"/>
      <c r="AI30" s="694"/>
      <c r="AJ30" s="694"/>
      <c r="AK30" s="694"/>
      <c r="AL30" s="694"/>
      <c r="AM30" s="694"/>
      <c r="AN30" s="694"/>
      <c r="AO30" s="694"/>
      <c r="AP30" s="694"/>
      <c r="AQ30" s="694"/>
      <c r="AR30" s="694"/>
      <c r="AS30" s="694"/>
      <c r="AT30" s="694"/>
      <c r="AU30" s="694"/>
      <c r="AV30" s="694"/>
      <c r="AW30" s="694"/>
      <c r="AX30" s="694"/>
      <c r="AY30" s="694"/>
      <c r="AZ30" s="694"/>
      <c r="BA30" s="694"/>
      <c r="BB30" s="694"/>
      <c r="BC30" s="694"/>
      <c r="BD30" s="694"/>
      <c r="BE30" s="694"/>
      <c r="BF30" s="694"/>
      <c r="BG30" s="694"/>
      <c r="BH30" s="694"/>
      <c r="BI30" s="694"/>
      <c r="BJ30" s="694"/>
    </row>
    <row r="31" spans="1:62" ht="12" customHeight="1" x14ac:dyDescent="0.2">
      <c r="A31" s="114"/>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row>
    <row r="32" spans="1:62" ht="12" customHeight="1" x14ac:dyDescent="0.2">
      <c r="A32" s="701" t="s">
        <v>73</v>
      </c>
      <c r="B32" s="701"/>
      <c r="C32" s="771" t="s">
        <v>187</v>
      </c>
      <c r="D32" s="771"/>
      <c r="E32" s="771"/>
      <c r="F32" s="771"/>
      <c r="G32" s="771"/>
      <c r="H32" s="771"/>
      <c r="I32" s="771"/>
      <c r="J32" s="771"/>
      <c r="K32" s="771"/>
      <c r="L32" s="771"/>
      <c r="M32" s="771"/>
      <c r="N32" s="771"/>
      <c r="O32" s="771"/>
      <c r="P32" s="771"/>
      <c r="Q32" s="771"/>
      <c r="R32" s="771"/>
      <c r="S32" s="771"/>
      <c r="T32" s="771"/>
      <c r="U32" s="771"/>
      <c r="V32" s="771"/>
      <c r="W32" s="771"/>
      <c r="X32" s="771"/>
      <c r="Y32" s="771"/>
      <c r="Z32" s="771"/>
      <c r="AA32" s="771"/>
      <c r="AB32" s="771"/>
      <c r="AC32" s="771"/>
      <c r="AD32" s="771"/>
      <c r="AF32" s="695" t="s">
        <v>188</v>
      </c>
      <c r="AG32" s="695"/>
      <c r="AH32" s="695"/>
      <c r="AI32" s="695"/>
      <c r="AJ32" s="695"/>
      <c r="AK32" s="695"/>
      <c r="AL32" s="695"/>
      <c r="AM32" s="695"/>
      <c r="AN32" s="695"/>
      <c r="AO32" s="695"/>
      <c r="AP32" s="695"/>
      <c r="AQ32" s="695"/>
      <c r="AR32" s="695"/>
      <c r="AS32" s="695"/>
      <c r="AT32" s="695"/>
      <c r="AU32" s="695"/>
      <c r="AV32" s="695"/>
      <c r="AW32" s="695"/>
      <c r="AX32" s="695"/>
      <c r="AY32" s="695"/>
      <c r="AZ32" s="695"/>
      <c r="BA32" s="695"/>
      <c r="BB32" s="695"/>
      <c r="BC32" s="695"/>
      <c r="BD32" s="695"/>
      <c r="BE32" s="695"/>
      <c r="BF32" s="695"/>
      <c r="BG32" s="695"/>
      <c r="BH32" s="695"/>
      <c r="BI32" s="695"/>
      <c r="BJ32" s="695"/>
    </row>
    <row r="33" spans="1:62" ht="12" customHeight="1" x14ac:dyDescent="0.2">
      <c r="A33" s="701" t="s">
        <v>186</v>
      </c>
      <c r="B33" s="701"/>
      <c r="C33" s="694" t="s">
        <v>185</v>
      </c>
      <c r="D33" s="694"/>
      <c r="E33" s="694"/>
      <c r="F33" s="694"/>
      <c r="G33" s="694"/>
      <c r="H33" s="694"/>
      <c r="I33" s="694"/>
      <c r="J33" s="694"/>
      <c r="K33" s="694"/>
      <c r="L33" s="694"/>
      <c r="M33" s="694"/>
      <c r="N33" s="694"/>
      <c r="O33" s="694"/>
      <c r="P33" s="694"/>
      <c r="Q33" s="694"/>
      <c r="R33" s="694"/>
      <c r="S33" s="694"/>
      <c r="T33" s="694"/>
      <c r="U33" s="694"/>
      <c r="V33" s="694"/>
      <c r="W33" s="694"/>
      <c r="X33" s="694"/>
      <c r="Y33" s="694"/>
      <c r="Z33" s="694"/>
      <c r="AA33" s="694"/>
      <c r="AB33" s="694"/>
      <c r="AC33" s="694"/>
      <c r="AD33" s="694"/>
    </row>
    <row r="34" spans="1:62" ht="12" customHeight="1" x14ac:dyDescent="0.2">
      <c r="A34" s="114"/>
      <c r="B34" s="114"/>
      <c r="C34" s="694"/>
      <c r="D34" s="694"/>
      <c r="E34" s="694"/>
      <c r="F34" s="694"/>
      <c r="G34" s="694"/>
      <c r="H34" s="694"/>
      <c r="I34" s="694"/>
      <c r="J34" s="694"/>
      <c r="K34" s="694"/>
      <c r="L34" s="694"/>
      <c r="M34" s="694"/>
      <c r="N34" s="694"/>
      <c r="O34" s="694"/>
      <c r="P34" s="694"/>
      <c r="Q34" s="694"/>
      <c r="R34" s="694"/>
      <c r="S34" s="694"/>
      <c r="T34" s="694"/>
      <c r="U34" s="694"/>
      <c r="V34" s="694"/>
      <c r="W34" s="694"/>
      <c r="X34" s="694"/>
      <c r="Y34" s="694"/>
      <c r="Z34" s="694"/>
      <c r="AA34" s="694"/>
      <c r="AB34" s="694"/>
      <c r="AC34" s="694"/>
      <c r="AD34" s="694"/>
      <c r="AF34" s="701" t="s">
        <v>48</v>
      </c>
      <c r="AG34" s="701"/>
      <c r="AH34" s="694" t="s">
        <v>463</v>
      </c>
      <c r="AI34" s="694"/>
      <c r="AJ34" s="694"/>
      <c r="AK34" s="694"/>
      <c r="AL34" s="694"/>
      <c r="AM34" s="694"/>
      <c r="AN34" s="694"/>
      <c r="AO34" s="694"/>
      <c r="AP34" s="694"/>
      <c r="AQ34" s="694"/>
      <c r="AR34" s="694"/>
      <c r="AS34" s="694"/>
      <c r="AT34" s="694"/>
      <c r="AU34" s="694"/>
      <c r="AV34" s="694"/>
      <c r="AW34" s="694"/>
      <c r="AX34" s="694"/>
      <c r="AY34" s="694"/>
      <c r="AZ34" s="694"/>
      <c r="BA34" s="694"/>
      <c r="BB34" s="694"/>
      <c r="BC34" s="694"/>
      <c r="BD34" s="694"/>
      <c r="BE34" s="694"/>
      <c r="BF34" s="694"/>
      <c r="BG34" s="694"/>
      <c r="BH34" s="694"/>
      <c r="BI34" s="694"/>
      <c r="BJ34" s="694"/>
    </row>
    <row r="35" spans="1:62" ht="12" customHeight="1" x14ac:dyDescent="0.2">
      <c r="A35" s="114"/>
      <c r="C35" s="694"/>
      <c r="D35" s="694"/>
      <c r="E35" s="694"/>
      <c r="F35" s="694"/>
      <c r="G35" s="694"/>
      <c r="H35" s="694"/>
      <c r="I35" s="694"/>
      <c r="J35" s="694"/>
      <c r="K35" s="694"/>
      <c r="L35" s="694"/>
      <c r="M35" s="694"/>
      <c r="N35" s="694"/>
      <c r="O35" s="694"/>
      <c r="P35" s="694"/>
      <c r="Q35" s="694"/>
      <c r="R35" s="694"/>
      <c r="S35" s="694"/>
      <c r="T35" s="694"/>
      <c r="U35" s="694"/>
      <c r="V35" s="694"/>
      <c r="W35" s="694"/>
      <c r="X35" s="694"/>
      <c r="Y35" s="694"/>
      <c r="Z35" s="694"/>
      <c r="AA35" s="694"/>
      <c r="AB35" s="694"/>
      <c r="AC35" s="694"/>
      <c r="AD35" s="694"/>
      <c r="AF35" s="114"/>
      <c r="AG35" s="114"/>
      <c r="AH35" s="694"/>
      <c r="AI35" s="694"/>
      <c r="AJ35" s="694"/>
      <c r="AK35" s="694"/>
      <c r="AL35" s="694"/>
      <c r="AM35" s="694"/>
      <c r="AN35" s="694"/>
      <c r="AO35" s="694"/>
      <c r="AP35" s="694"/>
      <c r="AQ35" s="694"/>
      <c r="AR35" s="694"/>
      <c r="AS35" s="694"/>
      <c r="AT35" s="694"/>
      <c r="AU35" s="694"/>
      <c r="AV35" s="694"/>
      <c r="AW35" s="694"/>
      <c r="AX35" s="694"/>
      <c r="AY35" s="694"/>
      <c r="AZ35" s="694"/>
      <c r="BA35" s="694"/>
      <c r="BB35" s="694"/>
      <c r="BC35" s="694"/>
      <c r="BD35" s="694"/>
      <c r="BE35" s="694"/>
      <c r="BF35" s="694"/>
      <c r="BG35" s="694"/>
      <c r="BH35" s="694"/>
      <c r="BI35" s="694"/>
      <c r="BJ35" s="694"/>
    </row>
    <row r="36" spans="1:62" ht="12" customHeight="1" x14ac:dyDescent="0.2">
      <c r="A36" s="114"/>
      <c r="C36" s="694"/>
      <c r="D36" s="694"/>
      <c r="E36" s="694"/>
      <c r="F36" s="694"/>
      <c r="G36" s="694"/>
      <c r="H36" s="694"/>
      <c r="I36" s="694"/>
      <c r="J36" s="694"/>
      <c r="K36" s="694"/>
      <c r="L36" s="694"/>
      <c r="M36" s="694"/>
      <c r="N36" s="694"/>
      <c r="O36" s="694"/>
      <c r="P36" s="694"/>
      <c r="Q36" s="694"/>
      <c r="R36" s="694"/>
      <c r="S36" s="694"/>
      <c r="T36" s="694"/>
      <c r="U36" s="694"/>
      <c r="V36" s="694"/>
      <c r="W36" s="694"/>
      <c r="X36" s="694"/>
      <c r="Y36" s="694"/>
      <c r="Z36" s="694"/>
      <c r="AA36" s="694"/>
      <c r="AB36" s="694"/>
      <c r="AC36" s="694"/>
      <c r="AD36" s="694"/>
      <c r="AH36" s="694"/>
      <c r="AI36" s="694"/>
      <c r="AJ36" s="694"/>
      <c r="AK36" s="694"/>
      <c r="AL36" s="694"/>
      <c r="AM36" s="694"/>
      <c r="AN36" s="694"/>
      <c r="AO36" s="694"/>
      <c r="AP36" s="694"/>
      <c r="AQ36" s="694"/>
      <c r="AR36" s="694"/>
      <c r="AS36" s="694"/>
      <c r="AT36" s="694"/>
      <c r="AU36" s="694"/>
      <c r="AV36" s="694"/>
      <c r="AW36" s="694"/>
      <c r="AX36" s="694"/>
      <c r="AY36" s="694"/>
      <c r="AZ36" s="694"/>
      <c r="BA36" s="694"/>
      <c r="BB36" s="694"/>
      <c r="BC36" s="694"/>
      <c r="BD36" s="694"/>
      <c r="BE36" s="694"/>
      <c r="BF36" s="694"/>
      <c r="BG36" s="694"/>
      <c r="BH36" s="694"/>
      <c r="BI36" s="694"/>
      <c r="BJ36" s="694"/>
    </row>
    <row r="37" spans="1:62" ht="12" customHeight="1" x14ac:dyDescent="0.2">
      <c r="A37" s="712" t="s">
        <v>183</v>
      </c>
      <c r="B37" s="712"/>
      <c r="C37" s="694" t="s">
        <v>182</v>
      </c>
      <c r="D37" s="694"/>
      <c r="E37" s="694"/>
      <c r="F37" s="694"/>
      <c r="G37" s="694"/>
      <c r="H37" s="694"/>
      <c r="I37" s="694"/>
      <c r="J37" s="694"/>
      <c r="K37" s="694"/>
      <c r="L37" s="694"/>
      <c r="M37" s="694"/>
      <c r="N37" s="694"/>
      <c r="O37" s="694"/>
      <c r="P37" s="694"/>
      <c r="Q37" s="694"/>
      <c r="R37" s="694"/>
      <c r="S37" s="694"/>
      <c r="T37" s="694"/>
      <c r="U37" s="694"/>
      <c r="V37" s="694"/>
      <c r="W37" s="694"/>
      <c r="X37" s="694"/>
      <c r="Y37" s="694"/>
      <c r="Z37" s="694"/>
      <c r="AA37" s="694"/>
      <c r="AB37" s="694"/>
      <c r="AC37" s="694"/>
      <c r="AD37" s="694"/>
      <c r="AF37" s="701" t="s">
        <v>184</v>
      </c>
      <c r="AG37" s="701"/>
      <c r="AH37" s="694" t="s">
        <v>427</v>
      </c>
      <c r="AI37" s="694"/>
      <c r="AJ37" s="694"/>
      <c r="AK37" s="694"/>
      <c r="AL37" s="694"/>
      <c r="AM37" s="694"/>
      <c r="AN37" s="694"/>
      <c r="AO37" s="694"/>
      <c r="AP37" s="694"/>
      <c r="AQ37" s="694"/>
      <c r="AR37" s="694"/>
      <c r="AS37" s="694"/>
      <c r="AT37" s="694"/>
      <c r="AU37" s="694"/>
      <c r="AV37" s="694"/>
      <c r="AW37" s="694"/>
      <c r="AX37" s="694"/>
      <c r="AY37" s="694"/>
      <c r="AZ37" s="694"/>
      <c r="BA37" s="694"/>
      <c r="BB37" s="694"/>
      <c r="BC37" s="694"/>
      <c r="BD37" s="694"/>
      <c r="BE37" s="694"/>
      <c r="BF37" s="694"/>
      <c r="BG37" s="694"/>
      <c r="BH37" s="694"/>
      <c r="BI37" s="694"/>
      <c r="BJ37" s="694"/>
    </row>
    <row r="38" spans="1:62" ht="12" customHeight="1" x14ac:dyDescent="0.2">
      <c r="A38" s="114"/>
      <c r="B38" s="114"/>
      <c r="C38" s="694"/>
      <c r="D38" s="694"/>
      <c r="E38" s="694"/>
      <c r="F38" s="694"/>
      <c r="G38" s="694"/>
      <c r="H38" s="694"/>
      <c r="I38" s="694"/>
      <c r="J38" s="694"/>
      <c r="K38" s="694"/>
      <c r="L38" s="694"/>
      <c r="M38" s="694"/>
      <c r="N38" s="694"/>
      <c r="O38" s="694"/>
      <c r="P38" s="694"/>
      <c r="Q38" s="694"/>
      <c r="R38" s="694"/>
      <c r="S38" s="694"/>
      <c r="T38" s="694"/>
      <c r="U38" s="694"/>
      <c r="V38" s="694"/>
      <c r="W38" s="694"/>
      <c r="X38" s="694"/>
      <c r="Y38" s="694"/>
      <c r="Z38" s="694"/>
      <c r="AA38" s="694"/>
      <c r="AB38" s="694"/>
      <c r="AC38" s="694"/>
      <c r="AD38" s="694"/>
      <c r="AF38" s="114"/>
      <c r="AG38" s="114"/>
      <c r="AH38" s="694"/>
      <c r="AI38" s="694"/>
      <c r="AJ38" s="694"/>
      <c r="AK38" s="694"/>
      <c r="AL38" s="694"/>
      <c r="AM38" s="694"/>
      <c r="AN38" s="694"/>
      <c r="AO38" s="694"/>
      <c r="AP38" s="694"/>
      <c r="AQ38" s="694"/>
      <c r="AR38" s="694"/>
      <c r="AS38" s="694"/>
      <c r="AT38" s="694"/>
      <c r="AU38" s="694"/>
      <c r="AV38" s="694"/>
      <c r="AW38" s="694"/>
      <c r="AX38" s="694"/>
      <c r="AY38" s="694"/>
      <c r="AZ38" s="694"/>
      <c r="BA38" s="694"/>
      <c r="BB38" s="694"/>
      <c r="BC38" s="694"/>
      <c r="BD38" s="694"/>
      <c r="BE38" s="694"/>
      <c r="BF38" s="694"/>
      <c r="BG38" s="694"/>
      <c r="BH38" s="694"/>
      <c r="BI38" s="694"/>
      <c r="BJ38" s="694"/>
    </row>
    <row r="39" spans="1:62" ht="12" customHeight="1" x14ac:dyDescent="0.2">
      <c r="A39" s="701" t="s">
        <v>181</v>
      </c>
      <c r="B39" s="701"/>
      <c r="C39" s="694" t="s">
        <v>457</v>
      </c>
      <c r="D39" s="694"/>
      <c r="E39" s="694"/>
      <c r="F39" s="694"/>
      <c r="G39" s="694"/>
      <c r="H39" s="694"/>
      <c r="I39" s="694"/>
      <c r="J39" s="694"/>
      <c r="K39" s="694"/>
      <c r="L39" s="694"/>
      <c r="M39" s="694"/>
      <c r="N39" s="694"/>
      <c r="O39" s="694"/>
      <c r="P39" s="694"/>
      <c r="Q39" s="694"/>
      <c r="R39" s="694"/>
      <c r="S39" s="694"/>
      <c r="T39" s="694"/>
      <c r="U39" s="694"/>
      <c r="V39" s="694"/>
      <c r="W39" s="694"/>
      <c r="X39" s="694"/>
      <c r="Y39" s="694"/>
      <c r="Z39" s="694"/>
      <c r="AA39" s="694"/>
      <c r="AB39" s="694"/>
      <c r="AC39" s="694"/>
      <c r="AD39" s="694"/>
      <c r="AH39" s="694"/>
      <c r="AI39" s="694"/>
      <c r="AJ39" s="694"/>
      <c r="AK39" s="694"/>
      <c r="AL39" s="694"/>
      <c r="AM39" s="694"/>
      <c r="AN39" s="694"/>
      <c r="AO39" s="694"/>
      <c r="AP39" s="694"/>
      <c r="AQ39" s="694"/>
      <c r="AR39" s="694"/>
      <c r="AS39" s="694"/>
      <c r="AT39" s="694"/>
      <c r="AU39" s="694"/>
      <c r="AV39" s="694"/>
      <c r="AW39" s="694"/>
      <c r="AX39" s="694"/>
      <c r="AY39" s="694"/>
      <c r="AZ39" s="694"/>
      <c r="BA39" s="694"/>
      <c r="BB39" s="694"/>
      <c r="BC39" s="694"/>
      <c r="BD39" s="694"/>
      <c r="BE39" s="694"/>
      <c r="BF39" s="694"/>
      <c r="BG39" s="694"/>
      <c r="BH39" s="694"/>
      <c r="BI39" s="694"/>
      <c r="BJ39" s="694"/>
    </row>
    <row r="40" spans="1:62" ht="12" customHeight="1" x14ac:dyDescent="0.2">
      <c r="A40" s="114"/>
      <c r="B40" s="114"/>
      <c r="C40" s="694"/>
      <c r="D40" s="694"/>
      <c r="E40" s="694"/>
      <c r="F40" s="694"/>
      <c r="G40" s="694"/>
      <c r="H40" s="694"/>
      <c r="I40" s="694"/>
      <c r="J40" s="694"/>
      <c r="K40" s="694"/>
      <c r="L40" s="694"/>
      <c r="M40" s="694"/>
      <c r="N40" s="694"/>
      <c r="O40" s="694"/>
      <c r="P40" s="694"/>
      <c r="Q40" s="694"/>
      <c r="R40" s="694"/>
      <c r="S40" s="694"/>
      <c r="T40" s="694"/>
      <c r="U40" s="694"/>
      <c r="V40" s="694"/>
      <c r="W40" s="694"/>
      <c r="X40" s="694"/>
      <c r="Y40" s="694"/>
      <c r="Z40" s="694"/>
      <c r="AA40" s="694"/>
      <c r="AB40" s="694"/>
      <c r="AC40" s="694"/>
      <c r="AD40" s="694"/>
      <c r="AF40" s="701" t="s">
        <v>180</v>
      </c>
      <c r="AG40" s="701"/>
      <c r="AH40" s="694" t="s">
        <v>179</v>
      </c>
      <c r="AI40" s="694"/>
      <c r="AJ40" s="694"/>
      <c r="AK40" s="694"/>
      <c r="AL40" s="694"/>
      <c r="AM40" s="694"/>
      <c r="AN40" s="694"/>
      <c r="AO40" s="694"/>
      <c r="AP40" s="694"/>
      <c r="AQ40" s="694"/>
      <c r="AR40" s="694"/>
      <c r="AS40" s="694"/>
      <c r="AT40" s="694"/>
      <c r="AU40" s="694"/>
      <c r="AV40" s="694"/>
      <c r="AW40" s="694"/>
      <c r="AX40" s="694"/>
      <c r="AY40" s="694"/>
      <c r="AZ40" s="694"/>
      <c r="BA40" s="694"/>
      <c r="BB40" s="694"/>
      <c r="BC40" s="694"/>
      <c r="BD40" s="694"/>
      <c r="BE40" s="694"/>
      <c r="BF40" s="694"/>
      <c r="BG40" s="694"/>
      <c r="BH40" s="694"/>
      <c r="BI40" s="694"/>
      <c r="BJ40" s="694"/>
    </row>
    <row r="41" spans="1:62" ht="12" customHeight="1" x14ac:dyDescent="0.2">
      <c r="A41" s="114"/>
      <c r="C41" s="694"/>
      <c r="D41" s="694"/>
      <c r="E41" s="694"/>
      <c r="F41" s="694"/>
      <c r="G41" s="694"/>
      <c r="H41" s="694"/>
      <c r="I41" s="694"/>
      <c r="J41" s="694"/>
      <c r="K41" s="694"/>
      <c r="L41" s="694"/>
      <c r="M41" s="694"/>
      <c r="N41" s="694"/>
      <c r="O41" s="694"/>
      <c r="P41" s="694"/>
      <c r="Q41" s="694"/>
      <c r="R41" s="694"/>
      <c r="S41" s="694"/>
      <c r="T41" s="694"/>
      <c r="U41" s="694"/>
      <c r="V41" s="694"/>
      <c r="W41" s="694"/>
      <c r="X41" s="694"/>
      <c r="Y41" s="694"/>
      <c r="Z41" s="694"/>
      <c r="AA41" s="694"/>
      <c r="AB41" s="694"/>
      <c r="AC41" s="694"/>
      <c r="AD41" s="694"/>
    </row>
    <row r="42" spans="1:62" ht="12" customHeight="1" x14ac:dyDescent="0.2">
      <c r="A42" s="701" t="s">
        <v>178</v>
      </c>
      <c r="B42" s="701"/>
      <c r="C42" s="704" t="s">
        <v>177</v>
      </c>
      <c r="D42" s="704"/>
      <c r="E42" s="704"/>
      <c r="F42" s="704"/>
      <c r="G42" s="704"/>
      <c r="H42" s="704"/>
      <c r="I42" s="704"/>
      <c r="J42" s="704"/>
      <c r="K42" s="704"/>
      <c r="L42" s="704"/>
      <c r="M42" s="704"/>
      <c r="N42" s="704"/>
      <c r="O42" s="704"/>
      <c r="P42" s="704"/>
      <c r="Q42" s="704"/>
      <c r="R42" s="704"/>
      <c r="S42" s="704"/>
      <c r="T42" s="704"/>
      <c r="U42" s="704"/>
      <c r="V42" s="704"/>
      <c r="W42" s="704"/>
      <c r="X42" s="704"/>
      <c r="Y42" s="704"/>
      <c r="Z42" s="704"/>
      <c r="AA42" s="704"/>
      <c r="AB42" s="704"/>
      <c r="AC42" s="704"/>
      <c r="AD42" s="704"/>
      <c r="AF42" s="695" t="s">
        <v>176</v>
      </c>
      <c r="AG42" s="695"/>
      <c r="AH42" s="695"/>
      <c r="AI42" s="695"/>
      <c r="AJ42" s="695"/>
      <c r="AK42" s="695"/>
      <c r="AL42" s="695"/>
      <c r="AM42" s="695"/>
      <c r="AN42" s="695"/>
      <c r="AO42" s="695"/>
      <c r="AP42" s="695"/>
      <c r="AQ42" s="695"/>
      <c r="AR42" s="695"/>
      <c r="AS42" s="695"/>
      <c r="AT42" s="695"/>
      <c r="AU42" s="695"/>
      <c r="AV42" s="695"/>
      <c r="AW42" s="695"/>
      <c r="AX42" s="695"/>
      <c r="AY42" s="695"/>
      <c r="AZ42" s="695"/>
      <c r="BA42" s="695"/>
      <c r="BB42" s="695"/>
      <c r="BC42" s="695"/>
      <c r="BD42" s="695"/>
      <c r="BE42" s="695"/>
      <c r="BF42" s="695"/>
      <c r="BG42" s="695"/>
      <c r="BH42" s="695"/>
      <c r="BI42" s="695"/>
      <c r="BJ42" s="695"/>
    </row>
    <row r="43" spans="1:62" ht="12" customHeight="1" x14ac:dyDescent="0.2">
      <c r="A43" s="699" t="s">
        <v>175</v>
      </c>
      <c r="B43" s="699"/>
      <c r="C43" s="694" t="s">
        <v>174</v>
      </c>
      <c r="D43" s="694"/>
      <c r="E43" s="694"/>
      <c r="F43" s="694"/>
      <c r="G43" s="694"/>
      <c r="H43" s="694"/>
      <c r="I43" s="694"/>
      <c r="J43" s="694"/>
      <c r="K43" s="694"/>
      <c r="L43" s="694"/>
      <c r="M43" s="694"/>
      <c r="N43" s="694"/>
      <c r="O43" s="694"/>
      <c r="P43" s="694"/>
      <c r="Q43" s="694"/>
      <c r="R43" s="694"/>
      <c r="S43" s="694"/>
      <c r="T43" s="694"/>
      <c r="U43" s="694"/>
      <c r="V43" s="694"/>
      <c r="W43" s="694"/>
      <c r="X43" s="694"/>
      <c r="Y43" s="694"/>
      <c r="Z43" s="694"/>
      <c r="AA43" s="694"/>
      <c r="AB43" s="694"/>
      <c r="AC43" s="694"/>
      <c r="AD43" s="694"/>
    </row>
    <row r="44" spans="1:62" ht="12" customHeight="1" x14ac:dyDescent="0.2">
      <c r="A44" s="115"/>
      <c r="B44" s="115"/>
      <c r="C44" s="694"/>
      <c r="D44" s="694"/>
      <c r="E44" s="694"/>
      <c r="F44" s="694"/>
      <c r="G44" s="694"/>
      <c r="H44" s="694"/>
      <c r="I44" s="694"/>
      <c r="J44" s="694"/>
      <c r="K44" s="694"/>
      <c r="L44" s="694"/>
      <c r="M44" s="694"/>
      <c r="N44" s="694"/>
      <c r="O44" s="694"/>
      <c r="P44" s="694"/>
      <c r="Q44" s="694"/>
      <c r="R44" s="694"/>
      <c r="S44" s="694"/>
      <c r="T44" s="694"/>
      <c r="U44" s="694"/>
      <c r="V44" s="694"/>
      <c r="W44" s="694"/>
      <c r="X44" s="694"/>
      <c r="Y44" s="694"/>
      <c r="Z44" s="694"/>
      <c r="AA44" s="694"/>
      <c r="AB44" s="694"/>
      <c r="AC44" s="694"/>
      <c r="AD44" s="694"/>
      <c r="AF44" s="701" t="s">
        <v>45</v>
      </c>
      <c r="AG44" s="701"/>
      <c r="AH44" s="694" t="str">
        <f>"Bu müqavilə Azərbaycan dilində 3 (üç) nüsxədə tərtib olunmuşdur. Nüsxələrdən biri  «Borc verən»də, biri «Borc alan»da, digəri isə «Zamin»da saxlanılır."</f>
        <v>Bu müqavilə Azərbaycan dilində 3 (üç) nüsxədə tərtib olunmuşdur. Nüsxələrdən biri  «Borc verən»də, biri «Borc alan»da, digəri isə «Zamin»da saxlanılır.</v>
      </c>
      <c r="AI44" s="694"/>
      <c r="AJ44" s="694"/>
      <c r="AK44" s="694"/>
      <c r="AL44" s="694"/>
      <c r="AM44" s="694"/>
      <c r="AN44" s="694"/>
      <c r="AO44" s="694"/>
      <c r="AP44" s="694"/>
      <c r="AQ44" s="694"/>
      <c r="AR44" s="694"/>
      <c r="AS44" s="694"/>
      <c r="AT44" s="694"/>
      <c r="AU44" s="694"/>
      <c r="AV44" s="694"/>
      <c r="AW44" s="694"/>
      <c r="AX44" s="694"/>
      <c r="AY44" s="694"/>
      <c r="AZ44" s="694"/>
      <c r="BA44" s="694"/>
      <c r="BB44" s="694"/>
      <c r="BC44" s="694"/>
      <c r="BD44" s="694"/>
      <c r="BE44" s="694"/>
      <c r="BF44" s="694"/>
      <c r="BG44" s="694"/>
      <c r="BH44" s="694"/>
      <c r="BI44" s="694"/>
      <c r="BJ44" s="694"/>
    </row>
    <row r="45" spans="1:62" ht="12" customHeight="1" x14ac:dyDescent="0.2">
      <c r="A45" s="701" t="s">
        <v>173</v>
      </c>
      <c r="B45" s="701"/>
      <c r="C45" s="694" t="str">
        <f>"Zaminliklə təmin edilmiş öhdəlik icra edilmədikdə və ya lazımınca icra edilmədikdə  «Borc verən»in ilk tələbi ilə heç bir etiraz etmədən kredit məbləğini, hesablanmış faizləri, "&amp;"dəbbə pulunu, habelə  «Borc verən»in çəkmiş olduğu hər hansı digər xərc və zərəri 3 (üç) iş günü ərzində tamamilə ödəmək;"</f>
        <v>Zaminliklə təmin edilmiş öhdəlik icra edilmədikdə və ya lazımınca icra edilmədikdə  «Borc verən»in ilk tələbi ilə heç bir etiraz etmədən kredit məbləğini, hesablanmış faizləri, dəbbə pulunu, habelə  «Borc verən»in çəkmiş olduğu hər hansı digər xərc və zərəri 3 (üç) iş günü ərzində tamamilə ödəmək;</v>
      </c>
      <c r="D45" s="694"/>
      <c r="E45" s="694"/>
      <c r="F45" s="694"/>
      <c r="G45" s="694"/>
      <c r="H45" s="694"/>
      <c r="I45" s="694"/>
      <c r="J45" s="694"/>
      <c r="K45" s="694"/>
      <c r="L45" s="694"/>
      <c r="M45" s="694"/>
      <c r="N45" s="694"/>
      <c r="O45" s="694"/>
      <c r="P45" s="694"/>
      <c r="Q45" s="694"/>
      <c r="R45" s="694"/>
      <c r="S45" s="694"/>
      <c r="T45" s="694"/>
      <c r="U45" s="694"/>
      <c r="V45" s="694"/>
      <c r="W45" s="694"/>
      <c r="X45" s="694"/>
      <c r="Y45" s="694"/>
      <c r="Z45" s="694"/>
      <c r="AA45" s="694"/>
      <c r="AB45" s="694"/>
      <c r="AC45" s="694"/>
      <c r="AD45" s="694"/>
      <c r="AH45" s="694"/>
      <c r="AI45" s="694"/>
      <c r="AJ45" s="694"/>
      <c r="AK45" s="694"/>
      <c r="AL45" s="694"/>
      <c r="AM45" s="694"/>
      <c r="AN45" s="694"/>
      <c r="AO45" s="694"/>
      <c r="AP45" s="694"/>
      <c r="AQ45" s="694"/>
      <c r="AR45" s="694"/>
      <c r="AS45" s="694"/>
      <c r="AT45" s="694"/>
      <c r="AU45" s="694"/>
      <c r="AV45" s="694"/>
      <c r="AW45" s="694"/>
      <c r="AX45" s="694"/>
      <c r="AY45" s="694"/>
      <c r="AZ45" s="694"/>
      <c r="BA45" s="694"/>
      <c r="BB45" s="694"/>
      <c r="BC45" s="694"/>
      <c r="BD45" s="694"/>
      <c r="BE45" s="694"/>
      <c r="BF45" s="694"/>
      <c r="BG45" s="694"/>
      <c r="BH45" s="694"/>
      <c r="BI45" s="694"/>
      <c r="BJ45" s="694"/>
    </row>
    <row r="46" spans="1:62" ht="12" customHeight="1" x14ac:dyDescent="0.2">
      <c r="A46" s="11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694"/>
      <c r="AF46" s="701" t="s">
        <v>172</v>
      </c>
      <c r="AG46" s="701"/>
      <c r="AH46" s="694" t="s">
        <v>171</v>
      </c>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c r="BH46" s="694"/>
      <c r="BI46" s="694"/>
      <c r="BJ46" s="694"/>
    </row>
    <row r="47" spans="1:62" ht="12" customHeight="1" x14ac:dyDescent="0.2">
      <c r="A47" s="114"/>
      <c r="C47" s="694"/>
      <c r="D47" s="694"/>
      <c r="E47" s="694"/>
      <c r="F47" s="694"/>
      <c r="G47" s="694"/>
      <c r="H47" s="694"/>
      <c r="I47" s="694"/>
      <c r="J47" s="694"/>
      <c r="K47" s="694"/>
      <c r="L47" s="694"/>
      <c r="M47" s="694"/>
      <c r="N47" s="694"/>
      <c r="O47" s="694"/>
      <c r="P47" s="694"/>
      <c r="Q47" s="694"/>
      <c r="R47" s="694"/>
      <c r="S47" s="694"/>
      <c r="T47" s="694"/>
      <c r="U47" s="694"/>
      <c r="V47" s="694"/>
      <c r="W47" s="694"/>
      <c r="X47" s="694"/>
      <c r="Y47" s="694"/>
      <c r="Z47" s="694"/>
      <c r="AA47" s="694"/>
      <c r="AB47" s="694"/>
      <c r="AC47" s="694"/>
      <c r="AD47" s="694"/>
      <c r="AH47" s="694"/>
      <c r="AI47" s="694"/>
      <c r="AJ47" s="694"/>
      <c r="AK47" s="694"/>
      <c r="AL47" s="694"/>
      <c r="AM47" s="694"/>
      <c r="AN47" s="694"/>
      <c r="AO47" s="694"/>
      <c r="AP47" s="694"/>
      <c r="AQ47" s="694"/>
      <c r="AR47" s="694"/>
      <c r="AS47" s="694"/>
      <c r="AT47" s="694"/>
      <c r="AU47" s="694"/>
      <c r="AV47" s="694"/>
      <c r="AW47" s="694"/>
      <c r="AX47" s="694"/>
      <c r="AY47" s="694"/>
      <c r="AZ47" s="694"/>
      <c r="BA47" s="694"/>
      <c r="BB47" s="694"/>
      <c r="BC47" s="694"/>
      <c r="BD47" s="694"/>
      <c r="BE47" s="694"/>
      <c r="BF47" s="694"/>
      <c r="BG47" s="694"/>
      <c r="BH47" s="694"/>
      <c r="BI47" s="694"/>
      <c r="BJ47" s="694"/>
    </row>
    <row r="48" spans="1:62" ht="12" customHeight="1" x14ac:dyDescent="0.2">
      <c r="A48" s="114"/>
      <c r="C48" s="694"/>
      <c r="D48" s="694"/>
      <c r="E48" s="694"/>
      <c r="F48" s="694"/>
      <c r="G48" s="694"/>
      <c r="H48" s="694"/>
      <c r="I48" s="694"/>
      <c r="J48" s="694"/>
      <c r="K48" s="694"/>
      <c r="L48" s="694"/>
      <c r="M48" s="694"/>
      <c r="N48" s="694"/>
      <c r="O48" s="694"/>
      <c r="P48" s="694"/>
      <c r="Q48" s="694"/>
      <c r="R48" s="694"/>
      <c r="S48" s="694"/>
      <c r="T48" s="694"/>
      <c r="U48" s="694"/>
      <c r="V48" s="694"/>
      <c r="W48" s="694"/>
      <c r="X48" s="694"/>
      <c r="Y48" s="694"/>
      <c r="Z48" s="694"/>
      <c r="AA48" s="694"/>
      <c r="AB48" s="694"/>
      <c r="AC48" s="694"/>
      <c r="AD48" s="694"/>
      <c r="AH48" s="694"/>
      <c r="AI48" s="694"/>
      <c r="AJ48" s="694"/>
      <c r="AK48" s="694"/>
      <c r="AL48" s="694"/>
      <c r="AM48" s="694"/>
      <c r="AN48" s="694"/>
      <c r="AO48" s="694"/>
      <c r="AP48" s="694"/>
      <c r="AQ48" s="694"/>
      <c r="AR48" s="694"/>
      <c r="AS48" s="694"/>
      <c r="AT48" s="694"/>
      <c r="AU48" s="694"/>
      <c r="AV48" s="694"/>
      <c r="AW48" s="694"/>
      <c r="AX48" s="694"/>
      <c r="AY48" s="694"/>
      <c r="AZ48" s="694"/>
      <c r="BA48" s="694"/>
      <c r="BB48" s="694"/>
      <c r="BC48" s="694"/>
      <c r="BD48" s="694"/>
      <c r="BE48" s="694"/>
      <c r="BF48" s="694"/>
      <c r="BG48" s="694"/>
      <c r="BH48" s="694"/>
      <c r="BI48" s="694"/>
      <c r="BJ48" s="694"/>
    </row>
    <row r="49" spans="1:62" ht="12" customHeight="1" x14ac:dyDescent="0.2">
      <c r="A49" s="699" t="s">
        <v>170</v>
      </c>
      <c r="B49" s="699"/>
      <c r="C49" s="694" t="s">
        <v>458</v>
      </c>
      <c r="D49" s="694"/>
      <c r="E49" s="694"/>
      <c r="F49" s="694"/>
      <c r="G49" s="694"/>
      <c r="H49" s="694"/>
      <c r="I49" s="694"/>
      <c r="J49" s="694"/>
      <c r="K49" s="694"/>
      <c r="L49" s="694"/>
      <c r="M49" s="694"/>
      <c r="N49" s="694"/>
      <c r="O49" s="694"/>
      <c r="P49" s="694"/>
      <c r="Q49" s="694"/>
      <c r="R49" s="694"/>
      <c r="S49" s="694"/>
      <c r="T49" s="694"/>
      <c r="U49" s="694"/>
      <c r="V49" s="694"/>
      <c r="W49" s="694"/>
      <c r="X49" s="694"/>
      <c r="Y49" s="694"/>
      <c r="Z49" s="694"/>
      <c r="AA49" s="694"/>
      <c r="AB49" s="694"/>
      <c r="AC49" s="694"/>
      <c r="AD49" s="694"/>
      <c r="AF49" s="97"/>
      <c r="AG49" s="97"/>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7"/>
    </row>
    <row r="50" spans="1:62" ht="12" customHeight="1" x14ac:dyDescent="0.2">
      <c r="A50" s="114"/>
      <c r="AF50" s="97"/>
      <c r="AG50" s="97"/>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148"/>
      <c r="BJ50" s="87"/>
    </row>
    <row r="51" spans="1:62" ht="12" customHeight="1" x14ac:dyDescent="0.2">
      <c r="A51" s="711" t="s">
        <v>35</v>
      </c>
      <c r="B51" s="711"/>
      <c r="C51" s="711"/>
      <c r="D51" s="711"/>
      <c r="E51" s="711"/>
      <c r="F51" s="711"/>
      <c r="G51" s="711"/>
      <c r="H51" s="711"/>
      <c r="I51" s="711"/>
      <c r="J51" s="711"/>
      <c r="K51" s="711"/>
      <c r="L51" s="711"/>
      <c r="M51" s="711"/>
      <c r="N51" s="711"/>
      <c r="O51" s="711"/>
      <c r="P51" s="711"/>
      <c r="Q51" s="711"/>
      <c r="R51" s="711"/>
      <c r="S51" s="711"/>
      <c r="T51" s="711"/>
      <c r="U51" s="711"/>
      <c r="V51" s="711"/>
      <c r="W51" s="711"/>
      <c r="X51" s="711"/>
      <c r="Y51" s="711"/>
      <c r="Z51" s="711"/>
      <c r="AA51" s="711"/>
      <c r="AB51" s="711"/>
      <c r="AC51" s="711"/>
      <c r="AD51" s="711"/>
      <c r="AE51" s="711"/>
      <c r="AF51" s="711"/>
      <c r="AG51" s="711"/>
      <c r="AH51" s="711"/>
      <c r="AI51" s="711"/>
      <c r="AJ51" s="711"/>
      <c r="AK51" s="711"/>
      <c r="AL51" s="711"/>
      <c r="AM51" s="711"/>
      <c r="AN51" s="711"/>
      <c r="AO51" s="711"/>
      <c r="AP51" s="711"/>
      <c r="AQ51" s="711"/>
      <c r="AR51" s="711"/>
      <c r="AS51" s="711"/>
      <c r="AT51" s="711"/>
      <c r="AU51" s="711"/>
      <c r="AV51" s="711"/>
      <c r="AW51" s="711"/>
      <c r="AX51" s="711"/>
      <c r="AY51" s="711"/>
      <c r="AZ51" s="711"/>
      <c r="BA51" s="711"/>
      <c r="BB51" s="711"/>
      <c r="BC51" s="711"/>
      <c r="BD51" s="711"/>
      <c r="BE51" s="711"/>
      <c r="BF51" s="711"/>
      <c r="BG51" s="711"/>
      <c r="BH51" s="711"/>
      <c r="BI51" s="711"/>
      <c r="BJ51" s="711"/>
    </row>
    <row r="52" spans="1:62" ht="12" customHeight="1" x14ac:dyDescent="0.2">
      <c r="A52" s="112"/>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row>
    <row r="53" spans="1:62" ht="12" customHeight="1" x14ac:dyDescent="0.2">
      <c r="A53" s="757" t="s">
        <v>867</v>
      </c>
      <c r="B53" s="757"/>
      <c r="C53" s="757"/>
      <c r="D53" s="757"/>
      <c r="E53" s="757"/>
      <c r="F53" s="757"/>
      <c r="G53" s="757"/>
      <c r="H53" s="757"/>
      <c r="I53" s="757"/>
      <c r="J53" s="757"/>
      <c r="K53" s="757"/>
      <c r="L53" s="757"/>
      <c r="M53" s="757"/>
      <c r="N53" s="757"/>
      <c r="O53" s="757"/>
      <c r="P53" s="757"/>
      <c r="Q53" s="757" t="s">
        <v>861</v>
      </c>
      <c r="R53" s="757"/>
      <c r="S53" s="757"/>
      <c r="T53" s="757"/>
      <c r="U53" s="757"/>
      <c r="V53" s="757"/>
      <c r="W53" s="757"/>
      <c r="X53" s="757"/>
      <c r="Y53" s="757"/>
      <c r="Z53" s="757"/>
      <c r="AA53" s="757"/>
      <c r="AB53" s="757"/>
      <c r="AC53" s="757"/>
      <c r="AD53" s="757"/>
      <c r="AE53" s="757"/>
      <c r="AF53" s="757"/>
      <c r="AG53" s="757"/>
      <c r="AH53" s="757"/>
      <c r="AI53" s="757"/>
      <c r="AJ53" s="757"/>
      <c r="AK53" s="757"/>
      <c r="AL53" s="764"/>
      <c r="AM53" s="764" t="s">
        <v>871</v>
      </c>
      <c r="AN53" s="768"/>
      <c r="AO53" s="768"/>
      <c r="AP53" s="768"/>
      <c r="AQ53" s="768"/>
      <c r="AR53" s="768"/>
      <c r="AS53" s="768"/>
      <c r="AT53" s="768"/>
      <c r="AU53" s="768"/>
      <c r="AV53" s="768"/>
      <c r="AW53" s="768"/>
      <c r="AX53" s="768"/>
      <c r="AY53" s="768"/>
      <c r="AZ53" s="768"/>
      <c r="BA53" s="768"/>
      <c r="BB53" s="768"/>
      <c r="BC53" s="768"/>
      <c r="BD53" s="768"/>
      <c r="BE53" s="768"/>
      <c r="BF53" s="768"/>
      <c r="BG53" s="768"/>
      <c r="BH53" s="769"/>
      <c r="BI53" s="121"/>
      <c r="BJ53" s="150"/>
    </row>
    <row r="54" spans="1:62" s="125" customFormat="1" ht="12" customHeight="1" x14ac:dyDescent="0.2">
      <c r="A54" s="129"/>
      <c r="B54" s="128"/>
      <c r="C54" s="128"/>
      <c r="D54" s="128"/>
      <c r="E54" s="128"/>
      <c r="F54" s="128"/>
      <c r="G54" s="128"/>
      <c r="H54" s="128"/>
      <c r="I54" s="128"/>
      <c r="J54" s="128"/>
      <c r="K54" s="128"/>
      <c r="L54" s="128"/>
      <c r="M54" s="128"/>
      <c r="N54" s="128"/>
      <c r="O54" s="128"/>
      <c r="P54" s="128"/>
      <c r="Q54" s="130"/>
      <c r="R54" s="131"/>
      <c r="S54" s="131"/>
      <c r="T54" s="131"/>
      <c r="U54" s="131"/>
      <c r="V54" s="131"/>
      <c r="W54" s="131"/>
      <c r="X54" s="131"/>
      <c r="Y54" s="131"/>
      <c r="Z54" s="131"/>
      <c r="AA54" s="131"/>
      <c r="AB54" s="131"/>
      <c r="AC54" s="131"/>
      <c r="AD54" s="131"/>
      <c r="AE54" s="131"/>
      <c r="AF54" s="131"/>
      <c r="AG54" s="131"/>
      <c r="AH54" s="131"/>
      <c r="AI54" s="131"/>
      <c r="AJ54" s="131"/>
      <c r="AK54" s="131"/>
      <c r="AL54" s="131"/>
      <c r="AM54" s="132"/>
      <c r="AN54" s="128"/>
      <c r="AO54" s="128"/>
      <c r="AP54" s="128"/>
      <c r="AQ54" s="128"/>
      <c r="AR54" s="128"/>
      <c r="AS54" s="128"/>
      <c r="AT54" s="128"/>
      <c r="AU54" s="128"/>
      <c r="AV54" s="128"/>
      <c r="AW54" s="128"/>
      <c r="AX54" s="128"/>
      <c r="AY54" s="128"/>
      <c r="AZ54" s="128"/>
      <c r="BA54" s="128"/>
      <c r="BB54" s="128"/>
      <c r="BC54" s="128"/>
      <c r="BD54" s="128"/>
      <c r="BE54" s="128"/>
      <c r="BF54" s="128"/>
      <c r="BG54" s="128"/>
      <c r="BH54" s="133"/>
      <c r="BI54" s="128"/>
      <c r="BJ54" s="133"/>
    </row>
    <row r="55" spans="1:62" ht="12" customHeight="1" x14ac:dyDescent="0.2">
      <c r="A55" s="758" t="s">
        <v>34</v>
      </c>
      <c r="B55" s="759"/>
      <c r="C55" s="759"/>
      <c r="D55" s="759"/>
      <c r="E55" s="759"/>
      <c r="F55" s="759"/>
      <c r="G55" s="759"/>
      <c r="H55" s="759"/>
      <c r="I55" s="759"/>
      <c r="J55" s="759"/>
      <c r="K55" s="759"/>
      <c r="L55" s="759"/>
      <c r="M55" s="759"/>
      <c r="N55" s="759"/>
      <c r="O55" s="759"/>
      <c r="P55" s="760"/>
      <c r="Q55" s="125"/>
      <c r="R55" s="118"/>
      <c r="S55" s="118"/>
      <c r="T55" s="118"/>
      <c r="U55" s="118"/>
      <c r="V55" s="118"/>
      <c r="W55" s="118"/>
      <c r="X55" s="761" t="str">
        <f>SURNAME_KREDITOR&amp;" "&amp;NAME_KREDITOR&amp;" "&amp;FATHERNAME_KREDITOR&amp;" "&amp;G_KREDITOR</f>
        <v>Həsənov Kənan Asdan qızı</v>
      </c>
      <c r="Y55" s="761"/>
      <c r="Z55" s="761"/>
      <c r="AA55" s="761"/>
      <c r="AB55" s="761"/>
      <c r="AC55" s="761"/>
      <c r="AD55" s="761"/>
      <c r="AE55" s="761"/>
      <c r="AF55" s="761"/>
      <c r="AG55" s="761"/>
      <c r="AH55" s="761"/>
      <c r="AI55" s="761"/>
      <c r="AJ55" s="761"/>
      <c r="AK55" s="761"/>
      <c r="AL55" s="761"/>
      <c r="AM55" s="134"/>
      <c r="AN55" s="118"/>
      <c r="AO55" s="118"/>
      <c r="AP55" s="118"/>
      <c r="AQ55" s="118"/>
      <c r="AR55" s="118"/>
      <c r="AS55" s="118"/>
      <c r="AT55" s="761" t="str">
        <f>SURNAME_ZAMIN&amp;" "&amp;NAME_ZAMIN&amp;" "&amp;FATHERNAME_ZAMIN&amp;" "&amp;G_ZAMIN</f>
        <v>Hacıyeva Rahilə Zahid qızı</v>
      </c>
      <c r="AU55" s="761"/>
      <c r="AV55" s="761"/>
      <c r="AW55" s="761"/>
      <c r="AX55" s="761"/>
      <c r="AY55" s="761"/>
      <c r="AZ55" s="761"/>
      <c r="BA55" s="761"/>
      <c r="BB55" s="761"/>
      <c r="BC55" s="761"/>
      <c r="BD55" s="761"/>
      <c r="BE55" s="761"/>
      <c r="BF55" s="761"/>
      <c r="BG55" s="761"/>
      <c r="BH55" s="770"/>
      <c r="BI55" s="118"/>
      <c r="BJ55" s="135"/>
    </row>
    <row r="56" spans="1:62" ht="12" customHeight="1" x14ac:dyDescent="0.2">
      <c r="A56" s="754" t="s">
        <v>872</v>
      </c>
      <c r="B56" s="755"/>
      <c r="C56" s="755"/>
      <c r="D56" s="755"/>
      <c r="E56" s="755"/>
      <c r="F56" s="755"/>
      <c r="G56" s="755"/>
      <c r="H56" s="755"/>
      <c r="I56" s="755"/>
      <c r="J56" s="755"/>
      <c r="K56" s="755"/>
      <c r="L56" s="755"/>
      <c r="M56" s="755"/>
      <c r="N56" s="755"/>
      <c r="O56" s="755"/>
      <c r="P56" s="756"/>
      <c r="Q56" s="125"/>
      <c r="R56" s="125"/>
      <c r="S56" s="125"/>
      <c r="T56" s="125"/>
      <c r="U56" s="125"/>
      <c r="V56" s="125"/>
      <c r="W56" s="125"/>
      <c r="X56" s="125"/>
      <c r="Y56" s="125"/>
      <c r="Z56" s="101"/>
      <c r="AA56" s="101"/>
      <c r="AB56" s="101"/>
      <c r="AC56" s="101"/>
      <c r="AD56" s="101"/>
      <c r="AE56" s="101"/>
      <c r="AF56" s="101"/>
      <c r="AG56" s="101"/>
      <c r="AH56" s="101"/>
      <c r="AI56" s="101"/>
      <c r="AJ56" s="101"/>
      <c r="AK56" s="101"/>
      <c r="AL56" s="101"/>
      <c r="AM56" s="134"/>
      <c r="AN56" s="125"/>
      <c r="AO56" s="125"/>
      <c r="AP56" s="125"/>
      <c r="AQ56" s="125"/>
      <c r="AR56" s="125"/>
      <c r="AS56" s="125"/>
      <c r="AT56" s="125"/>
      <c r="AU56" s="125"/>
      <c r="AV56" s="125"/>
      <c r="AW56" s="125"/>
      <c r="AX56" s="125"/>
      <c r="AY56" s="128"/>
      <c r="AZ56" s="128"/>
      <c r="BA56" s="128"/>
      <c r="BB56" s="125"/>
      <c r="BC56" s="125"/>
      <c r="BD56" s="125"/>
      <c r="BE56" s="125"/>
      <c r="BF56" s="125"/>
      <c r="BG56" s="125"/>
      <c r="BH56" s="136"/>
      <c r="BI56" s="125"/>
      <c r="BJ56" s="136"/>
    </row>
    <row r="57" spans="1:62" ht="12" customHeight="1" x14ac:dyDescent="0.2">
      <c r="A57" s="754" t="str">
        <f>NAME_BRANCH&amp;""</f>
        <v>Ağcabədi  Filialının</v>
      </c>
      <c r="B57" s="755"/>
      <c r="C57" s="755"/>
      <c r="D57" s="755"/>
      <c r="E57" s="755"/>
      <c r="F57" s="755"/>
      <c r="G57" s="755"/>
      <c r="H57" s="755"/>
      <c r="I57" s="755"/>
      <c r="J57" s="755"/>
      <c r="K57" s="755"/>
      <c r="L57" s="755"/>
      <c r="M57" s="755"/>
      <c r="N57" s="755"/>
      <c r="O57" s="755"/>
      <c r="P57" s="756"/>
      <c r="Q57" s="762" t="str">
        <f>IF(OR(X57=0,X57=""),"","Şəxsiyyət vəsiqəsi: ")</f>
        <v xml:space="preserve">Şəxsiyyət vəsiqəsi: </v>
      </c>
      <c r="R57" s="763"/>
      <c r="S57" s="763"/>
      <c r="T57" s="763"/>
      <c r="U57" s="763"/>
      <c r="V57" s="763"/>
      <c r="W57" s="763"/>
      <c r="X57" s="698" t="str">
        <f>IF(OR(SHV_SN_KREDITOR=0,SHV_D_KREDITOR=0,SHV_R_KREDITOR=0,SHV_SN_KREDITOR="",SHV_D_KREDITOR="",SHV_R_KREDITOR=""),"",SHV_SN_KREDITOR&amp;"  "&amp;SHV_D_KREDITOR_SOZLE&amp;" "&amp;SHV_R_KREDITOR&amp;" tərəfindən verilmişdir.")</f>
        <v>AZE № 14577224  «27» May 2014-cü il Mingəçevir ŞPŞ tərəfindən verilmişdir.</v>
      </c>
      <c r="Y57" s="698"/>
      <c r="Z57" s="698"/>
      <c r="AA57" s="698"/>
      <c r="AB57" s="698"/>
      <c r="AC57" s="698"/>
      <c r="AD57" s="698"/>
      <c r="AE57" s="698"/>
      <c r="AF57" s="698"/>
      <c r="AG57" s="698"/>
      <c r="AH57" s="698"/>
      <c r="AI57" s="698"/>
      <c r="AJ57" s="698"/>
      <c r="AK57" s="698"/>
      <c r="AL57" s="698"/>
      <c r="AM57" s="752" t="str">
        <f>IF(OR(AT57=0,AT57=""),"","Şəxsiyyət vəsiqəsi: ")</f>
        <v xml:space="preserve">Şəxsiyyət vəsiqəsi: </v>
      </c>
      <c r="AN57" s="719"/>
      <c r="AO57" s="719"/>
      <c r="AP57" s="719"/>
      <c r="AQ57" s="719"/>
      <c r="AR57" s="719"/>
      <c r="AS57" s="719"/>
      <c r="AT57" s="698" t="str">
        <f>IF(OR(SHV_SN_ZAMIN=0,SHV_D_ZAMIN=0,SHV_R_ZAMIN=0,SHV_SN_ZAMIN="",SHV_D_ZAMIN="",SHV_R_ZAMIN=""),"",SHV_SN_ZAMIN&amp;"  "&amp;SHV_D_ZAMIN_SOZLE&amp;" "&amp;SHV_R_ZAMIN&amp;" tərəfindən verilmişdir.")</f>
        <v>AZE № 03508631  «30» Sentyabr 2005-ci il Mingəçevir ŞPŞ tərəfindən verilmişdir.</v>
      </c>
      <c r="AU57" s="698"/>
      <c r="AV57" s="698"/>
      <c r="AW57" s="698"/>
      <c r="AX57" s="698"/>
      <c r="AY57" s="698"/>
      <c r="AZ57" s="698"/>
      <c r="BA57" s="698"/>
      <c r="BB57" s="698"/>
      <c r="BC57" s="698"/>
      <c r="BD57" s="698"/>
      <c r="BE57" s="698"/>
      <c r="BF57" s="698"/>
      <c r="BG57" s="698"/>
      <c r="BH57" s="751"/>
      <c r="BI57" s="102"/>
      <c r="BJ57" s="149"/>
    </row>
    <row r="58" spans="1:62" ht="12" customHeight="1" x14ac:dyDescent="0.2">
      <c r="A58" s="754" t="str">
        <f>POSITION_MENEGER_BRANCH</f>
        <v>kredit meneceri</v>
      </c>
      <c r="B58" s="755"/>
      <c r="C58" s="755"/>
      <c r="D58" s="755"/>
      <c r="E58" s="755"/>
      <c r="F58" s="755"/>
      <c r="G58" s="755"/>
      <c r="H58" s="755"/>
      <c r="I58" s="755"/>
      <c r="J58" s="755"/>
      <c r="K58" s="755"/>
      <c r="L58" s="755"/>
      <c r="M58" s="755"/>
      <c r="N58" s="755"/>
      <c r="O58" s="755"/>
      <c r="P58" s="756"/>
      <c r="Q58" s="138"/>
      <c r="R58" s="139"/>
      <c r="S58" s="139"/>
      <c r="T58" s="139"/>
      <c r="U58" s="139"/>
      <c r="V58" s="101"/>
      <c r="W58" s="101"/>
      <c r="X58" s="698"/>
      <c r="Y58" s="698"/>
      <c r="Z58" s="698"/>
      <c r="AA58" s="698"/>
      <c r="AB58" s="698"/>
      <c r="AC58" s="698"/>
      <c r="AD58" s="698"/>
      <c r="AE58" s="698"/>
      <c r="AF58" s="698"/>
      <c r="AG58" s="698"/>
      <c r="AH58" s="698"/>
      <c r="AI58" s="698"/>
      <c r="AJ58" s="698"/>
      <c r="AK58" s="698"/>
      <c r="AL58" s="698"/>
      <c r="AM58" s="138"/>
      <c r="AN58" s="139"/>
      <c r="AO58" s="139"/>
      <c r="AP58" s="139"/>
      <c r="AQ58" s="139"/>
      <c r="AR58" s="101"/>
      <c r="AS58" s="101"/>
      <c r="AT58" s="698"/>
      <c r="AU58" s="698"/>
      <c r="AV58" s="698"/>
      <c r="AW58" s="698"/>
      <c r="AX58" s="698"/>
      <c r="AY58" s="698"/>
      <c r="AZ58" s="698"/>
      <c r="BA58" s="698"/>
      <c r="BB58" s="698"/>
      <c r="BC58" s="698"/>
      <c r="BD58" s="698"/>
      <c r="BE58" s="698"/>
      <c r="BF58" s="698"/>
      <c r="BG58" s="698"/>
      <c r="BH58" s="751"/>
      <c r="BI58" s="102"/>
      <c r="BJ58" s="149"/>
    </row>
    <row r="59" spans="1:62" ht="12" customHeight="1" x14ac:dyDescent="0.2">
      <c r="A59" s="754" t="str">
        <f>SURNAME_MENEGER_BRANCH&amp;" "&amp;NAME_MENEGER_BRANCH&amp;" "&amp;FATHERNAME_MENEGER_BRANCH&amp;" "&amp;G_MENEGER_BRANCH</f>
        <v>Əhmədov  Bəhruz  Tofiq  oğlu</v>
      </c>
      <c r="B59" s="755"/>
      <c r="C59" s="755"/>
      <c r="D59" s="755"/>
      <c r="E59" s="755"/>
      <c r="F59" s="755"/>
      <c r="G59" s="755"/>
      <c r="H59" s="755"/>
      <c r="I59" s="755"/>
      <c r="J59" s="755"/>
      <c r="K59" s="755"/>
      <c r="L59" s="755"/>
      <c r="M59" s="755"/>
      <c r="N59" s="755"/>
      <c r="O59" s="755"/>
      <c r="P59" s="756"/>
      <c r="Q59" s="125"/>
      <c r="R59" s="125"/>
      <c r="S59" s="125"/>
      <c r="T59" s="125"/>
      <c r="U59" s="125"/>
      <c r="V59" s="101"/>
      <c r="W59" s="101"/>
      <c r="X59" s="698"/>
      <c r="Y59" s="698"/>
      <c r="Z59" s="698"/>
      <c r="AA59" s="698"/>
      <c r="AB59" s="698"/>
      <c r="AC59" s="698"/>
      <c r="AD59" s="698"/>
      <c r="AE59" s="698"/>
      <c r="AF59" s="698"/>
      <c r="AG59" s="698"/>
      <c r="AH59" s="698"/>
      <c r="AI59" s="698"/>
      <c r="AJ59" s="698"/>
      <c r="AK59" s="698"/>
      <c r="AL59" s="698"/>
      <c r="AM59" s="140"/>
      <c r="AN59" s="96"/>
      <c r="AO59" s="96"/>
      <c r="AP59" s="96"/>
      <c r="AQ59" s="96"/>
      <c r="AR59" s="125"/>
      <c r="AS59" s="125"/>
      <c r="AT59" s="698"/>
      <c r="AU59" s="698"/>
      <c r="AV59" s="698"/>
      <c r="AW59" s="698"/>
      <c r="AX59" s="698"/>
      <c r="AY59" s="698"/>
      <c r="AZ59" s="698"/>
      <c r="BA59" s="698"/>
      <c r="BB59" s="698"/>
      <c r="BC59" s="698"/>
      <c r="BD59" s="698"/>
      <c r="BE59" s="698"/>
      <c r="BF59" s="698"/>
      <c r="BG59" s="698"/>
      <c r="BH59" s="751"/>
      <c r="BI59" s="102"/>
      <c r="BJ59" s="149"/>
    </row>
    <row r="60" spans="1:62" ht="12" customHeight="1" x14ac:dyDescent="0.2">
      <c r="A60" s="753" t="s">
        <v>33</v>
      </c>
      <c r="B60" s="717"/>
      <c r="C60" s="717"/>
      <c r="D60" s="717"/>
      <c r="E60" s="698" t="str">
        <f>NAME_REGION &amp;", "&amp;ADDRESS_REGION</f>
        <v>Ağcabədi şəhəri, İ.Qayıbov 2</v>
      </c>
      <c r="F60" s="698"/>
      <c r="G60" s="698"/>
      <c r="H60" s="698"/>
      <c r="I60" s="698"/>
      <c r="J60" s="698"/>
      <c r="K60" s="698"/>
      <c r="L60" s="698"/>
      <c r="M60" s="698"/>
      <c r="N60" s="698"/>
      <c r="O60" s="698"/>
      <c r="P60" s="751"/>
      <c r="Q60" s="753" t="str">
        <f>IF(OR(V60=0,V60=""),"","Ünvan:")</f>
        <v>Ünvan:</v>
      </c>
      <c r="R60" s="717"/>
      <c r="S60" s="717"/>
      <c r="T60" s="717"/>
      <c r="U60" s="717"/>
      <c r="V60" s="718" t="str">
        <f>IF(OR(ADDRESS_KREDITOR=0,ADDRESS_KREDITOR=""),"",ADDRESS_KREDITOR)</f>
        <v xml:space="preserve">Mingəçevir şəh., H.Əliyev PR., ev. 76/1, m. 22 </v>
      </c>
      <c r="W60" s="718"/>
      <c r="X60" s="718"/>
      <c r="Y60" s="718"/>
      <c r="Z60" s="718"/>
      <c r="AA60" s="718"/>
      <c r="AB60" s="718"/>
      <c r="AC60" s="718"/>
      <c r="AD60" s="718"/>
      <c r="AE60" s="718"/>
      <c r="AF60" s="718"/>
      <c r="AG60" s="718"/>
      <c r="AH60" s="718"/>
      <c r="AI60" s="718"/>
      <c r="AJ60" s="718"/>
      <c r="AK60" s="718"/>
      <c r="AL60" s="718"/>
      <c r="AM60" s="753" t="str">
        <f>IF(OR(AR60=0,AR60=""),"","Ünvan:")</f>
        <v>Ünvan:</v>
      </c>
      <c r="AN60" s="717"/>
      <c r="AO60" s="717"/>
      <c r="AP60" s="717"/>
      <c r="AQ60" s="717"/>
      <c r="AR60" s="698" t="str">
        <f>IF(OR(ADDRESS_ZAMIN=0,ADDRESS_ZAMIN=""),"",ADDRESS_ZAMIN)</f>
        <v xml:space="preserve">Mingəçevir şəh., H.Əliyev PR., ev. 76/1, m. 22 </v>
      </c>
      <c r="AS60" s="698"/>
      <c r="AT60" s="698"/>
      <c r="AU60" s="698"/>
      <c r="AV60" s="698"/>
      <c r="AW60" s="698"/>
      <c r="AX60" s="698"/>
      <c r="AY60" s="698"/>
      <c r="AZ60" s="698"/>
      <c r="BA60" s="698"/>
      <c r="BB60" s="698"/>
      <c r="BC60" s="698"/>
      <c r="BD60" s="698"/>
      <c r="BE60" s="698"/>
      <c r="BF60" s="698"/>
      <c r="BG60" s="698"/>
      <c r="BH60" s="751"/>
      <c r="BI60" s="102"/>
      <c r="BJ60" s="149"/>
    </row>
    <row r="61" spans="1:62" ht="12" customHeight="1" x14ac:dyDescent="0.2">
      <c r="A61" s="753"/>
      <c r="B61" s="717"/>
      <c r="C61" s="717"/>
      <c r="D61" s="717"/>
      <c r="E61" s="698"/>
      <c r="F61" s="698"/>
      <c r="G61" s="698"/>
      <c r="H61" s="698"/>
      <c r="I61" s="698"/>
      <c r="J61" s="698"/>
      <c r="K61" s="698"/>
      <c r="L61" s="698"/>
      <c r="M61" s="698"/>
      <c r="N61" s="698"/>
      <c r="O61" s="698"/>
      <c r="P61" s="751"/>
      <c r="Q61" s="128"/>
      <c r="R61" s="128"/>
      <c r="S61" s="128"/>
      <c r="T61" s="128"/>
      <c r="U61" s="128"/>
      <c r="V61" s="718"/>
      <c r="W61" s="718"/>
      <c r="X61" s="718"/>
      <c r="Y61" s="718"/>
      <c r="Z61" s="718"/>
      <c r="AA61" s="718"/>
      <c r="AB61" s="718"/>
      <c r="AC61" s="718"/>
      <c r="AD61" s="718"/>
      <c r="AE61" s="718"/>
      <c r="AF61" s="718"/>
      <c r="AG61" s="718"/>
      <c r="AH61" s="718"/>
      <c r="AI61" s="718"/>
      <c r="AJ61" s="718"/>
      <c r="AK61" s="718"/>
      <c r="AL61" s="718"/>
      <c r="AM61" s="141"/>
      <c r="AN61" s="117"/>
      <c r="AO61" s="117"/>
      <c r="AP61" s="117"/>
      <c r="AQ61" s="117"/>
      <c r="AR61" s="698"/>
      <c r="AS61" s="698"/>
      <c r="AT61" s="698"/>
      <c r="AU61" s="698"/>
      <c r="AV61" s="698"/>
      <c r="AW61" s="698"/>
      <c r="AX61" s="698"/>
      <c r="AY61" s="698"/>
      <c r="AZ61" s="698"/>
      <c r="BA61" s="698"/>
      <c r="BB61" s="698"/>
      <c r="BC61" s="698"/>
      <c r="BD61" s="698"/>
      <c r="BE61" s="698"/>
      <c r="BF61" s="698"/>
      <c r="BG61" s="698"/>
      <c r="BH61" s="751"/>
      <c r="BI61" s="102"/>
      <c r="BJ61" s="149"/>
    </row>
    <row r="62" spans="1:62" ht="12" customHeight="1" x14ac:dyDescent="0.2">
      <c r="A62" s="753"/>
      <c r="B62" s="717"/>
      <c r="C62" s="717"/>
      <c r="D62" s="717"/>
      <c r="E62" s="698"/>
      <c r="F62" s="698"/>
      <c r="G62" s="698"/>
      <c r="H62" s="698"/>
      <c r="I62" s="698"/>
      <c r="J62" s="698"/>
      <c r="K62" s="698"/>
      <c r="L62" s="698"/>
      <c r="M62" s="698"/>
      <c r="N62" s="698"/>
      <c r="O62" s="698"/>
      <c r="P62" s="751"/>
      <c r="Q62" s="125"/>
      <c r="R62" s="125"/>
      <c r="S62" s="125"/>
      <c r="T62" s="125"/>
      <c r="U62" s="125"/>
      <c r="V62" s="718"/>
      <c r="W62" s="718"/>
      <c r="X62" s="718"/>
      <c r="Y62" s="718"/>
      <c r="Z62" s="718"/>
      <c r="AA62" s="718"/>
      <c r="AB62" s="718"/>
      <c r="AC62" s="718"/>
      <c r="AD62" s="718"/>
      <c r="AE62" s="718"/>
      <c r="AF62" s="718"/>
      <c r="AG62" s="718"/>
      <c r="AH62" s="718"/>
      <c r="AI62" s="718"/>
      <c r="AJ62" s="718"/>
      <c r="AK62" s="718"/>
      <c r="AL62" s="718"/>
      <c r="AM62" s="141"/>
      <c r="AN62" s="96"/>
      <c r="AO62" s="96"/>
      <c r="AP62" s="96"/>
      <c r="AQ62" s="96"/>
      <c r="AR62" s="698"/>
      <c r="AS62" s="698"/>
      <c r="AT62" s="698"/>
      <c r="AU62" s="698"/>
      <c r="AV62" s="698"/>
      <c r="AW62" s="698"/>
      <c r="AX62" s="698"/>
      <c r="AY62" s="698"/>
      <c r="AZ62" s="698"/>
      <c r="BA62" s="698"/>
      <c r="BB62" s="698"/>
      <c r="BC62" s="698"/>
      <c r="BD62" s="698"/>
      <c r="BE62" s="698"/>
      <c r="BF62" s="698"/>
      <c r="BG62" s="698"/>
      <c r="BH62" s="751"/>
      <c r="BI62" s="102"/>
      <c r="BJ62" s="149"/>
    </row>
    <row r="63" spans="1:62" ht="12" customHeight="1" x14ac:dyDescent="0.2">
      <c r="A63" s="752" t="str">
        <f>IF(OR(E63=0,E63=""),"","Telefon:")</f>
        <v>Telefon:</v>
      </c>
      <c r="B63" s="719"/>
      <c r="C63" s="719"/>
      <c r="D63" s="719"/>
      <c r="E63" s="698" t="str">
        <f>IF(OR(NUM_BRANCH=0,NUM_BRANCH=""),"",NUM_BRANCH)</f>
        <v>(+994 24) 274 13 23</v>
      </c>
      <c r="F63" s="698"/>
      <c r="G63" s="698"/>
      <c r="H63" s="698"/>
      <c r="I63" s="698"/>
      <c r="J63" s="698"/>
      <c r="K63" s="698"/>
      <c r="L63" s="698"/>
      <c r="M63" s="698"/>
      <c r="N63" s="698"/>
      <c r="O63" s="698"/>
      <c r="P63" s="751"/>
      <c r="Q63" s="753" t="str">
        <f>IF(OR(V63=0,V63=""),"","Telefon:")</f>
        <v>Telefon:</v>
      </c>
      <c r="R63" s="717"/>
      <c r="S63" s="717"/>
      <c r="T63" s="717"/>
      <c r="U63" s="717"/>
      <c r="V63" s="718" t="str">
        <f>IF(OR(NUM_1_KREDITOR=0,NUM_1_KREDITOR=""),"",NUM_1_KREDITOR&amp;"; ")&amp;IF(OR(NUM_2_KREDITOR=0,NUM_2_KREDITOR=""),"",NUM_2_KREDITOR&amp;"; ")</f>
        <v xml:space="preserve">055-915-96-56; </v>
      </c>
      <c r="W63" s="718"/>
      <c r="X63" s="718"/>
      <c r="Y63" s="718"/>
      <c r="Z63" s="718"/>
      <c r="AA63" s="718"/>
      <c r="AB63" s="718"/>
      <c r="AC63" s="718"/>
      <c r="AD63" s="718"/>
      <c r="AE63" s="718"/>
      <c r="AF63" s="718"/>
      <c r="AG63" s="718"/>
      <c r="AH63" s="718"/>
      <c r="AI63" s="718"/>
      <c r="AJ63" s="718"/>
      <c r="AK63" s="718"/>
      <c r="AL63" s="718"/>
      <c r="AM63" s="753" t="str">
        <f>IF(OR(AR63=0,AR63=""),"","Telefon:")</f>
        <v>Telefon:</v>
      </c>
      <c r="AN63" s="717"/>
      <c r="AO63" s="717"/>
      <c r="AP63" s="717"/>
      <c r="AQ63" s="717"/>
      <c r="AR63" s="718" t="str">
        <f>IF(OR(NUM_1_ZAMIN=0,NUM_1_ZAMIN=""),"",NUM_1_ZAMIN&amp;"; ")&amp;IF(OR(NUM_2_ZAMIN=0,NUM_2_ZAMIN=""),"",NUM_2_ZAMIN&amp;"; ")</f>
        <v xml:space="preserve">024-275-66-82; </v>
      </c>
      <c r="AS63" s="718"/>
      <c r="AT63" s="718"/>
      <c r="AU63" s="718"/>
      <c r="AV63" s="718"/>
      <c r="AW63" s="718"/>
      <c r="AX63" s="718"/>
      <c r="AY63" s="718"/>
      <c r="AZ63" s="718"/>
      <c r="BA63" s="718"/>
      <c r="BB63" s="718"/>
      <c r="BC63" s="718"/>
      <c r="BD63" s="718"/>
      <c r="BE63" s="718"/>
      <c r="BF63" s="718"/>
      <c r="BG63" s="718"/>
      <c r="BH63" s="767"/>
      <c r="BI63" s="106"/>
      <c r="BJ63" s="116"/>
    </row>
    <row r="64" spans="1:62" ht="12" customHeight="1" x14ac:dyDescent="0.2">
      <c r="A64" s="752" t="str">
        <f>IF(OR(E64=0,E64=""),"","Faks:")</f>
        <v>Faks:</v>
      </c>
      <c r="B64" s="719"/>
      <c r="C64" s="719"/>
      <c r="D64" s="719"/>
      <c r="E64" s="698" t="str">
        <f>IF(OR(FAX_BRANCH=0,FAX_BRANCH=""),"",FAX_BRANCH)</f>
        <v>(+994 24) 274 20 24</v>
      </c>
      <c r="F64" s="698"/>
      <c r="G64" s="698"/>
      <c r="H64" s="698"/>
      <c r="I64" s="698"/>
      <c r="J64" s="698"/>
      <c r="K64" s="698"/>
      <c r="L64" s="698"/>
      <c r="M64" s="698"/>
      <c r="N64" s="698"/>
      <c r="O64" s="698"/>
      <c r="P64" s="751"/>
      <c r="Q64" s="125"/>
      <c r="R64" s="125"/>
      <c r="S64" s="125"/>
      <c r="T64" s="125"/>
      <c r="U64" s="125"/>
      <c r="V64" s="125"/>
      <c r="W64" s="125"/>
      <c r="X64" s="125"/>
      <c r="Y64" s="125"/>
      <c r="Z64" s="125"/>
      <c r="AA64" s="125"/>
      <c r="AB64" s="125"/>
      <c r="AC64" s="125"/>
      <c r="AD64" s="125"/>
      <c r="AE64" s="125"/>
      <c r="AF64" s="125"/>
      <c r="AG64" s="125"/>
      <c r="AH64" s="125"/>
      <c r="AI64" s="125"/>
      <c r="AJ64" s="125"/>
      <c r="AK64" s="125"/>
      <c r="AL64" s="125"/>
      <c r="AM64" s="134"/>
      <c r="AN64" s="125"/>
      <c r="AO64" s="125"/>
      <c r="AP64" s="125"/>
      <c r="AQ64" s="125"/>
      <c r="AR64" s="125"/>
      <c r="AS64" s="125"/>
      <c r="AT64" s="125"/>
      <c r="AU64" s="125"/>
      <c r="AV64" s="125"/>
      <c r="AW64" s="125"/>
      <c r="AX64" s="125"/>
      <c r="AY64" s="125"/>
      <c r="AZ64" s="125"/>
      <c r="BA64" s="125"/>
      <c r="BB64" s="125"/>
      <c r="BC64" s="125"/>
      <c r="BD64" s="125"/>
      <c r="BE64" s="125"/>
      <c r="BF64" s="125"/>
      <c r="BG64" s="125"/>
      <c r="BH64" s="136"/>
      <c r="BI64" s="125"/>
      <c r="BJ64" s="136"/>
    </row>
    <row r="65" spans="1:63" ht="12" customHeight="1" x14ac:dyDescent="0.2">
      <c r="A65" s="142"/>
      <c r="B65" s="139"/>
      <c r="C65" s="139"/>
      <c r="D65" s="139"/>
      <c r="E65" s="101"/>
      <c r="F65" s="101"/>
      <c r="G65" s="101"/>
      <c r="H65" s="101"/>
      <c r="I65" s="101"/>
      <c r="J65" s="101"/>
      <c r="K65" s="101"/>
      <c r="L65" s="101"/>
      <c r="M65" s="101"/>
      <c r="N65" s="101"/>
      <c r="O65" s="101"/>
      <c r="P65" s="137"/>
      <c r="Q65" s="125"/>
      <c r="R65" s="125"/>
      <c r="S65" s="125"/>
      <c r="T65" s="125"/>
      <c r="U65" s="125"/>
      <c r="V65" s="125"/>
      <c r="W65" s="125"/>
      <c r="X65" s="125"/>
      <c r="Y65" s="125"/>
      <c r="Z65" s="125"/>
      <c r="AA65" s="125"/>
      <c r="AB65" s="125"/>
      <c r="AC65" s="125"/>
      <c r="AD65" s="125"/>
      <c r="AE65" s="125"/>
      <c r="AF65" s="125"/>
      <c r="AG65" s="125"/>
      <c r="AH65" s="125"/>
      <c r="AI65" s="125"/>
      <c r="AJ65" s="125"/>
      <c r="AK65" s="125"/>
      <c r="AL65" s="125"/>
      <c r="AM65" s="134"/>
      <c r="AN65" s="125"/>
      <c r="AO65" s="125"/>
      <c r="AP65" s="125"/>
      <c r="AQ65" s="125"/>
      <c r="AR65" s="125"/>
      <c r="AS65" s="125"/>
      <c r="AT65" s="125"/>
      <c r="AU65" s="125"/>
      <c r="AV65" s="125"/>
      <c r="AW65" s="125"/>
      <c r="AX65" s="125"/>
      <c r="AY65" s="125"/>
      <c r="AZ65" s="125"/>
      <c r="BA65" s="125"/>
      <c r="BB65" s="125"/>
      <c r="BC65" s="125"/>
      <c r="BD65" s="125"/>
      <c r="BE65" s="125"/>
      <c r="BF65" s="125"/>
      <c r="BG65" s="125"/>
      <c r="BH65" s="136"/>
      <c r="BI65" s="125"/>
      <c r="BJ65" s="136"/>
    </row>
    <row r="66" spans="1:63" ht="12" customHeight="1" x14ac:dyDescent="0.2">
      <c r="A66" s="753" t="s">
        <v>97</v>
      </c>
      <c r="B66" s="717"/>
      <c r="C66" s="717"/>
      <c r="D66" s="717"/>
      <c r="E66" s="766"/>
      <c r="F66" s="766"/>
      <c r="G66" s="766"/>
      <c r="H66" s="766"/>
      <c r="I66" s="766"/>
      <c r="J66" s="766"/>
      <c r="K66" s="766"/>
      <c r="L66" s="766"/>
      <c r="M66" s="766"/>
      <c r="N66" s="766"/>
      <c r="O66" s="766"/>
      <c r="P66" s="137"/>
      <c r="Q66" s="125"/>
      <c r="R66" s="92"/>
      <c r="S66" s="717" t="s">
        <v>97</v>
      </c>
      <c r="T66" s="717"/>
      <c r="U66" s="717"/>
      <c r="V66" s="765"/>
      <c r="W66" s="765"/>
      <c r="X66" s="765"/>
      <c r="Y66" s="765"/>
      <c r="Z66" s="765"/>
      <c r="AA66" s="765"/>
      <c r="AB66" s="765"/>
      <c r="AC66" s="765"/>
      <c r="AD66" s="765"/>
      <c r="AE66" s="765"/>
      <c r="AF66" s="765"/>
      <c r="AG66" s="765"/>
      <c r="AH66" s="765"/>
      <c r="AI66" s="765"/>
      <c r="AJ66" s="125"/>
      <c r="AK66" s="125"/>
      <c r="AL66" s="125"/>
      <c r="AM66" s="134"/>
      <c r="AN66" s="92"/>
      <c r="AO66" s="717" t="s">
        <v>97</v>
      </c>
      <c r="AP66" s="717"/>
      <c r="AQ66" s="717"/>
      <c r="AR66" s="765"/>
      <c r="AS66" s="765"/>
      <c r="AT66" s="765"/>
      <c r="AU66" s="765"/>
      <c r="AV66" s="765"/>
      <c r="AW66" s="765"/>
      <c r="AX66" s="765"/>
      <c r="AY66" s="765"/>
      <c r="AZ66" s="765"/>
      <c r="BA66" s="765"/>
      <c r="BB66" s="765"/>
      <c r="BC66" s="765"/>
      <c r="BD66" s="765"/>
      <c r="BE66" s="765"/>
      <c r="BF66" s="125"/>
      <c r="BG66" s="125"/>
      <c r="BH66" s="136"/>
      <c r="BI66" s="125"/>
      <c r="BJ66" s="136"/>
    </row>
    <row r="67" spans="1:63" ht="12" customHeight="1" x14ac:dyDescent="0.2">
      <c r="A67" s="143"/>
      <c r="B67" s="144"/>
      <c r="C67" s="144"/>
      <c r="D67" s="144"/>
      <c r="E67" s="144"/>
      <c r="F67" s="144"/>
      <c r="G67" s="144"/>
      <c r="H67" s="144"/>
      <c r="I67" s="144"/>
      <c r="J67" s="144"/>
      <c r="K67" s="144"/>
      <c r="L67" s="145"/>
      <c r="M67" s="144"/>
      <c r="N67" s="144"/>
      <c r="O67" s="144"/>
      <c r="P67" s="146"/>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7"/>
      <c r="AN67" s="144"/>
      <c r="AO67" s="144"/>
      <c r="AP67" s="144"/>
      <c r="AQ67" s="144"/>
      <c r="AR67" s="144"/>
      <c r="AS67" s="144"/>
      <c r="AT67" s="144"/>
      <c r="AU67" s="144"/>
      <c r="AV67" s="144"/>
      <c r="AW67" s="144"/>
      <c r="AX67" s="144"/>
      <c r="AY67" s="144"/>
      <c r="AZ67" s="144"/>
      <c r="BA67" s="144"/>
      <c r="BB67" s="144"/>
      <c r="BC67" s="144"/>
      <c r="BD67" s="144"/>
      <c r="BE67" s="144"/>
      <c r="BF67" s="144"/>
      <c r="BG67" s="144"/>
      <c r="BH67" s="146"/>
      <c r="BI67" s="125"/>
      <c r="BJ67" s="146"/>
      <c r="BK67" s="125"/>
    </row>
    <row r="68" spans="1:63" ht="9.75" customHeight="1" x14ac:dyDescent="0.2">
      <c r="A68" s="112"/>
      <c r="B68" s="125"/>
      <c r="C68" s="125"/>
      <c r="D68" s="125"/>
      <c r="E68" s="125"/>
      <c r="F68" s="125"/>
      <c r="G68" s="125"/>
      <c r="H68" s="125"/>
      <c r="I68" s="125"/>
      <c r="J68" s="125"/>
      <c r="K68" s="125"/>
      <c r="L68" s="125"/>
      <c r="M68" s="125"/>
      <c r="N68" s="125"/>
      <c r="O68" s="125"/>
      <c r="BI68" s="125"/>
    </row>
  </sheetData>
  <mergeCells count="103">
    <mergeCell ref="A23:B23"/>
    <mergeCell ref="AF24:AG24"/>
    <mergeCell ref="AH1:BI1"/>
    <mergeCell ref="AH27:BJ28"/>
    <mergeCell ref="AF27:AG27"/>
    <mergeCell ref="AH2:BI3"/>
    <mergeCell ref="A39:B39"/>
    <mergeCell ref="AH4:BJ4"/>
    <mergeCell ref="AH5:BJ5"/>
    <mergeCell ref="C18:AD22"/>
    <mergeCell ref="AF1:AG1"/>
    <mergeCell ref="A3:T3"/>
    <mergeCell ref="U3:AD3"/>
    <mergeCell ref="AF5:AG5"/>
    <mergeCell ref="A1:AD1"/>
    <mergeCell ref="A5:AD11"/>
    <mergeCell ref="C14:AD17"/>
    <mergeCell ref="AF2:AG2"/>
    <mergeCell ref="AF19:AG19"/>
    <mergeCell ref="AF22:BJ22"/>
    <mergeCell ref="A26:B26"/>
    <mergeCell ref="AF12:AG12"/>
    <mergeCell ref="C23:AD25"/>
    <mergeCell ref="AF6:AG6"/>
    <mergeCell ref="AF8:AG8"/>
    <mergeCell ref="A18:B18"/>
    <mergeCell ref="AF4:AG4"/>
    <mergeCell ref="AH24:BJ26"/>
    <mergeCell ref="AH8:BJ8"/>
    <mergeCell ref="AT57:BH59"/>
    <mergeCell ref="AH29:BJ30"/>
    <mergeCell ref="AH6:BJ7"/>
    <mergeCell ref="AT55:BH55"/>
    <mergeCell ref="A51:BJ51"/>
    <mergeCell ref="A49:B49"/>
    <mergeCell ref="A30:AD30"/>
    <mergeCell ref="AH15:BJ18"/>
    <mergeCell ref="C26:AD28"/>
    <mergeCell ref="A45:B45"/>
    <mergeCell ref="C43:AD44"/>
    <mergeCell ref="C45:AD48"/>
    <mergeCell ref="AF15:AG15"/>
    <mergeCell ref="AH19:BJ20"/>
    <mergeCell ref="C32:AD32"/>
    <mergeCell ref="AF29:AG29"/>
    <mergeCell ref="AF37:AG37"/>
    <mergeCell ref="AF10:BJ10"/>
    <mergeCell ref="AH12:BJ14"/>
    <mergeCell ref="A12:AD12"/>
    <mergeCell ref="A14:B14"/>
    <mergeCell ref="C39:AD41"/>
    <mergeCell ref="AF32:BJ32"/>
    <mergeCell ref="AF34:AG34"/>
    <mergeCell ref="AF40:AG40"/>
    <mergeCell ref="V63:AL63"/>
    <mergeCell ref="Q60:U60"/>
    <mergeCell ref="V60:AL62"/>
    <mergeCell ref="A32:B32"/>
    <mergeCell ref="A42:B42"/>
    <mergeCell ref="AH40:BJ40"/>
    <mergeCell ref="AR60:BH62"/>
    <mergeCell ref="AR63:BH63"/>
    <mergeCell ref="AM53:BH53"/>
    <mergeCell ref="C49:AD49"/>
    <mergeCell ref="A33:B33"/>
    <mergeCell ref="C33:AD36"/>
    <mergeCell ref="C37:AD38"/>
    <mergeCell ref="AF42:BJ42"/>
    <mergeCell ref="A37:B37"/>
    <mergeCell ref="AH37:BJ39"/>
    <mergeCell ref="AH34:BJ36"/>
    <mergeCell ref="A60:D62"/>
    <mergeCell ref="AO66:AQ66"/>
    <mergeCell ref="S66:U66"/>
    <mergeCell ref="V66:AI66"/>
    <mergeCell ref="A64:D64"/>
    <mergeCell ref="E64:P64"/>
    <mergeCell ref="AR66:BE66"/>
    <mergeCell ref="A59:P59"/>
    <mergeCell ref="A57:P57"/>
    <mergeCell ref="A66:D66"/>
    <mergeCell ref="E66:O66"/>
    <mergeCell ref="AF46:AG46"/>
    <mergeCell ref="E63:P63"/>
    <mergeCell ref="A63:D63"/>
    <mergeCell ref="AM60:AQ60"/>
    <mergeCell ref="Q63:U63"/>
    <mergeCell ref="A58:P58"/>
    <mergeCell ref="AM63:AQ63"/>
    <mergeCell ref="C42:AD42"/>
    <mergeCell ref="AM57:AS57"/>
    <mergeCell ref="A53:P53"/>
    <mergeCell ref="A56:P56"/>
    <mergeCell ref="A55:P55"/>
    <mergeCell ref="X55:AL55"/>
    <mergeCell ref="Q57:W57"/>
    <mergeCell ref="X57:AL59"/>
    <mergeCell ref="Q53:AL53"/>
    <mergeCell ref="AH46:BJ48"/>
    <mergeCell ref="A43:B43"/>
    <mergeCell ref="AF44:AG44"/>
    <mergeCell ref="AH44:BJ45"/>
    <mergeCell ref="E60:P62"/>
  </mergeCells>
  <pageMargins left="0.45" right="0.28000000000000003" top="0.54" bottom="0.12" header="0.55000000000000004" footer="0.12"/>
  <pageSetup scale="88"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Z1">
    <tabColor theme="3" tint="0.39997558519241921"/>
  </sheetPr>
  <dimension ref="A1:BK68"/>
  <sheetViews>
    <sheetView showGridLines="0" showRowColHeaders="0" view="pageBreakPreview" zoomScaleNormal="160" zoomScaleSheetLayoutView="100" workbookViewId="0">
      <selection sqref="A1:AD1"/>
    </sheetView>
  </sheetViews>
  <sheetFormatPr defaultRowHeight="11.25" x14ac:dyDescent="0.2"/>
  <cols>
    <col min="1" max="1" width="1.85546875" style="97" customWidth="1"/>
    <col min="2" max="2" width="2.5703125" style="98" customWidth="1"/>
    <col min="3" max="32" width="1.85546875" style="98" customWidth="1"/>
    <col min="33" max="33" width="2.42578125" style="98" customWidth="1"/>
    <col min="34" max="61" width="1.85546875" style="98" customWidth="1"/>
    <col min="62" max="62" width="1.7109375" style="98" hidden="1" customWidth="1"/>
    <col min="63" max="16384" width="9.140625" style="98"/>
  </cols>
  <sheetData>
    <row r="1" spans="1:62" ht="12" customHeight="1" x14ac:dyDescent="0.2">
      <c r="A1" s="695" t="str">
        <f>"ZAMİNLİK MÜQAVİLƏSİ      "&amp;LD_NUM</f>
        <v>ZAMİNLİK MÜQAVİLƏSİ      LD/15212/00143</v>
      </c>
      <c r="B1" s="695"/>
      <c r="C1" s="695"/>
      <c r="D1" s="695"/>
      <c r="E1" s="695"/>
      <c r="F1" s="695"/>
      <c r="G1" s="695"/>
      <c r="H1" s="695"/>
      <c r="I1" s="695"/>
      <c r="J1" s="695"/>
      <c r="K1" s="695"/>
      <c r="L1" s="695"/>
      <c r="M1" s="695"/>
      <c r="N1" s="695"/>
      <c r="O1" s="695"/>
      <c r="P1" s="695"/>
      <c r="Q1" s="695"/>
      <c r="R1" s="695"/>
      <c r="S1" s="695"/>
      <c r="T1" s="695"/>
      <c r="U1" s="695"/>
      <c r="V1" s="695"/>
      <c r="W1" s="695"/>
      <c r="X1" s="695"/>
      <c r="Y1" s="695"/>
      <c r="Z1" s="695"/>
      <c r="AA1" s="695"/>
      <c r="AB1" s="695"/>
      <c r="AC1" s="695"/>
      <c r="AD1" s="695"/>
      <c r="AF1" s="710" t="s">
        <v>169</v>
      </c>
      <c r="AG1" s="710"/>
      <c r="AH1" s="773" t="s">
        <v>459</v>
      </c>
      <c r="AI1" s="773"/>
      <c r="AJ1" s="773"/>
      <c r="AK1" s="773"/>
      <c r="AL1" s="773"/>
      <c r="AM1" s="773"/>
      <c r="AN1" s="773"/>
      <c r="AO1" s="773"/>
      <c r="AP1" s="773"/>
      <c r="AQ1" s="773"/>
      <c r="AR1" s="773"/>
      <c r="AS1" s="773"/>
      <c r="AT1" s="773"/>
      <c r="AU1" s="773"/>
      <c r="AV1" s="773"/>
      <c r="AW1" s="773"/>
      <c r="AX1" s="773"/>
      <c r="AY1" s="773"/>
      <c r="AZ1" s="773"/>
      <c r="BA1" s="773"/>
      <c r="BB1" s="773"/>
      <c r="BC1" s="773"/>
      <c r="BD1" s="773"/>
      <c r="BE1" s="773"/>
      <c r="BF1" s="773"/>
      <c r="BG1" s="773"/>
      <c r="BH1" s="773"/>
      <c r="BI1" s="773"/>
      <c r="BJ1" s="87"/>
    </row>
    <row r="2" spans="1:62" ht="12" customHeight="1" x14ac:dyDescent="0.2">
      <c r="A2" s="114"/>
      <c r="AF2" s="710" t="s">
        <v>206</v>
      </c>
      <c r="AG2" s="710"/>
      <c r="AH2" s="694" t="s">
        <v>437</v>
      </c>
      <c r="AI2" s="694"/>
      <c r="AJ2" s="694"/>
      <c r="AK2" s="694"/>
      <c r="AL2" s="694"/>
      <c r="AM2" s="694"/>
      <c r="AN2" s="694"/>
      <c r="AO2" s="694"/>
      <c r="AP2" s="694"/>
      <c r="AQ2" s="694"/>
      <c r="AR2" s="694"/>
      <c r="AS2" s="694"/>
      <c r="AT2" s="694"/>
      <c r="AU2" s="694"/>
      <c r="AV2" s="694"/>
      <c r="AW2" s="694"/>
      <c r="AX2" s="694"/>
      <c r="AY2" s="694"/>
      <c r="AZ2" s="694"/>
      <c r="BA2" s="694"/>
      <c r="BB2" s="694"/>
      <c r="BC2" s="694"/>
      <c r="BD2" s="694"/>
      <c r="BE2" s="694"/>
      <c r="BF2" s="694"/>
      <c r="BG2" s="694"/>
      <c r="BH2" s="694"/>
      <c r="BI2" s="694"/>
      <c r="BJ2" s="87"/>
    </row>
    <row r="3" spans="1:62" ht="12" customHeight="1" x14ac:dyDescent="0.2">
      <c r="A3" s="702" t="str">
        <f>NAME_REGION</f>
        <v>Ağcabədi şəhəri</v>
      </c>
      <c r="B3" s="702"/>
      <c r="C3" s="702"/>
      <c r="D3" s="702"/>
      <c r="E3" s="702"/>
      <c r="F3" s="702"/>
      <c r="G3" s="702"/>
      <c r="H3" s="702"/>
      <c r="I3" s="702"/>
      <c r="J3" s="702"/>
      <c r="K3" s="702"/>
      <c r="L3" s="702"/>
      <c r="M3" s="702"/>
      <c r="N3" s="702"/>
      <c r="O3" s="702"/>
      <c r="P3" s="702"/>
      <c r="Q3" s="702"/>
      <c r="R3" s="702"/>
      <c r="S3" s="702"/>
      <c r="T3" s="702"/>
      <c r="U3" s="697" t="str">
        <f>START_DATE_KREDIT_SOZLE</f>
        <v>«31» İyul 2015-ci il</v>
      </c>
      <c r="V3" s="697"/>
      <c r="W3" s="697"/>
      <c r="X3" s="697"/>
      <c r="Y3" s="697"/>
      <c r="Z3" s="697"/>
      <c r="AA3" s="697"/>
      <c r="AB3" s="697"/>
      <c r="AC3" s="697"/>
      <c r="AD3" s="697"/>
      <c r="AF3" s="97"/>
      <c r="AG3" s="97"/>
      <c r="AH3" s="694"/>
      <c r="AI3" s="694"/>
      <c r="AJ3" s="694"/>
      <c r="AK3" s="694"/>
      <c r="AL3" s="694"/>
      <c r="AM3" s="694"/>
      <c r="AN3" s="694"/>
      <c r="AO3" s="694"/>
      <c r="AP3" s="694"/>
      <c r="AQ3" s="694"/>
      <c r="AR3" s="694"/>
      <c r="AS3" s="694"/>
      <c r="AT3" s="694"/>
      <c r="AU3" s="694"/>
      <c r="AV3" s="694"/>
      <c r="AW3" s="694"/>
      <c r="AX3" s="694"/>
      <c r="AY3" s="694"/>
      <c r="AZ3" s="694"/>
      <c r="BA3" s="694"/>
      <c r="BB3" s="694"/>
      <c r="BC3" s="694"/>
      <c r="BD3" s="694"/>
      <c r="BE3" s="694"/>
      <c r="BF3" s="694"/>
      <c r="BG3" s="694"/>
      <c r="BH3" s="694"/>
      <c r="BI3" s="694"/>
      <c r="BJ3" s="87"/>
    </row>
    <row r="4" spans="1:62" ht="12" customHeight="1" x14ac:dyDescent="0.2">
      <c r="A4" s="98"/>
      <c r="U4" s="96"/>
      <c r="V4" s="96"/>
      <c r="W4" s="96"/>
      <c r="X4" s="96"/>
      <c r="Y4" s="96"/>
      <c r="Z4" s="96"/>
      <c r="AA4" s="96"/>
      <c r="AB4" s="96"/>
      <c r="AC4" s="96"/>
      <c r="AD4" s="96"/>
      <c r="AF4" s="701" t="s">
        <v>205</v>
      </c>
      <c r="AG4" s="701"/>
      <c r="AH4" s="704" t="s">
        <v>460</v>
      </c>
      <c r="AI4" s="704"/>
      <c r="AJ4" s="704"/>
      <c r="AK4" s="704"/>
      <c r="AL4" s="704"/>
      <c r="AM4" s="704"/>
      <c r="AN4" s="704"/>
      <c r="AO4" s="704"/>
      <c r="AP4" s="704"/>
      <c r="AQ4" s="704"/>
      <c r="AR4" s="704"/>
      <c r="AS4" s="704"/>
      <c r="AT4" s="704"/>
      <c r="AU4" s="704"/>
      <c r="AV4" s="704"/>
      <c r="AW4" s="704"/>
      <c r="AX4" s="704"/>
      <c r="AY4" s="704"/>
      <c r="AZ4" s="704"/>
      <c r="BA4" s="704"/>
      <c r="BB4" s="704"/>
      <c r="BC4" s="704"/>
      <c r="BD4" s="704"/>
      <c r="BE4" s="704"/>
      <c r="BF4" s="704"/>
      <c r="BG4" s="704"/>
      <c r="BH4" s="704"/>
      <c r="BI4" s="704"/>
      <c r="BJ4" s="704"/>
    </row>
    <row r="5" spans="1:62" ht="12" customHeight="1" x14ac:dyDescent="0.2">
      <c r="A5" s="694" t="str">
        <f>"Bir tərəfdən bundan sonra «Borc verən» adlanacaq, Azərbaycan Respublikasının Mərkəzi Bankı  tərəfindən  verilmiş  lisenziya və Nizamnamə əsasında fəaliyyət göstərən, Bank Olmayan Kredit Təşkilatı «Vijn Fond Azərkredit» MMC, "&amp;NAME_BRANCH&amp;"  "&amp;POSITION_MENEGER_BRANCH&amp;" "&amp;SURNAME_MENEGER_BRANCH&amp;" "&amp;NAME_MENEGER_BRANCH&amp;" "&amp;FATHERNAME_MENEGER_BRANCH&amp;" "&amp;G_MENEGER_BRANCH&amp;"nun şəxsində digər tərəfdən, bundan sonra «Zamin» adlanacaq, "&amp;SURNAME_ZAMIN2&amp;" "&amp;NAME_ZAMIN2&amp;" "&amp;FATHERNAME_ZAMIN2&amp;" "&amp;G_ZAMIN2&amp;" və üçüncü tərəfdən bundan sonra «Borc alan» adlanacaq "&amp;SURNAME_KREDITOR&amp;" "&amp;NAME_KREDITOR&amp;" "&amp;FATHERNAME_KREDITOR&amp;" "&amp;G_KREDITOR&amp;"   aşağıdakı məzmunda və şərtlərlə bu müqaviləni bağladılar."</f>
        <v>Bir tərəfdən bundan sonra «Borc verən» adlanacaq, Azərbaycan Respublikasının Mərkəzi Bankı  tərəfindən  verilmiş  lisenziya və Nizamnamə əsasında fəaliyyət göstərən, Bank Olmayan Kredit Təşkilatı «Vijn Fond Azərkredit» MMC, Ağcabədi  Filialının  kredit meneceri Əhmədov  Bəhruz  Tofiq  oğlunun şəxsində digər tərəfdən, bundan sonra «Zamin» adlanacaq, Əsgərova Aynur Əsdan qızı və üçüncü tərəfdən bundan sonra «Borc alan» adlanacaq Həsənov Kənan Asdan qızı   aşağıdakı məzmunda və şərtlərlə bu müqaviləni bağladılar.</v>
      </c>
      <c r="B5" s="694"/>
      <c r="C5" s="694"/>
      <c r="D5" s="694"/>
      <c r="E5" s="694"/>
      <c r="F5" s="694"/>
      <c r="G5" s="694"/>
      <c r="H5" s="694"/>
      <c r="I5" s="694"/>
      <c r="J5" s="694"/>
      <c r="K5" s="694"/>
      <c r="L5" s="694"/>
      <c r="M5" s="694"/>
      <c r="N5" s="694"/>
      <c r="O5" s="694"/>
      <c r="P5" s="694"/>
      <c r="Q5" s="694"/>
      <c r="R5" s="694"/>
      <c r="S5" s="694"/>
      <c r="T5" s="694"/>
      <c r="U5" s="694"/>
      <c r="V5" s="694"/>
      <c r="W5" s="694"/>
      <c r="X5" s="694"/>
      <c r="Y5" s="694"/>
      <c r="Z5" s="694"/>
      <c r="AA5" s="694"/>
      <c r="AB5" s="694"/>
      <c r="AC5" s="694"/>
      <c r="AD5" s="694"/>
      <c r="AF5" s="701" t="s">
        <v>204</v>
      </c>
      <c r="AG5" s="701"/>
      <c r="AH5" s="694" t="s">
        <v>203</v>
      </c>
      <c r="AI5" s="694"/>
      <c r="AJ5" s="694"/>
      <c r="AK5" s="694"/>
      <c r="AL5" s="694"/>
      <c r="AM5" s="694"/>
      <c r="AN5" s="694"/>
      <c r="AO5" s="694"/>
      <c r="AP5" s="694"/>
      <c r="AQ5" s="694"/>
      <c r="AR5" s="694"/>
      <c r="AS5" s="694"/>
      <c r="AT5" s="694"/>
      <c r="AU5" s="694"/>
      <c r="AV5" s="694"/>
      <c r="AW5" s="694"/>
      <c r="AX5" s="694"/>
      <c r="AY5" s="694"/>
      <c r="AZ5" s="694"/>
      <c r="BA5" s="694"/>
      <c r="BB5" s="694"/>
      <c r="BC5" s="694"/>
      <c r="BD5" s="694"/>
      <c r="BE5" s="694"/>
      <c r="BF5" s="694"/>
      <c r="BG5" s="694"/>
      <c r="BH5" s="694"/>
      <c r="BI5" s="694"/>
      <c r="BJ5" s="694"/>
    </row>
    <row r="6" spans="1:62" ht="12" customHeight="1" x14ac:dyDescent="0.2">
      <c r="A6" s="694"/>
      <c r="B6" s="694"/>
      <c r="C6" s="694"/>
      <c r="D6" s="694"/>
      <c r="E6" s="694"/>
      <c r="F6" s="694"/>
      <c r="G6" s="694"/>
      <c r="H6" s="694"/>
      <c r="I6" s="694"/>
      <c r="J6" s="694"/>
      <c r="K6" s="694"/>
      <c r="L6" s="694"/>
      <c r="M6" s="694"/>
      <c r="N6" s="694"/>
      <c r="O6" s="694"/>
      <c r="P6" s="694"/>
      <c r="Q6" s="694"/>
      <c r="R6" s="694"/>
      <c r="S6" s="694"/>
      <c r="T6" s="694"/>
      <c r="U6" s="694"/>
      <c r="V6" s="694"/>
      <c r="W6" s="694"/>
      <c r="X6" s="694"/>
      <c r="Y6" s="694"/>
      <c r="Z6" s="694"/>
      <c r="AA6" s="694"/>
      <c r="AB6" s="694"/>
      <c r="AC6" s="694"/>
      <c r="AD6" s="694"/>
      <c r="AF6" s="701" t="s">
        <v>202</v>
      </c>
      <c r="AG6" s="701"/>
      <c r="AH6" s="694" t="s">
        <v>201</v>
      </c>
      <c r="AI6" s="694"/>
      <c r="AJ6" s="694"/>
      <c r="AK6" s="694"/>
      <c r="AL6" s="694"/>
      <c r="AM6" s="694"/>
      <c r="AN6" s="694"/>
      <c r="AO6" s="694"/>
      <c r="AP6" s="694"/>
      <c r="AQ6" s="694"/>
      <c r="AR6" s="694"/>
      <c r="AS6" s="694"/>
      <c r="AT6" s="694"/>
      <c r="AU6" s="694"/>
      <c r="AV6" s="694"/>
      <c r="AW6" s="694"/>
      <c r="AX6" s="694"/>
      <c r="AY6" s="694"/>
      <c r="AZ6" s="694"/>
      <c r="BA6" s="694"/>
      <c r="BB6" s="694"/>
      <c r="BC6" s="694"/>
      <c r="BD6" s="694"/>
      <c r="BE6" s="694"/>
      <c r="BF6" s="694"/>
      <c r="BG6" s="694"/>
      <c r="BH6" s="694"/>
      <c r="BI6" s="694"/>
      <c r="BJ6" s="694"/>
    </row>
    <row r="7" spans="1:62" ht="12" customHeight="1" x14ac:dyDescent="0.2">
      <c r="A7" s="694"/>
      <c r="B7" s="694"/>
      <c r="C7" s="694"/>
      <c r="D7" s="694"/>
      <c r="E7" s="694"/>
      <c r="F7" s="694"/>
      <c r="G7" s="694"/>
      <c r="H7" s="694"/>
      <c r="I7" s="694"/>
      <c r="J7" s="694"/>
      <c r="K7" s="694"/>
      <c r="L7" s="694"/>
      <c r="M7" s="694"/>
      <c r="N7" s="694"/>
      <c r="O7" s="694"/>
      <c r="P7" s="694"/>
      <c r="Q7" s="694"/>
      <c r="R7" s="694"/>
      <c r="S7" s="694"/>
      <c r="T7" s="694"/>
      <c r="U7" s="694"/>
      <c r="V7" s="694"/>
      <c r="W7" s="694"/>
      <c r="X7" s="694"/>
      <c r="Y7" s="694"/>
      <c r="Z7" s="694"/>
      <c r="AA7" s="694"/>
      <c r="AB7" s="694"/>
      <c r="AC7" s="694"/>
      <c r="AD7" s="694"/>
      <c r="AH7" s="694"/>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c r="BH7" s="694"/>
      <c r="BI7" s="694"/>
      <c r="BJ7" s="694"/>
    </row>
    <row r="8" spans="1:62" ht="12" customHeight="1" x14ac:dyDescent="0.2">
      <c r="A8" s="694"/>
      <c r="B8" s="694"/>
      <c r="C8" s="694"/>
      <c r="D8" s="694"/>
      <c r="E8" s="694"/>
      <c r="F8" s="694"/>
      <c r="G8" s="694"/>
      <c r="H8" s="694"/>
      <c r="I8" s="694"/>
      <c r="J8" s="694"/>
      <c r="K8" s="694"/>
      <c r="L8" s="694"/>
      <c r="M8" s="694"/>
      <c r="N8" s="694"/>
      <c r="O8" s="694"/>
      <c r="P8" s="694"/>
      <c r="Q8" s="694"/>
      <c r="R8" s="694"/>
      <c r="S8" s="694"/>
      <c r="T8" s="694"/>
      <c r="U8" s="694"/>
      <c r="V8" s="694"/>
      <c r="W8" s="694"/>
      <c r="X8" s="694"/>
      <c r="Y8" s="694"/>
      <c r="Z8" s="694"/>
      <c r="AA8" s="694"/>
      <c r="AB8" s="694"/>
      <c r="AC8" s="694"/>
      <c r="AD8" s="694"/>
      <c r="AF8" s="699" t="s">
        <v>200</v>
      </c>
      <c r="AG8" s="699"/>
      <c r="AH8" s="694" t="s">
        <v>438</v>
      </c>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c r="BH8" s="694"/>
      <c r="BI8" s="694"/>
      <c r="BJ8" s="694"/>
    </row>
    <row r="9" spans="1:62" ht="12" customHeight="1" x14ac:dyDescent="0.2">
      <c r="A9" s="694"/>
      <c r="B9" s="694"/>
      <c r="C9" s="694"/>
      <c r="D9" s="694"/>
      <c r="E9" s="694"/>
      <c r="F9" s="694"/>
      <c r="G9" s="694"/>
      <c r="H9" s="694"/>
      <c r="I9" s="694"/>
      <c r="J9" s="694"/>
      <c r="K9" s="694"/>
      <c r="L9" s="694"/>
      <c r="M9" s="694"/>
      <c r="N9" s="694"/>
      <c r="O9" s="694"/>
      <c r="P9" s="694"/>
      <c r="Q9" s="694"/>
      <c r="R9" s="694"/>
      <c r="S9" s="694"/>
      <c r="T9" s="694"/>
      <c r="U9" s="694"/>
      <c r="V9" s="694"/>
      <c r="W9" s="694"/>
      <c r="X9" s="694"/>
      <c r="Y9" s="694"/>
      <c r="Z9" s="694"/>
      <c r="AA9" s="694"/>
      <c r="AB9" s="694"/>
      <c r="AC9" s="694"/>
      <c r="AD9" s="694"/>
    </row>
    <row r="10" spans="1:62" ht="12" customHeight="1" x14ac:dyDescent="0.2">
      <c r="A10" s="694"/>
      <c r="B10" s="694"/>
      <c r="C10" s="694"/>
      <c r="D10" s="694"/>
      <c r="E10" s="694"/>
      <c r="F10" s="694"/>
      <c r="G10" s="694"/>
      <c r="H10" s="694"/>
      <c r="I10" s="694"/>
      <c r="J10" s="694"/>
      <c r="K10" s="694"/>
      <c r="L10" s="694"/>
      <c r="M10" s="694"/>
      <c r="N10" s="694"/>
      <c r="O10" s="694"/>
      <c r="P10" s="694"/>
      <c r="Q10" s="694"/>
      <c r="R10" s="694"/>
      <c r="S10" s="694"/>
      <c r="T10" s="694"/>
      <c r="U10" s="694"/>
      <c r="V10" s="694"/>
      <c r="W10" s="694"/>
      <c r="X10" s="694"/>
      <c r="Y10" s="694"/>
      <c r="Z10" s="694"/>
      <c r="AA10" s="694"/>
      <c r="AB10" s="694"/>
      <c r="AC10" s="694"/>
      <c r="AD10" s="694"/>
      <c r="AF10" s="695" t="s">
        <v>439</v>
      </c>
      <c r="AG10" s="695"/>
      <c r="AH10" s="695"/>
      <c r="AI10" s="695"/>
      <c r="AJ10" s="695"/>
      <c r="AK10" s="695"/>
      <c r="AL10" s="695"/>
      <c r="AM10" s="695"/>
      <c r="AN10" s="695"/>
      <c r="AO10" s="695"/>
      <c r="AP10" s="695"/>
      <c r="AQ10" s="695"/>
      <c r="AR10" s="695"/>
      <c r="AS10" s="695"/>
      <c r="AT10" s="695"/>
      <c r="AU10" s="695"/>
      <c r="AV10" s="695"/>
      <c r="AW10" s="695"/>
      <c r="AX10" s="695"/>
      <c r="AY10" s="695"/>
      <c r="AZ10" s="695"/>
      <c r="BA10" s="695"/>
      <c r="BB10" s="695"/>
      <c r="BC10" s="695"/>
      <c r="BD10" s="695"/>
      <c r="BE10" s="695"/>
      <c r="BF10" s="695"/>
      <c r="BG10" s="695"/>
      <c r="BH10" s="695"/>
      <c r="BI10" s="695"/>
      <c r="BJ10" s="695"/>
    </row>
    <row r="11" spans="1:62" ht="12" customHeight="1" x14ac:dyDescent="0.2">
      <c r="A11" s="694"/>
      <c r="B11" s="694"/>
      <c r="C11" s="694"/>
      <c r="D11" s="694"/>
      <c r="E11" s="694"/>
      <c r="F11" s="694"/>
      <c r="G11" s="694"/>
      <c r="H11" s="694"/>
      <c r="I11" s="694"/>
      <c r="J11" s="694"/>
      <c r="K11" s="694"/>
      <c r="L11" s="694"/>
      <c r="M11" s="694"/>
      <c r="N11" s="694"/>
      <c r="O11" s="694"/>
      <c r="P11" s="694"/>
      <c r="Q11" s="694"/>
      <c r="R11" s="694"/>
      <c r="S11" s="694"/>
      <c r="T11" s="694"/>
      <c r="U11" s="694"/>
      <c r="V11" s="694"/>
      <c r="W11" s="694"/>
      <c r="X11" s="694"/>
      <c r="Y11" s="694"/>
      <c r="Z11" s="694"/>
      <c r="AA11" s="694"/>
      <c r="AB11" s="694"/>
      <c r="AC11" s="694"/>
      <c r="AD11" s="69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row>
    <row r="12" spans="1:62" ht="12" customHeight="1" x14ac:dyDescent="0.2">
      <c r="A12" s="695" t="s">
        <v>94</v>
      </c>
      <c r="B12" s="695"/>
      <c r="C12" s="695"/>
      <c r="D12" s="695"/>
      <c r="E12" s="695"/>
      <c r="F12" s="695"/>
      <c r="G12" s="695"/>
      <c r="H12" s="695"/>
      <c r="I12" s="695"/>
      <c r="J12" s="695"/>
      <c r="K12" s="695"/>
      <c r="L12" s="695"/>
      <c r="M12" s="695"/>
      <c r="N12" s="695"/>
      <c r="O12" s="695"/>
      <c r="P12" s="695"/>
      <c r="Q12" s="695"/>
      <c r="R12" s="695"/>
      <c r="S12" s="695"/>
      <c r="T12" s="695"/>
      <c r="U12" s="695"/>
      <c r="V12" s="695"/>
      <c r="W12" s="695"/>
      <c r="X12" s="695"/>
      <c r="Y12" s="695"/>
      <c r="Z12" s="695"/>
      <c r="AA12" s="695"/>
      <c r="AB12" s="695"/>
      <c r="AC12" s="695"/>
      <c r="AD12" s="695"/>
      <c r="AF12" s="701" t="s">
        <v>135</v>
      </c>
      <c r="AG12" s="701"/>
      <c r="AH12" s="694" t="s">
        <v>461</v>
      </c>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c r="BH12" s="694"/>
      <c r="BI12" s="694"/>
      <c r="BJ12" s="694"/>
    </row>
    <row r="13" spans="1:62" ht="12" customHeight="1" x14ac:dyDescent="0.2">
      <c r="A13" s="98"/>
      <c r="AF13" s="114"/>
      <c r="AG13" s="114"/>
      <c r="AH13" s="694"/>
      <c r="AI13" s="694"/>
      <c r="AJ13" s="694"/>
      <c r="AK13" s="694"/>
      <c r="AL13" s="694"/>
      <c r="AM13" s="694"/>
      <c r="AN13" s="694"/>
      <c r="AO13" s="694"/>
      <c r="AP13" s="694"/>
      <c r="AQ13" s="694"/>
      <c r="AR13" s="694"/>
      <c r="AS13" s="694"/>
      <c r="AT13" s="694"/>
      <c r="AU13" s="694"/>
      <c r="AV13" s="694"/>
      <c r="AW13" s="694"/>
      <c r="AX13" s="694"/>
      <c r="AY13" s="694"/>
      <c r="AZ13" s="694"/>
      <c r="BA13" s="694"/>
      <c r="BB13" s="694"/>
      <c r="BC13" s="694"/>
      <c r="BD13" s="694"/>
      <c r="BE13" s="694"/>
      <c r="BF13" s="694"/>
      <c r="BG13" s="694"/>
      <c r="BH13" s="694"/>
      <c r="BI13" s="694"/>
      <c r="BJ13" s="694"/>
    </row>
    <row r="14" spans="1:62" ht="12" customHeight="1" x14ac:dyDescent="0.2">
      <c r="A14" s="701" t="s">
        <v>93</v>
      </c>
      <c r="B14" s="701"/>
      <c r="C14" s="694" t="s">
        <v>455</v>
      </c>
      <c r="D14" s="694"/>
      <c r="E14" s="694"/>
      <c r="F14" s="694"/>
      <c r="G14" s="694"/>
      <c r="H14" s="694"/>
      <c r="I14" s="694"/>
      <c r="J14" s="694"/>
      <c r="K14" s="694"/>
      <c r="L14" s="694"/>
      <c r="M14" s="694"/>
      <c r="N14" s="694"/>
      <c r="O14" s="694"/>
      <c r="P14" s="694"/>
      <c r="Q14" s="694"/>
      <c r="R14" s="694"/>
      <c r="S14" s="694"/>
      <c r="T14" s="694"/>
      <c r="U14" s="694"/>
      <c r="V14" s="694"/>
      <c r="W14" s="694"/>
      <c r="X14" s="694"/>
      <c r="Y14" s="694"/>
      <c r="Z14" s="694"/>
      <c r="AA14" s="694"/>
      <c r="AB14" s="694"/>
      <c r="AC14" s="694"/>
      <c r="AD14" s="694"/>
      <c r="AH14" s="694"/>
      <c r="AI14" s="694"/>
      <c r="AJ14" s="694"/>
      <c r="AK14" s="694"/>
      <c r="AL14" s="694"/>
      <c r="AM14" s="694"/>
      <c r="AN14" s="694"/>
      <c r="AO14" s="694"/>
      <c r="AP14" s="694"/>
      <c r="AQ14" s="694"/>
      <c r="AR14" s="694"/>
      <c r="AS14" s="694"/>
      <c r="AT14" s="694"/>
      <c r="AU14" s="694"/>
      <c r="AV14" s="694"/>
      <c r="AW14" s="694"/>
      <c r="AX14" s="694"/>
      <c r="AY14" s="694"/>
      <c r="AZ14" s="694"/>
      <c r="BA14" s="694"/>
      <c r="BB14" s="694"/>
      <c r="BC14" s="694"/>
      <c r="BD14" s="694"/>
      <c r="BE14" s="694"/>
      <c r="BF14" s="694"/>
      <c r="BG14" s="694"/>
      <c r="BH14" s="694"/>
      <c r="BI14" s="694"/>
      <c r="BJ14" s="694"/>
    </row>
    <row r="15" spans="1:62" ht="12" customHeight="1" x14ac:dyDescent="0.2">
      <c r="A15" s="114"/>
      <c r="B15" s="114"/>
      <c r="C15" s="694"/>
      <c r="D15" s="694"/>
      <c r="E15" s="694"/>
      <c r="F15" s="694"/>
      <c r="G15" s="694"/>
      <c r="H15" s="694"/>
      <c r="I15" s="694"/>
      <c r="J15" s="694"/>
      <c r="K15" s="694"/>
      <c r="L15" s="694"/>
      <c r="M15" s="694"/>
      <c r="N15" s="694"/>
      <c r="O15" s="694"/>
      <c r="P15" s="694"/>
      <c r="Q15" s="694"/>
      <c r="R15" s="694"/>
      <c r="S15" s="694"/>
      <c r="T15" s="694"/>
      <c r="U15" s="694"/>
      <c r="V15" s="694"/>
      <c r="W15" s="694"/>
      <c r="X15" s="694"/>
      <c r="Y15" s="694"/>
      <c r="Z15" s="694"/>
      <c r="AA15" s="694"/>
      <c r="AB15" s="694"/>
      <c r="AC15" s="694"/>
      <c r="AD15" s="694"/>
      <c r="AF15" s="701" t="s">
        <v>199</v>
      </c>
      <c r="AG15" s="701"/>
      <c r="AH15" s="694" t="str">
        <f>"«Zamin» bəyan edir ki, zaminliklə təmin edilmiş öhdəlik icra edilmədikdə və ya lazımınca icra edilmədikdə əsas borcun, faizlərin, dəbbə pulunun habelə  «Borc verən»in "&amp;"çəkmiş olduğu hər hansı digər xərc və zərərin əvəzinin ödənilməsi üzrə  «Borc verən» qarşısında  «Borc alan»la eyni həcmdə məsuliyyət daşıyır."</f>
        <v>«Zamin» bəyan edir ki, zaminliklə təmin edilmiş öhdəlik icra edilmədikdə və ya lazımınca icra edilmədikdə əsas borcun, faizlərin, dəbbə pulunun habelə  «Borc verən»in çəkmiş olduğu hər hansı digər xərc və zərərin əvəzinin ödənilməsi üzrə  «Borc verən» qarşısında  «Borc alan»la eyni həcmdə məsuliyyət daşıyır.</v>
      </c>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c r="BH15" s="694"/>
      <c r="BI15" s="694"/>
      <c r="BJ15" s="694"/>
    </row>
    <row r="16" spans="1:62" ht="12" customHeight="1" x14ac:dyDescent="0.2">
      <c r="A16" s="114"/>
      <c r="C16" s="694"/>
      <c r="D16" s="694"/>
      <c r="E16" s="694"/>
      <c r="F16" s="694"/>
      <c r="G16" s="694"/>
      <c r="H16" s="694"/>
      <c r="I16" s="694"/>
      <c r="J16" s="694"/>
      <c r="K16" s="694"/>
      <c r="L16" s="694"/>
      <c r="M16" s="694"/>
      <c r="N16" s="694"/>
      <c r="O16" s="694"/>
      <c r="P16" s="694"/>
      <c r="Q16" s="694"/>
      <c r="R16" s="694"/>
      <c r="S16" s="694"/>
      <c r="T16" s="694"/>
      <c r="U16" s="694"/>
      <c r="V16" s="694"/>
      <c r="W16" s="694"/>
      <c r="X16" s="694"/>
      <c r="Y16" s="694"/>
      <c r="Z16" s="694"/>
      <c r="AA16" s="694"/>
      <c r="AB16" s="694"/>
      <c r="AC16" s="694"/>
      <c r="AD16" s="694"/>
      <c r="AH16" s="694"/>
      <c r="AI16" s="694"/>
      <c r="AJ16" s="694"/>
      <c r="AK16" s="694"/>
      <c r="AL16" s="694"/>
      <c r="AM16" s="694"/>
      <c r="AN16" s="694"/>
      <c r="AO16" s="694"/>
      <c r="AP16" s="694"/>
      <c r="AQ16" s="694"/>
      <c r="AR16" s="694"/>
      <c r="AS16" s="694"/>
      <c r="AT16" s="694"/>
      <c r="AU16" s="694"/>
      <c r="AV16" s="694"/>
      <c r="AW16" s="694"/>
      <c r="AX16" s="694"/>
      <c r="AY16" s="694"/>
      <c r="AZ16" s="694"/>
      <c r="BA16" s="694"/>
      <c r="BB16" s="694"/>
      <c r="BC16" s="694"/>
      <c r="BD16" s="694"/>
      <c r="BE16" s="694"/>
      <c r="BF16" s="694"/>
      <c r="BG16" s="694"/>
      <c r="BH16" s="694"/>
      <c r="BI16" s="694"/>
      <c r="BJ16" s="694"/>
    </row>
    <row r="17" spans="1:62" ht="12" customHeight="1" x14ac:dyDescent="0.2">
      <c r="A17" s="114"/>
      <c r="C17" s="694"/>
      <c r="D17" s="694"/>
      <c r="E17" s="694"/>
      <c r="F17" s="694"/>
      <c r="G17" s="694"/>
      <c r="H17" s="694"/>
      <c r="I17" s="694"/>
      <c r="J17" s="694"/>
      <c r="K17" s="694"/>
      <c r="L17" s="694"/>
      <c r="M17" s="694"/>
      <c r="N17" s="694"/>
      <c r="O17" s="694"/>
      <c r="P17" s="694"/>
      <c r="Q17" s="694"/>
      <c r="R17" s="694"/>
      <c r="S17" s="694"/>
      <c r="T17" s="694"/>
      <c r="U17" s="694"/>
      <c r="V17" s="694"/>
      <c r="W17" s="694"/>
      <c r="X17" s="694"/>
      <c r="Y17" s="694"/>
      <c r="Z17" s="694"/>
      <c r="AA17" s="694"/>
      <c r="AB17" s="694"/>
      <c r="AC17" s="694"/>
      <c r="AD17" s="694"/>
      <c r="AH17" s="694"/>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c r="BH17" s="694"/>
      <c r="BI17" s="694"/>
      <c r="BJ17" s="694"/>
    </row>
    <row r="18" spans="1:62" ht="12" customHeight="1" x14ac:dyDescent="0.2">
      <c r="A18" s="701" t="s">
        <v>88</v>
      </c>
      <c r="B18" s="701"/>
      <c r="C18" s="698" t="str">
        <f>"«Borc alan» tərəfindən kredit öhdəliyi icra edilmədikdə və ya lazımınca icra edilmədikdə «Zamin» «Borc verən»in ilkin yazılı tələbi ilə kredit məbləğini (əsas borc), ona hesablanmış faiz və cərimə "&amp;"məbləğini o cümlədən borcun ödənilməsi üzrə çəkilmiş məhkəmə xərclərinin dərhal «Borc verən»ə ödənilməsini (qaytarılmasını) öz üzərinə götürür."</f>
        <v>«Borc alan» tərəfindən kredit öhdəliyi icra edilmədikdə və ya lazımınca icra edilmədikdə «Zamin» «Borc verən»in ilkin yazılı tələbi ilə kredit məbləğini (əsas borc), ona hesablanmış faiz və cərimə məbləğini o cümlədən borcun ödənilməsi üzrə çəkilmiş məhkəmə xərclərinin dərhal «Borc verən»ə ödənilməsini (qaytarılmasını) öz üzərinə götürür.</v>
      </c>
      <c r="D18" s="698"/>
      <c r="E18" s="698"/>
      <c r="F18" s="698"/>
      <c r="G18" s="698"/>
      <c r="H18" s="698"/>
      <c r="I18" s="698"/>
      <c r="J18" s="698"/>
      <c r="K18" s="698"/>
      <c r="L18" s="698"/>
      <c r="M18" s="698"/>
      <c r="N18" s="698"/>
      <c r="O18" s="698"/>
      <c r="P18" s="698"/>
      <c r="Q18" s="698"/>
      <c r="R18" s="698"/>
      <c r="S18" s="698"/>
      <c r="T18" s="698"/>
      <c r="U18" s="698"/>
      <c r="V18" s="698"/>
      <c r="W18" s="698"/>
      <c r="X18" s="698"/>
      <c r="Y18" s="698"/>
      <c r="Z18" s="698"/>
      <c r="AA18" s="698"/>
      <c r="AB18" s="698"/>
      <c r="AC18" s="698"/>
      <c r="AD18" s="698"/>
      <c r="AH18" s="694"/>
      <c r="AI18" s="694"/>
      <c r="AJ18" s="694"/>
      <c r="AK18" s="694"/>
      <c r="AL18" s="694"/>
      <c r="AM18" s="694"/>
      <c r="AN18" s="694"/>
      <c r="AO18" s="694"/>
      <c r="AP18" s="694"/>
      <c r="AQ18" s="694"/>
      <c r="AR18" s="694"/>
      <c r="AS18" s="694"/>
      <c r="AT18" s="694"/>
      <c r="AU18" s="694"/>
      <c r="AV18" s="694"/>
      <c r="AW18" s="694"/>
      <c r="AX18" s="694"/>
      <c r="AY18" s="694"/>
      <c r="AZ18" s="694"/>
      <c r="BA18" s="694"/>
      <c r="BB18" s="694"/>
      <c r="BC18" s="694"/>
      <c r="BD18" s="694"/>
      <c r="BE18" s="694"/>
      <c r="BF18" s="694"/>
      <c r="BG18" s="694"/>
      <c r="BH18" s="694"/>
      <c r="BI18" s="694"/>
      <c r="BJ18" s="694"/>
    </row>
    <row r="19" spans="1:62" ht="12" customHeight="1" x14ac:dyDescent="0.2">
      <c r="A19" s="128"/>
      <c r="B19" s="125"/>
      <c r="C19" s="698"/>
      <c r="D19" s="698"/>
      <c r="E19" s="698"/>
      <c r="F19" s="698"/>
      <c r="G19" s="698"/>
      <c r="H19" s="698"/>
      <c r="I19" s="698"/>
      <c r="J19" s="698"/>
      <c r="K19" s="698"/>
      <c r="L19" s="698"/>
      <c r="M19" s="698"/>
      <c r="N19" s="698"/>
      <c r="O19" s="698"/>
      <c r="P19" s="698"/>
      <c r="Q19" s="698"/>
      <c r="R19" s="698"/>
      <c r="S19" s="698"/>
      <c r="T19" s="698"/>
      <c r="U19" s="698"/>
      <c r="V19" s="698"/>
      <c r="W19" s="698"/>
      <c r="X19" s="698"/>
      <c r="Y19" s="698"/>
      <c r="Z19" s="698"/>
      <c r="AA19" s="698"/>
      <c r="AB19" s="698"/>
      <c r="AC19" s="698"/>
      <c r="AD19" s="698"/>
      <c r="AF19" s="701" t="s">
        <v>198</v>
      </c>
      <c r="AG19" s="701"/>
      <c r="AH19" s="694" t="s">
        <v>462</v>
      </c>
      <c r="AI19" s="694"/>
      <c r="AJ19" s="694"/>
      <c r="AK19" s="694"/>
      <c r="AL19" s="694"/>
      <c r="AM19" s="694"/>
      <c r="AN19" s="694"/>
      <c r="AO19" s="694"/>
      <c r="AP19" s="694"/>
      <c r="AQ19" s="694"/>
      <c r="AR19" s="694"/>
      <c r="AS19" s="694"/>
      <c r="AT19" s="694"/>
      <c r="AU19" s="694"/>
      <c r="AV19" s="694"/>
      <c r="AW19" s="694"/>
      <c r="AX19" s="694"/>
      <c r="AY19" s="694"/>
      <c r="AZ19" s="694"/>
      <c r="BA19" s="694"/>
      <c r="BB19" s="694"/>
      <c r="BC19" s="694"/>
      <c r="BD19" s="694"/>
      <c r="BE19" s="694"/>
      <c r="BF19" s="694"/>
      <c r="BG19" s="694"/>
      <c r="BH19" s="694"/>
      <c r="BI19" s="694"/>
      <c r="BJ19" s="694"/>
    </row>
    <row r="20" spans="1:62" ht="12" customHeight="1" x14ac:dyDescent="0.2">
      <c r="A20" s="128"/>
      <c r="B20" s="125"/>
      <c r="C20" s="698"/>
      <c r="D20" s="698"/>
      <c r="E20" s="698"/>
      <c r="F20" s="698"/>
      <c r="G20" s="698"/>
      <c r="H20" s="698"/>
      <c r="I20" s="698"/>
      <c r="J20" s="698"/>
      <c r="K20" s="698"/>
      <c r="L20" s="698"/>
      <c r="M20" s="698"/>
      <c r="N20" s="698"/>
      <c r="O20" s="698"/>
      <c r="P20" s="698"/>
      <c r="Q20" s="698"/>
      <c r="R20" s="698"/>
      <c r="S20" s="698"/>
      <c r="T20" s="698"/>
      <c r="U20" s="698"/>
      <c r="V20" s="698"/>
      <c r="W20" s="698"/>
      <c r="X20" s="698"/>
      <c r="Y20" s="698"/>
      <c r="Z20" s="698"/>
      <c r="AA20" s="698"/>
      <c r="AB20" s="698"/>
      <c r="AC20" s="698"/>
      <c r="AD20" s="698"/>
      <c r="AH20" s="694"/>
      <c r="AI20" s="694"/>
      <c r="AJ20" s="694"/>
      <c r="AK20" s="694"/>
      <c r="AL20" s="694"/>
      <c r="AM20" s="694"/>
      <c r="AN20" s="694"/>
      <c r="AO20" s="694"/>
      <c r="AP20" s="694"/>
      <c r="AQ20" s="694"/>
      <c r="AR20" s="694"/>
      <c r="AS20" s="694"/>
      <c r="AT20" s="694"/>
      <c r="AU20" s="694"/>
      <c r="AV20" s="694"/>
      <c r="AW20" s="694"/>
      <c r="AX20" s="694"/>
      <c r="AY20" s="694"/>
      <c r="AZ20" s="694"/>
      <c r="BA20" s="694"/>
      <c r="BB20" s="694"/>
      <c r="BC20" s="694"/>
      <c r="BD20" s="694"/>
      <c r="BE20" s="694"/>
      <c r="BF20" s="694"/>
      <c r="BG20" s="694"/>
      <c r="BH20" s="694"/>
      <c r="BI20" s="694"/>
      <c r="BJ20" s="694"/>
    </row>
    <row r="21" spans="1:62" ht="12" customHeight="1" x14ac:dyDescent="0.2">
      <c r="A21" s="114"/>
      <c r="B21" s="125"/>
      <c r="C21" s="698"/>
      <c r="D21" s="698"/>
      <c r="E21" s="698"/>
      <c r="F21" s="698"/>
      <c r="G21" s="698"/>
      <c r="H21" s="698"/>
      <c r="I21" s="698"/>
      <c r="J21" s="698"/>
      <c r="K21" s="698"/>
      <c r="L21" s="698"/>
      <c r="M21" s="698"/>
      <c r="N21" s="698"/>
      <c r="O21" s="698"/>
      <c r="P21" s="698"/>
      <c r="Q21" s="698"/>
      <c r="R21" s="698"/>
      <c r="S21" s="698"/>
      <c r="T21" s="698"/>
      <c r="U21" s="698"/>
      <c r="V21" s="698"/>
      <c r="W21" s="698"/>
      <c r="X21" s="698"/>
      <c r="Y21" s="698"/>
      <c r="Z21" s="698"/>
      <c r="AA21" s="698"/>
      <c r="AB21" s="698"/>
      <c r="AC21" s="698"/>
      <c r="AD21" s="698"/>
    </row>
    <row r="22" spans="1:62" ht="12" customHeight="1" x14ac:dyDescent="0.2">
      <c r="A22" s="128"/>
      <c r="B22" s="125"/>
      <c r="C22" s="698"/>
      <c r="D22" s="698"/>
      <c r="E22" s="698"/>
      <c r="F22" s="698"/>
      <c r="G22" s="698"/>
      <c r="H22" s="698"/>
      <c r="I22" s="698"/>
      <c r="J22" s="698"/>
      <c r="K22" s="698"/>
      <c r="L22" s="698"/>
      <c r="M22" s="698"/>
      <c r="N22" s="698"/>
      <c r="O22" s="698"/>
      <c r="P22" s="698"/>
      <c r="Q22" s="698"/>
      <c r="R22" s="698"/>
      <c r="S22" s="698"/>
      <c r="T22" s="698"/>
      <c r="U22" s="698"/>
      <c r="V22" s="698"/>
      <c r="W22" s="698"/>
      <c r="X22" s="698"/>
      <c r="Y22" s="698"/>
      <c r="Z22" s="698"/>
      <c r="AA22" s="698"/>
      <c r="AB22" s="698"/>
      <c r="AC22" s="698"/>
      <c r="AD22" s="698"/>
      <c r="AF22" s="695" t="s">
        <v>197</v>
      </c>
      <c r="AG22" s="695"/>
      <c r="AH22" s="695"/>
      <c r="AI22" s="695"/>
      <c r="AJ22" s="695"/>
      <c r="AK22" s="695"/>
      <c r="AL22" s="695"/>
      <c r="AM22" s="695"/>
      <c r="AN22" s="695"/>
      <c r="AO22" s="695"/>
      <c r="AP22" s="695"/>
      <c r="AQ22" s="695"/>
      <c r="AR22" s="695"/>
      <c r="AS22" s="695"/>
      <c r="AT22" s="695"/>
      <c r="AU22" s="695"/>
      <c r="AV22" s="695"/>
      <c r="AW22" s="695"/>
      <c r="AX22" s="695"/>
      <c r="AY22" s="695"/>
      <c r="AZ22" s="695"/>
      <c r="BA22" s="695"/>
      <c r="BB22" s="695"/>
      <c r="BC22" s="695"/>
      <c r="BD22" s="695"/>
      <c r="BE22" s="695"/>
      <c r="BF22" s="695"/>
      <c r="BG22" s="695"/>
      <c r="BH22" s="695"/>
      <c r="BI22" s="695"/>
      <c r="BJ22" s="695"/>
    </row>
    <row r="23" spans="1:62" ht="12" customHeight="1" x14ac:dyDescent="0.2">
      <c r="A23" s="772" t="s">
        <v>196</v>
      </c>
      <c r="B23" s="772"/>
      <c r="C23" s="694" t="str">
        <f>"Zaminliklə təmin edilən öhdəlik «Borc verən»lə «Borc alan» arasında bağlanmış "&amp;START_DATE_KREDIT_SOZLE&amp;" tarixli, "&amp;LD_NUM&amp;" saylı kredit müqaviləsindən irəli gələn öhdəlikdir."</f>
        <v>Zaminliklə təmin edilən öhdəlik «Borc verən»lə «Borc alan» arasında bağlanmış «31» İyul 2015-ci il tarixli, LD/15212/00143 saylı kredit müqaviləsindən irəli gələn öhdəlikdir.</v>
      </c>
      <c r="D23" s="694"/>
      <c r="E23" s="694"/>
      <c r="F23" s="694"/>
      <c r="G23" s="694"/>
      <c r="H23" s="694"/>
      <c r="I23" s="694"/>
      <c r="J23" s="694"/>
      <c r="K23" s="694"/>
      <c r="L23" s="694"/>
      <c r="M23" s="694"/>
      <c r="N23" s="694"/>
      <c r="O23" s="694"/>
      <c r="P23" s="694"/>
      <c r="Q23" s="694"/>
      <c r="R23" s="694"/>
      <c r="S23" s="694"/>
      <c r="T23" s="694"/>
      <c r="U23" s="694"/>
      <c r="V23" s="694"/>
      <c r="W23" s="694"/>
      <c r="X23" s="694"/>
      <c r="Y23" s="694"/>
      <c r="Z23" s="694"/>
      <c r="AA23" s="694"/>
      <c r="AB23" s="694"/>
      <c r="AC23" s="694"/>
      <c r="AD23" s="694"/>
    </row>
    <row r="24" spans="1:62" ht="12" customHeight="1" x14ac:dyDescent="0.2">
      <c r="A24" s="128"/>
      <c r="B24" s="128"/>
      <c r="C24" s="694"/>
      <c r="D24" s="694"/>
      <c r="E24" s="694"/>
      <c r="F24" s="694"/>
      <c r="G24" s="694"/>
      <c r="H24" s="694"/>
      <c r="I24" s="694"/>
      <c r="J24" s="694"/>
      <c r="K24" s="694"/>
      <c r="L24" s="694"/>
      <c r="M24" s="694"/>
      <c r="N24" s="694"/>
      <c r="O24" s="694"/>
      <c r="P24" s="694"/>
      <c r="Q24" s="694"/>
      <c r="R24" s="694"/>
      <c r="S24" s="694"/>
      <c r="T24" s="694"/>
      <c r="U24" s="694"/>
      <c r="V24" s="694"/>
      <c r="W24" s="694"/>
      <c r="X24" s="694"/>
      <c r="Y24" s="694"/>
      <c r="Z24" s="694"/>
      <c r="AA24" s="694"/>
      <c r="AB24" s="694"/>
      <c r="AC24" s="694"/>
      <c r="AD24" s="694"/>
      <c r="AF24" s="701" t="s">
        <v>195</v>
      </c>
      <c r="AG24" s="701"/>
      <c r="AH24" s="694" t="s">
        <v>194</v>
      </c>
      <c r="AI24" s="694"/>
      <c r="AJ24" s="694"/>
      <c r="AK24" s="694"/>
      <c r="AL24" s="694"/>
      <c r="AM24" s="694"/>
      <c r="AN24" s="694"/>
      <c r="AO24" s="694"/>
      <c r="AP24" s="694"/>
      <c r="AQ24" s="694"/>
      <c r="AR24" s="694"/>
      <c r="AS24" s="694"/>
      <c r="AT24" s="694"/>
      <c r="AU24" s="694"/>
      <c r="AV24" s="694"/>
      <c r="AW24" s="694"/>
      <c r="AX24" s="694"/>
      <c r="AY24" s="694"/>
      <c r="AZ24" s="694"/>
      <c r="BA24" s="694"/>
      <c r="BB24" s="694"/>
      <c r="BC24" s="694"/>
      <c r="BD24" s="694"/>
      <c r="BE24" s="694"/>
      <c r="BF24" s="694"/>
      <c r="BG24" s="694"/>
      <c r="BH24" s="694"/>
      <c r="BI24" s="694"/>
      <c r="BJ24" s="694"/>
    </row>
    <row r="25" spans="1:62" ht="12" customHeight="1" x14ac:dyDescent="0.2">
      <c r="A25" s="114"/>
      <c r="C25" s="694"/>
      <c r="D25" s="694"/>
      <c r="E25" s="694"/>
      <c r="F25" s="694"/>
      <c r="G25" s="694"/>
      <c r="H25" s="694"/>
      <c r="I25" s="694"/>
      <c r="J25" s="694"/>
      <c r="K25" s="694"/>
      <c r="L25" s="694"/>
      <c r="M25" s="694"/>
      <c r="N25" s="694"/>
      <c r="O25" s="694"/>
      <c r="P25" s="694"/>
      <c r="Q25" s="694"/>
      <c r="R25" s="694"/>
      <c r="S25" s="694"/>
      <c r="T25" s="694"/>
      <c r="U25" s="694"/>
      <c r="V25" s="694"/>
      <c r="W25" s="694"/>
      <c r="X25" s="694"/>
      <c r="Y25" s="694"/>
      <c r="Z25" s="694"/>
      <c r="AA25" s="694"/>
      <c r="AB25" s="694"/>
      <c r="AC25" s="694"/>
      <c r="AD25" s="694"/>
      <c r="AH25" s="694"/>
      <c r="AI25" s="694"/>
      <c r="AJ25" s="694"/>
      <c r="AK25" s="694"/>
      <c r="AL25" s="694"/>
      <c r="AM25" s="694"/>
      <c r="AN25" s="694"/>
      <c r="AO25" s="694"/>
      <c r="AP25" s="694"/>
      <c r="AQ25" s="694"/>
      <c r="AR25" s="694"/>
      <c r="AS25" s="694"/>
      <c r="AT25" s="694"/>
      <c r="AU25" s="694"/>
      <c r="AV25" s="694"/>
      <c r="AW25" s="694"/>
      <c r="AX25" s="694"/>
      <c r="AY25" s="694"/>
      <c r="AZ25" s="694"/>
      <c r="BA25" s="694"/>
      <c r="BB25" s="694"/>
      <c r="BC25" s="694"/>
      <c r="BD25" s="694"/>
      <c r="BE25" s="694"/>
      <c r="BF25" s="694"/>
      <c r="BG25" s="694"/>
      <c r="BH25" s="694"/>
      <c r="BI25" s="694"/>
      <c r="BJ25" s="694"/>
    </row>
    <row r="26" spans="1:62" ht="12" customHeight="1" x14ac:dyDescent="0.2">
      <c r="A26" s="772" t="s">
        <v>193</v>
      </c>
      <c r="B26" s="772"/>
      <c r="C26" s="698" t="s">
        <v>456</v>
      </c>
      <c r="D26" s="698"/>
      <c r="E26" s="698"/>
      <c r="F26" s="698"/>
      <c r="G26" s="698"/>
      <c r="H26" s="698"/>
      <c r="I26" s="698"/>
      <c r="J26" s="698"/>
      <c r="K26" s="698"/>
      <c r="L26" s="698"/>
      <c r="M26" s="698"/>
      <c r="N26" s="698"/>
      <c r="O26" s="698"/>
      <c r="P26" s="698"/>
      <c r="Q26" s="698"/>
      <c r="R26" s="698"/>
      <c r="S26" s="698"/>
      <c r="T26" s="698"/>
      <c r="U26" s="698"/>
      <c r="V26" s="698"/>
      <c r="W26" s="698"/>
      <c r="X26" s="698"/>
      <c r="Y26" s="698"/>
      <c r="Z26" s="698"/>
      <c r="AA26" s="698"/>
      <c r="AB26" s="698"/>
      <c r="AC26" s="698"/>
      <c r="AD26" s="698"/>
      <c r="AH26" s="694"/>
      <c r="AI26" s="694"/>
      <c r="AJ26" s="694"/>
      <c r="AK26" s="694"/>
      <c r="AL26" s="694"/>
      <c r="AM26" s="694"/>
      <c r="AN26" s="694"/>
      <c r="AO26" s="694"/>
      <c r="AP26" s="694"/>
      <c r="AQ26" s="694"/>
      <c r="AR26" s="694"/>
      <c r="AS26" s="694"/>
      <c r="AT26" s="694"/>
      <c r="AU26" s="694"/>
      <c r="AV26" s="694"/>
      <c r="AW26" s="694"/>
      <c r="AX26" s="694"/>
      <c r="AY26" s="694"/>
      <c r="AZ26" s="694"/>
      <c r="BA26" s="694"/>
      <c r="BB26" s="694"/>
      <c r="BC26" s="694"/>
      <c r="BD26" s="694"/>
      <c r="BE26" s="694"/>
      <c r="BF26" s="694"/>
      <c r="BG26" s="694"/>
      <c r="BH26" s="694"/>
      <c r="BI26" s="694"/>
      <c r="BJ26" s="694"/>
    </row>
    <row r="27" spans="1:62" ht="12" customHeight="1" x14ac:dyDescent="0.2">
      <c r="A27" s="114"/>
      <c r="C27" s="698"/>
      <c r="D27" s="698"/>
      <c r="E27" s="698"/>
      <c r="F27" s="698"/>
      <c r="G27" s="698"/>
      <c r="H27" s="698"/>
      <c r="I27" s="698"/>
      <c r="J27" s="698"/>
      <c r="K27" s="698"/>
      <c r="L27" s="698"/>
      <c r="M27" s="698"/>
      <c r="N27" s="698"/>
      <c r="O27" s="698"/>
      <c r="P27" s="698"/>
      <c r="Q27" s="698"/>
      <c r="R27" s="698"/>
      <c r="S27" s="698"/>
      <c r="T27" s="698"/>
      <c r="U27" s="698"/>
      <c r="V27" s="698"/>
      <c r="W27" s="698"/>
      <c r="X27" s="698"/>
      <c r="Y27" s="698"/>
      <c r="Z27" s="698"/>
      <c r="AA27" s="698"/>
      <c r="AB27" s="698"/>
      <c r="AC27" s="698"/>
      <c r="AD27" s="698"/>
      <c r="AF27" s="701" t="s">
        <v>116</v>
      </c>
      <c r="AG27" s="701"/>
      <c r="AH27" s="694" t="s">
        <v>192</v>
      </c>
      <c r="AI27" s="694"/>
      <c r="AJ27" s="694"/>
      <c r="AK27" s="694"/>
      <c r="AL27" s="694"/>
      <c r="AM27" s="694"/>
      <c r="AN27" s="694"/>
      <c r="AO27" s="694"/>
      <c r="AP27" s="694"/>
      <c r="AQ27" s="694"/>
      <c r="AR27" s="694"/>
      <c r="AS27" s="694"/>
      <c r="AT27" s="694"/>
      <c r="AU27" s="694"/>
      <c r="AV27" s="694"/>
      <c r="AW27" s="694"/>
      <c r="AX27" s="694"/>
      <c r="AY27" s="694"/>
      <c r="AZ27" s="694"/>
      <c r="BA27" s="694"/>
      <c r="BB27" s="694"/>
      <c r="BC27" s="694"/>
      <c r="BD27" s="694"/>
      <c r="BE27" s="694"/>
      <c r="BF27" s="694"/>
      <c r="BG27" s="694"/>
      <c r="BH27" s="694"/>
      <c r="BI27" s="694"/>
      <c r="BJ27" s="694"/>
    </row>
    <row r="28" spans="1:62" ht="12" customHeight="1" x14ac:dyDescent="0.2">
      <c r="A28" s="128"/>
      <c r="B28" s="125" t="s">
        <v>191</v>
      </c>
      <c r="C28" s="698"/>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H28" s="694"/>
      <c r="AI28" s="694"/>
      <c r="AJ28" s="694"/>
      <c r="AK28" s="694"/>
      <c r="AL28" s="694"/>
      <c r="AM28" s="694"/>
      <c r="AN28" s="694"/>
      <c r="AO28" s="694"/>
      <c r="AP28" s="694"/>
      <c r="AQ28" s="694"/>
      <c r="AR28" s="694"/>
      <c r="AS28" s="694"/>
      <c r="AT28" s="694"/>
      <c r="AU28" s="694"/>
      <c r="AV28" s="694"/>
      <c r="AW28" s="694"/>
      <c r="AX28" s="694"/>
      <c r="AY28" s="694"/>
      <c r="AZ28" s="694"/>
      <c r="BA28" s="694"/>
      <c r="BB28" s="694"/>
      <c r="BC28" s="694"/>
      <c r="BD28" s="694"/>
      <c r="BE28" s="694"/>
      <c r="BF28" s="694"/>
      <c r="BG28" s="694"/>
      <c r="BH28" s="694"/>
      <c r="BI28" s="694"/>
      <c r="BJ28" s="694"/>
    </row>
    <row r="29" spans="1:62" ht="12" customHeight="1" x14ac:dyDescent="0.2">
      <c r="A29" s="114"/>
      <c r="AC29" s="125"/>
      <c r="AF29" s="701" t="s">
        <v>82</v>
      </c>
      <c r="AG29" s="701"/>
      <c r="AH29" s="694" t="s">
        <v>190</v>
      </c>
      <c r="AI29" s="694"/>
      <c r="AJ29" s="694"/>
      <c r="AK29" s="694"/>
      <c r="AL29" s="694"/>
      <c r="AM29" s="694"/>
      <c r="AN29" s="694"/>
      <c r="AO29" s="694"/>
      <c r="AP29" s="694"/>
      <c r="AQ29" s="694"/>
      <c r="AR29" s="694"/>
      <c r="AS29" s="694"/>
      <c r="AT29" s="694"/>
      <c r="AU29" s="694"/>
      <c r="AV29" s="694"/>
      <c r="AW29" s="694"/>
      <c r="AX29" s="694"/>
      <c r="AY29" s="694"/>
      <c r="AZ29" s="694"/>
      <c r="BA29" s="694"/>
      <c r="BB29" s="694"/>
      <c r="BC29" s="694"/>
      <c r="BD29" s="694"/>
      <c r="BE29" s="694"/>
      <c r="BF29" s="694"/>
      <c r="BG29" s="694"/>
      <c r="BH29" s="694"/>
      <c r="BI29" s="694"/>
      <c r="BJ29" s="694"/>
    </row>
    <row r="30" spans="1:62" ht="12" customHeight="1" x14ac:dyDescent="0.2">
      <c r="A30" s="695" t="s">
        <v>189</v>
      </c>
      <c r="B30" s="695"/>
      <c r="C30" s="695"/>
      <c r="D30" s="695"/>
      <c r="E30" s="695"/>
      <c r="F30" s="695"/>
      <c r="G30" s="695"/>
      <c r="H30" s="695"/>
      <c r="I30" s="695"/>
      <c r="J30" s="695"/>
      <c r="K30" s="695"/>
      <c r="L30" s="695"/>
      <c r="M30" s="695"/>
      <c r="N30" s="695"/>
      <c r="O30" s="695"/>
      <c r="P30" s="695"/>
      <c r="Q30" s="695"/>
      <c r="R30" s="695"/>
      <c r="S30" s="695"/>
      <c r="T30" s="695"/>
      <c r="U30" s="695"/>
      <c r="V30" s="695"/>
      <c r="W30" s="695"/>
      <c r="X30" s="695"/>
      <c r="Y30" s="695"/>
      <c r="Z30" s="695"/>
      <c r="AA30" s="695"/>
      <c r="AB30" s="695"/>
      <c r="AC30" s="695"/>
      <c r="AD30" s="695"/>
      <c r="AH30" s="694"/>
      <c r="AI30" s="694"/>
      <c r="AJ30" s="694"/>
      <c r="AK30" s="694"/>
      <c r="AL30" s="694"/>
      <c r="AM30" s="694"/>
      <c r="AN30" s="694"/>
      <c r="AO30" s="694"/>
      <c r="AP30" s="694"/>
      <c r="AQ30" s="694"/>
      <c r="AR30" s="694"/>
      <c r="AS30" s="694"/>
      <c r="AT30" s="694"/>
      <c r="AU30" s="694"/>
      <c r="AV30" s="694"/>
      <c r="AW30" s="694"/>
      <c r="AX30" s="694"/>
      <c r="AY30" s="694"/>
      <c r="AZ30" s="694"/>
      <c r="BA30" s="694"/>
      <c r="BB30" s="694"/>
      <c r="BC30" s="694"/>
      <c r="BD30" s="694"/>
      <c r="BE30" s="694"/>
      <c r="BF30" s="694"/>
      <c r="BG30" s="694"/>
      <c r="BH30" s="694"/>
      <c r="BI30" s="694"/>
      <c r="BJ30" s="694"/>
    </row>
    <row r="31" spans="1:62" ht="12" customHeight="1" x14ac:dyDescent="0.2">
      <c r="A31" s="114"/>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row>
    <row r="32" spans="1:62" ht="12" customHeight="1" x14ac:dyDescent="0.2">
      <c r="A32" s="701" t="s">
        <v>73</v>
      </c>
      <c r="B32" s="701"/>
      <c r="C32" s="771" t="s">
        <v>187</v>
      </c>
      <c r="D32" s="771"/>
      <c r="E32" s="771"/>
      <c r="F32" s="771"/>
      <c r="G32" s="771"/>
      <c r="H32" s="771"/>
      <c r="I32" s="771"/>
      <c r="J32" s="771"/>
      <c r="K32" s="771"/>
      <c r="L32" s="771"/>
      <c r="M32" s="771"/>
      <c r="N32" s="771"/>
      <c r="O32" s="771"/>
      <c r="P32" s="771"/>
      <c r="Q32" s="771"/>
      <c r="R32" s="771"/>
      <c r="S32" s="771"/>
      <c r="T32" s="771"/>
      <c r="U32" s="771"/>
      <c r="V32" s="771"/>
      <c r="W32" s="771"/>
      <c r="X32" s="771"/>
      <c r="Y32" s="771"/>
      <c r="Z32" s="771"/>
      <c r="AA32" s="771"/>
      <c r="AB32" s="771"/>
      <c r="AC32" s="771"/>
      <c r="AD32" s="771"/>
      <c r="AF32" s="695" t="s">
        <v>188</v>
      </c>
      <c r="AG32" s="695"/>
      <c r="AH32" s="695"/>
      <c r="AI32" s="695"/>
      <c r="AJ32" s="695"/>
      <c r="AK32" s="695"/>
      <c r="AL32" s="695"/>
      <c r="AM32" s="695"/>
      <c r="AN32" s="695"/>
      <c r="AO32" s="695"/>
      <c r="AP32" s="695"/>
      <c r="AQ32" s="695"/>
      <c r="AR32" s="695"/>
      <c r="AS32" s="695"/>
      <c r="AT32" s="695"/>
      <c r="AU32" s="695"/>
      <c r="AV32" s="695"/>
      <c r="AW32" s="695"/>
      <c r="AX32" s="695"/>
      <c r="AY32" s="695"/>
      <c r="AZ32" s="695"/>
      <c r="BA32" s="695"/>
      <c r="BB32" s="695"/>
      <c r="BC32" s="695"/>
      <c r="BD32" s="695"/>
      <c r="BE32" s="695"/>
      <c r="BF32" s="695"/>
      <c r="BG32" s="695"/>
      <c r="BH32" s="695"/>
      <c r="BI32" s="695"/>
      <c r="BJ32" s="695"/>
    </row>
    <row r="33" spans="1:62" ht="12" customHeight="1" x14ac:dyDescent="0.2">
      <c r="A33" s="701" t="s">
        <v>186</v>
      </c>
      <c r="B33" s="701"/>
      <c r="C33" s="694" t="s">
        <v>185</v>
      </c>
      <c r="D33" s="694"/>
      <c r="E33" s="694"/>
      <c r="F33" s="694"/>
      <c r="G33" s="694"/>
      <c r="H33" s="694"/>
      <c r="I33" s="694"/>
      <c r="J33" s="694"/>
      <c r="K33" s="694"/>
      <c r="L33" s="694"/>
      <c r="M33" s="694"/>
      <c r="N33" s="694"/>
      <c r="O33" s="694"/>
      <c r="P33" s="694"/>
      <c r="Q33" s="694"/>
      <c r="R33" s="694"/>
      <c r="S33" s="694"/>
      <c r="T33" s="694"/>
      <c r="U33" s="694"/>
      <c r="V33" s="694"/>
      <c r="W33" s="694"/>
      <c r="X33" s="694"/>
      <c r="Y33" s="694"/>
      <c r="Z33" s="694"/>
      <c r="AA33" s="694"/>
      <c r="AB33" s="694"/>
      <c r="AC33" s="694"/>
      <c r="AD33" s="694"/>
    </row>
    <row r="34" spans="1:62" ht="12" customHeight="1" x14ac:dyDescent="0.2">
      <c r="A34" s="114"/>
      <c r="B34" s="114"/>
      <c r="C34" s="694"/>
      <c r="D34" s="694"/>
      <c r="E34" s="694"/>
      <c r="F34" s="694"/>
      <c r="G34" s="694"/>
      <c r="H34" s="694"/>
      <c r="I34" s="694"/>
      <c r="J34" s="694"/>
      <c r="K34" s="694"/>
      <c r="L34" s="694"/>
      <c r="M34" s="694"/>
      <c r="N34" s="694"/>
      <c r="O34" s="694"/>
      <c r="P34" s="694"/>
      <c r="Q34" s="694"/>
      <c r="R34" s="694"/>
      <c r="S34" s="694"/>
      <c r="T34" s="694"/>
      <c r="U34" s="694"/>
      <c r="V34" s="694"/>
      <c r="W34" s="694"/>
      <c r="X34" s="694"/>
      <c r="Y34" s="694"/>
      <c r="Z34" s="694"/>
      <c r="AA34" s="694"/>
      <c r="AB34" s="694"/>
      <c r="AC34" s="694"/>
      <c r="AD34" s="694"/>
      <c r="AF34" s="701" t="s">
        <v>48</v>
      </c>
      <c r="AG34" s="701"/>
      <c r="AH34" s="694" t="s">
        <v>463</v>
      </c>
      <c r="AI34" s="694"/>
      <c r="AJ34" s="694"/>
      <c r="AK34" s="694"/>
      <c r="AL34" s="694"/>
      <c r="AM34" s="694"/>
      <c r="AN34" s="694"/>
      <c r="AO34" s="694"/>
      <c r="AP34" s="694"/>
      <c r="AQ34" s="694"/>
      <c r="AR34" s="694"/>
      <c r="AS34" s="694"/>
      <c r="AT34" s="694"/>
      <c r="AU34" s="694"/>
      <c r="AV34" s="694"/>
      <c r="AW34" s="694"/>
      <c r="AX34" s="694"/>
      <c r="AY34" s="694"/>
      <c r="AZ34" s="694"/>
      <c r="BA34" s="694"/>
      <c r="BB34" s="694"/>
      <c r="BC34" s="694"/>
      <c r="BD34" s="694"/>
      <c r="BE34" s="694"/>
      <c r="BF34" s="694"/>
      <c r="BG34" s="694"/>
      <c r="BH34" s="694"/>
      <c r="BI34" s="694"/>
      <c r="BJ34" s="694"/>
    </row>
    <row r="35" spans="1:62" ht="12" customHeight="1" x14ac:dyDescent="0.2">
      <c r="A35" s="114"/>
      <c r="C35" s="694"/>
      <c r="D35" s="694"/>
      <c r="E35" s="694"/>
      <c r="F35" s="694"/>
      <c r="G35" s="694"/>
      <c r="H35" s="694"/>
      <c r="I35" s="694"/>
      <c r="J35" s="694"/>
      <c r="K35" s="694"/>
      <c r="L35" s="694"/>
      <c r="M35" s="694"/>
      <c r="N35" s="694"/>
      <c r="O35" s="694"/>
      <c r="P35" s="694"/>
      <c r="Q35" s="694"/>
      <c r="R35" s="694"/>
      <c r="S35" s="694"/>
      <c r="T35" s="694"/>
      <c r="U35" s="694"/>
      <c r="V35" s="694"/>
      <c r="W35" s="694"/>
      <c r="X35" s="694"/>
      <c r="Y35" s="694"/>
      <c r="Z35" s="694"/>
      <c r="AA35" s="694"/>
      <c r="AB35" s="694"/>
      <c r="AC35" s="694"/>
      <c r="AD35" s="694"/>
      <c r="AF35" s="114"/>
      <c r="AG35" s="114"/>
      <c r="AH35" s="694"/>
      <c r="AI35" s="694"/>
      <c r="AJ35" s="694"/>
      <c r="AK35" s="694"/>
      <c r="AL35" s="694"/>
      <c r="AM35" s="694"/>
      <c r="AN35" s="694"/>
      <c r="AO35" s="694"/>
      <c r="AP35" s="694"/>
      <c r="AQ35" s="694"/>
      <c r="AR35" s="694"/>
      <c r="AS35" s="694"/>
      <c r="AT35" s="694"/>
      <c r="AU35" s="694"/>
      <c r="AV35" s="694"/>
      <c r="AW35" s="694"/>
      <c r="AX35" s="694"/>
      <c r="AY35" s="694"/>
      <c r="AZ35" s="694"/>
      <c r="BA35" s="694"/>
      <c r="BB35" s="694"/>
      <c r="BC35" s="694"/>
      <c r="BD35" s="694"/>
      <c r="BE35" s="694"/>
      <c r="BF35" s="694"/>
      <c r="BG35" s="694"/>
      <c r="BH35" s="694"/>
      <c r="BI35" s="694"/>
      <c r="BJ35" s="694"/>
    </row>
    <row r="36" spans="1:62" ht="12" customHeight="1" x14ac:dyDescent="0.2">
      <c r="A36" s="114"/>
      <c r="C36" s="694"/>
      <c r="D36" s="694"/>
      <c r="E36" s="694"/>
      <c r="F36" s="694"/>
      <c r="G36" s="694"/>
      <c r="H36" s="694"/>
      <c r="I36" s="694"/>
      <c r="J36" s="694"/>
      <c r="K36" s="694"/>
      <c r="L36" s="694"/>
      <c r="M36" s="694"/>
      <c r="N36" s="694"/>
      <c r="O36" s="694"/>
      <c r="P36" s="694"/>
      <c r="Q36" s="694"/>
      <c r="R36" s="694"/>
      <c r="S36" s="694"/>
      <c r="T36" s="694"/>
      <c r="U36" s="694"/>
      <c r="V36" s="694"/>
      <c r="W36" s="694"/>
      <c r="X36" s="694"/>
      <c r="Y36" s="694"/>
      <c r="Z36" s="694"/>
      <c r="AA36" s="694"/>
      <c r="AB36" s="694"/>
      <c r="AC36" s="694"/>
      <c r="AD36" s="694"/>
      <c r="AH36" s="694"/>
      <c r="AI36" s="694"/>
      <c r="AJ36" s="694"/>
      <c r="AK36" s="694"/>
      <c r="AL36" s="694"/>
      <c r="AM36" s="694"/>
      <c r="AN36" s="694"/>
      <c r="AO36" s="694"/>
      <c r="AP36" s="694"/>
      <c r="AQ36" s="694"/>
      <c r="AR36" s="694"/>
      <c r="AS36" s="694"/>
      <c r="AT36" s="694"/>
      <c r="AU36" s="694"/>
      <c r="AV36" s="694"/>
      <c r="AW36" s="694"/>
      <c r="AX36" s="694"/>
      <c r="AY36" s="694"/>
      <c r="AZ36" s="694"/>
      <c r="BA36" s="694"/>
      <c r="BB36" s="694"/>
      <c r="BC36" s="694"/>
      <c r="BD36" s="694"/>
      <c r="BE36" s="694"/>
      <c r="BF36" s="694"/>
      <c r="BG36" s="694"/>
      <c r="BH36" s="694"/>
      <c r="BI36" s="694"/>
      <c r="BJ36" s="694"/>
    </row>
    <row r="37" spans="1:62" ht="12" customHeight="1" x14ac:dyDescent="0.2">
      <c r="A37" s="712" t="s">
        <v>183</v>
      </c>
      <c r="B37" s="712"/>
      <c r="C37" s="694" t="s">
        <v>182</v>
      </c>
      <c r="D37" s="694"/>
      <c r="E37" s="694"/>
      <c r="F37" s="694"/>
      <c r="G37" s="694"/>
      <c r="H37" s="694"/>
      <c r="I37" s="694"/>
      <c r="J37" s="694"/>
      <c r="K37" s="694"/>
      <c r="L37" s="694"/>
      <c r="M37" s="694"/>
      <c r="N37" s="694"/>
      <c r="O37" s="694"/>
      <c r="P37" s="694"/>
      <c r="Q37" s="694"/>
      <c r="R37" s="694"/>
      <c r="S37" s="694"/>
      <c r="T37" s="694"/>
      <c r="U37" s="694"/>
      <c r="V37" s="694"/>
      <c r="W37" s="694"/>
      <c r="X37" s="694"/>
      <c r="Y37" s="694"/>
      <c r="Z37" s="694"/>
      <c r="AA37" s="694"/>
      <c r="AB37" s="694"/>
      <c r="AC37" s="694"/>
      <c r="AD37" s="694"/>
      <c r="AF37" s="701" t="s">
        <v>184</v>
      </c>
      <c r="AG37" s="701"/>
      <c r="AH37" s="694" t="s">
        <v>427</v>
      </c>
      <c r="AI37" s="694"/>
      <c r="AJ37" s="694"/>
      <c r="AK37" s="694"/>
      <c r="AL37" s="694"/>
      <c r="AM37" s="694"/>
      <c r="AN37" s="694"/>
      <c r="AO37" s="694"/>
      <c r="AP37" s="694"/>
      <c r="AQ37" s="694"/>
      <c r="AR37" s="694"/>
      <c r="AS37" s="694"/>
      <c r="AT37" s="694"/>
      <c r="AU37" s="694"/>
      <c r="AV37" s="694"/>
      <c r="AW37" s="694"/>
      <c r="AX37" s="694"/>
      <c r="AY37" s="694"/>
      <c r="AZ37" s="694"/>
      <c r="BA37" s="694"/>
      <c r="BB37" s="694"/>
      <c r="BC37" s="694"/>
      <c r="BD37" s="694"/>
      <c r="BE37" s="694"/>
      <c r="BF37" s="694"/>
      <c r="BG37" s="694"/>
      <c r="BH37" s="694"/>
      <c r="BI37" s="694"/>
      <c r="BJ37" s="694"/>
    </row>
    <row r="38" spans="1:62" ht="12" customHeight="1" x14ac:dyDescent="0.2">
      <c r="A38" s="114"/>
      <c r="B38" s="114"/>
      <c r="C38" s="694"/>
      <c r="D38" s="694"/>
      <c r="E38" s="694"/>
      <c r="F38" s="694"/>
      <c r="G38" s="694"/>
      <c r="H38" s="694"/>
      <c r="I38" s="694"/>
      <c r="J38" s="694"/>
      <c r="K38" s="694"/>
      <c r="L38" s="694"/>
      <c r="M38" s="694"/>
      <c r="N38" s="694"/>
      <c r="O38" s="694"/>
      <c r="P38" s="694"/>
      <c r="Q38" s="694"/>
      <c r="R38" s="694"/>
      <c r="S38" s="694"/>
      <c r="T38" s="694"/>
      <c r="U38" s="694"/>
      <c r="V38" s="694"/>
      <c r="W38" s="694"/>
      <c r="X38" s="694"/>
      <c r="Y38" s="694"/>
      <c r="Z38" s="694"/>
      <c r="AA38" s="694"/>
      <c r="AB38" s="694"/>
      <c r="AC38" s="694"/>
      <c r="AD38" s="694"/>
      <c r="AF38" s="114"/>
      <c r="AG38" s="114"/>
      <c r="AH38" s="694"/>
      <c r="AI38" s="694"/>
      <c r="AJ38" s="694"/>
      <c r="AK38" s="694"/>
      <c r="AL38" s="694"/>
      <c r="AM38" s="694"/>
      <c r="AN38" s="694"/>
      <c r="AO38" s="694"/>
      <c r="AP38" s="694"/>
      <c r="AQ38" s="694"/>
      <c r="AR38" s="694"/>
      <c r="AS38" s="694"/>
      <c r="AT38" s="694"/>
      <c r="AU38" s="694"/>
      <c r="AV38" s="694"/>
      <c r="AW38" s="694"/>
      <c r="AX38" s="694"/>
      <c r="AY38" s="694"/>
      <c r="AZ38" s="694"/>
      <c r="BA38" s="694"/>
      <c r="BB38" s="694"/>
      <c r="BC38" s="694"/>
      <c r="BD38" s="694"/>
      <c r="BE38" s="694"/>
      <c r="BF38" s="694"/>
      <c r="BG38" s="694"/>
      <c r="BH38" s="694"/>
      <c r="BI38" s="694"/>
      <c r="BJ38" s="694"/>
    </row>
    <row r="39" spans="1:62" ht="12" customHeight="1" x14ac:dyDescent="0.2">
      <c r="A39" s="701" t="s">
        <v>181</v>
      </c>
      <c r="B39" s="701"/>
      <c r="C39" s="694" t="s">
        <v>457</v>
      </c>
      <c r="D39" s="694"/>
      <c r="E39" s="694"/>
      <c r="F39" s="694"/>
      <c r="G39" s="694"/>
      <c r="H39" s="694"/>
      <c r="I39" s="694"/>
      <c r="J39" s="694"/>
      <c r="K39" s="694"/>
      <c r="L39" s="694"/>
      <c r="M39" s="694"/>
      <c r="N39" s="694"/>
      <c r="O39" s="694"/>
      <c r="P39" s="694"/>
      <c r="Q39" s="694"/>
      <c r="R39" s="694"/>
      <c r="S39" s="694"/>
      <c r="T39" s="694"/>
      <c r="U39" s="694"/>
      <c r="V39" s="694"/>
      <c r="W39" s="694"/>
      <c r="X39" s="694"/>
      <c r="Y39" s="694"/>
      <c r="Z39" s="694"/>
      <c r="AA39" s="694"/>
      <c r="AB39" s="694"/>
      <c r="AC39" s="694"/>
      <c r="AD39" s="694"/>
      <c r="AH39" s="694"/>
      <c r="AI39" s="694"/>
      <c r="AJ39" s="694"/>
      <c r="AK39" s="694"/>
      <c r="AL39" s="694"/>
      <c r="AM39" s="694"/>
      <c r="AN39" s="694"/>
      <c r="AO39" s="694"/>
      <c r="AP39" s="694"/>
      <c r="AQ39" s="694"/>
      <c r="AR39" s="694"/>
      <c r="AS39" s="694"/>
      <c r="AT39" s="694"/>
      <c r="AU39" s="694"/>
      <c r="AV39" s="694"/>
      <c r="AW39" s="694"/>
      <c r="AX39" s="694"/>
      <c r="AY39" s="694"/>
      <c r="AZ39" s="694"/>
      <c r="BA39" s="694"/>
      <c r="BB39" s="694"/>
      <c r="BC39" s="694"/>
      <c r="BD39" s="694"/>
      <c r="BE39" s="694"/>
      <c r="BF39" s="694"/>
      <c r="BG39" s="694"/>
      <c r="BH39" s="694"/>
      <c r="BI39" s="694"/>
      <c r="BJ39" s="694"/>
    </row>
    <row r="40" spans="1:62" ht="12" customHeight="1" x14ac:dyDescent="0.2">
      <c r="A40" s="114"/>
      <c r="B40" s="114"/>
      <c r="C40" s="694"/>
      <c r="D40" s="694"/>
      <c r="E40" s="694"/>
      <c r="F40" s="694"/>
      <c r="G40" s="694"/>
      <c r="H40" s="694"/>
      <c r="I40" s="694"/>
      <c r="J40" s="694"/>
      <c r="K40" s="694"/>
      <c r="L40" s="694"/>
      <c r="M40" s="694"/>
      <c r="N40" s="694"/>
      <c r="O40" s="694"/>
      <c r="P40" s="694"/>
      <c r="Q40" s="694"/>
      <c r="R40" s="694"/>
      <c r="S40" s="694"/>
      <c r="T40" s="694"/>
      <c r="U40" s="694"/>
      <c r="V40" s="694"/>
      <c r="W40" s="694"/>
      <c r="X40" s="694"/>
      <c r="Y40" s="694"/>
      <c r="Z40" s="694"/>
      <c r="AA40" s="694"/>
      <c r="AB40" s="694"/>
      <c r="AC40" s="694"/>
      <c r="AD40" s="694"/>
      <c r="AF40" s="701" t="s">
        <v>180</v>
      </c>
      <c r="AG40" s="701"/>
      <c r="AH40" s="694" t="s">
        <v>179</v>
      </c>
      <c r="AI40" s="694"/>
      <c r="AJ40" s="694"/>
      <c r="AK40" s="694"/>
      <c r="AL40" s="694"/>
      <c r="AM40" s="694"/>
      <c r="AN40" s="694"/>
      <c r="AO40" s="694"/>
      <c r="AP40" s="694"/>
      <c r="AQ40" s="694"/>
      <c r="AR40" s="694"/>
      <c r="AS40" s="694"/>
      <c r="AT40" s="694"/>
      <c r="AU40" s="694"/>
      <c r="AV40" s="694"/>
      <c r="AW40" s="694"/>
      <c r="AX40" s="694"/>
      <c r="AY40" s="694"/>
      <c r="AZ40" s="694"/>
      <c r="BA40" s="694"/>
      <c r="BB40" s="694"/>
      <c r="BC40" s="694"/>
      <c r="BD40" s="694"/>
      <c r="BE40" s="694"/>
      <c r="BF40" s="694"/>
      <c r="BG40" s="694"/>
      <c r="BH40" s="694"/>
      <c r="BI40" s="694"/>
      <c r="BJ40" s="694"/>
    </row>
    <row r="41" spans="1:62" ht="12" customHeight="1" x14ac:dyDescent="0.2">
      <c r="A41" s="114"/>
      <c r="C41" s="694"/>
      <c r="D41" s="694"/>
      <c r="E41" s="694"/>
      <c r="F41" s="694"/>
      <c r="G41" s="694"/>
      <c r="H41" s="694"/>
      <c r="I41" s="694"/>
      <c r="J41" s="694"/>
      <c r="K41" s="694"/>
      <c r="L41" s="694"/>
      <c r="M41" s="694"/>
      <c r="N41" s="694"/>
      <c r="O41" s="694"/>
      <c r="P41" s="694"/>
      <c r="Q41" s="694"/>
      <c r="R41" s="694"/>
      <c r="S41" s="694"/>
      <c r="T41" s="694"/>
      <c r="U41" s="694"/>
      <c r="V41" s="694"/>
      <c r="W41" s="694"/>
      <c r="X41" s="694"/>
      <c r="Y41" s="694"/>
      <c r="Z41" s="694"/>
      <c r="AA41" s="694"/>
      <c r="AB41" s="694"/>
      <c r="AC41" s="694"/>
      <c r="AD41" s="694"/>
    </row>
    <row r="42" spans="1:62" ht="12" customHeight="1" x14ac:dyDescent="0.2">
      <c r="A42" s="701" t="s">
        <v>178</v>
      </c>
      <c r="B42" s="701"/>
      <c r="C42" s="704" t="s">
        <v>177</v>
      </c>
      <c r="D42" s="704"/>
      <c r="E42" s="704"/>
      <c r="F42" s="704"/>
      <c r="G42" s="704"/>
      <c r="H42" s="704"/>
      <c r="I42" s="704"/>
      <c r="J42" s="704"/>
      <c r="K42" s="704"/>
      <c r="L42" s="704"/>
      <c r="M42" s="704"/>
      <c r="N42" s="704"/>
      <c r="O42" s="704"/>
      <c r="P42" s="704"/>
      <c r="Q42" s="704"/>
      <c r="R42" s="704"/>
      <c r="S42" s="704"/>
      <c r="T42" s="704"/>
      <c r="U42" s="704"/>
      <c r="V42" s="704"/>
      <c r="W42" s="704"/>
      <c r="X42" s="704"/>
      <c r="Y42" s="704"/>
      <c r="Z42" s="704"/>
      <c r="AA42" s="704"/>
      <c r="AB42" s="704"/>
      <c r="AC42" s="704"/>
      <c r="AD42" s="704"/>
      <c r="AF42" s="695" t="s">
        <v>176</v>
      </c>
      <c r="AG42" s="695"/>
      <c r="AH42" s="695"/>
      <c r="AI42" s="695"/>
      <c r="AJ42" s="695"/>
      <c r="AK42" s="695"/>
      <c r="AL42" s="695"/>
      <c r="AM42" s="695"/>
      <c r="AN42" s="695"/>
      <c r="AO42" s="695"/>
      <c r="AP42" s="695"/>
      <c r="AQ42" s="695"/>
      <c r="AR42" s="695"/>
      <c r="AS42" s="695"/>
      <c r="AT42" s="695"/>
      <c r="AU42" s="695"/>
      <c r="AV42" s="695"/>
      <c r="AW42" s="695"/>
      <c r="AX42" s="695"/>
      <c r="AY42" s="695"/>
      <c r="AZ42" s="695"/>
      <c r="BA42" s="695"/>
      <c r="BB42" s="695"/>
      <c r="BC42" s="695"/>
      <c r="BD42" s="695"/>
      <c r="BE42" s="695"/>
      <c r="BF42" s="695"/>
      <c r="BG42" s="695"/>
      <c r="BH42" s="695"/>
      <c r="BI42" s="695"/>
      <c r="BJ42" s="695"/>
    </row>
    <row r="43" spans="1:62" ht="12" customHeight="1" x14ac:dyDescent="0.2">
      <c r="A43" s="699" t="s">
        <v>175</v>
      </c>
      <c r="B43" s="699"/>
      <c r="C43" s="694" t="s">
        <v>174</v>
      </c>
      <c r="D43" s="694"/>
      <c r="E43" s="694"/>
      <c r="F43" s="694"/>
      <c r="G43" s="694"/>
      <c r="H43" s="694"/>
      <c r="I43" s="694"/>
      <c r="J43" s="694"/>
      <c r="K43" s="694"/>
      <c r="L43" s="694"/>
      <c r="M43" s="694"/>
      <c r="N43" s="694"/>
      <c r="O43" s="694"/>
      <c r="P43" s="694"/>
      <c r="Q43" s="694"/>
      <c r="R43" s="694"/>
      <c r="S43" s="694"/>
      <c r="T43" s="694"/>
      <c r="U43" s="694"/>
      <c r="V43" s="694"/>
      <c r="W43" s="694"/>
      <c r="X43" s="694"/>
      <c r="Y43" s="694"/>
      <c r="Z43" s="694"/>
      <c r="AA43" s="694"/>
      <c r="AB43" s="694"/>
      <c r="AC43" s="694"/>
      <c r="AD43" s="694"/>
    </row>
    <row r="44" spans="1:62" ht="12" customHeight="1" x14ac:dyDescent="0.2">
      <c r="A44" s="115"/>
      <c r="B44" s="115"/>
      <c r="C44" s="694"/>
      <c r="D44" s="694"/>
      <c r="E44" s="694"/>
      <c r="F44" s="694"/>
      <c r="G44" s="694"/>
      <c r="H44" s="694"/>
      <c r="I44" s="694"/>
      <c r="J44" s="694"/>
      <c r="K44" s="694"/>
      <c r="L44" s="694"/>
      <c r="M44" s="694"/>
      <c r="N44" s="694"/>
      <c r="O44" s="694"/>
      <c r="P44" s="694"/>
      <c r="Q44" s="694"/>
      <c r="R44" s="694"/>
      <c r="S44" s="694"/>
      <c r="T44" s="694"/>
      <c r="U44" s="694"/>
      <c r="V44" s="694"/>
      <c r="W44" s="694"/>
      <c r="X44" s="694"/>
      <c r="Y44" s="694"/>
      <c r="Z44" s="694"/>
      <c r="AA44" s="694"/>
      <c r="AB44" s="694"/>
      <c r="AC44" s="694"/>
      <c r="AD44" s="694"/>
      <c r="AF44" s="701" t="s">
        <v>45</v>
      </c>
      <c r="AG44" s="701"/>
      <c r="AH44" s="694" t="str">
        <f>"Bu müqavilə Azərbaycan dilində 3 (üç) nüsxədə tərtib olunmuşdur. Nüsxələrdən biri  «Borc verən»də, biri «Borc alan»da, digəri isə «Zamin»da saxlanılır."</f>
        <v>Bu müqavilə Azərbaycan dilində 3 (üç) nüsxədə tərtib olunmuşdur. Nüsxələrdən biri  «Borc verən»də, biri «Borc alan»da, digəri isə «Zamin»da saxlanılır.</v>
      </c>
      <c r="AI44" s="694"/>
      <c r="AJ44" s="694"/>
      <c r="AK44" s="694"/>
      <c r="AL44" s="694"/>
      <c r="AM44" s="694"/>
      <c r="AN44" s="694"/>
      <c r="AO44" s="694"/>
      <c r="AP44" s="694"/>
      <c r="AQ44" s="694"/>
      <c r="AR44" s="694"/>
      <c r="AS44" s="694"/>
      <c r="AT44" s="694"/>
      <c r="AU44" s="694"/>
      <c r="AV44" s="694"/>
      <c r="AW44" s="694"/>
      <c r="AX44" s="694"/>
      <c r="AY44" s="694"/>
      <c r="AZ44" s="694"/>
      <c r="BA44" s="694"/>
      <c r="BB44" s="694"/>
      <c r="BC44" s="694"/>
      <c r="BD44" s="694"/>
      <c r="BE44" s="694"/>
      <c r="BF44" s="694"/>
      <c r="BG44" s="694"/>
      <c r="BH44" s="694"/>
      <c r="BI44" s="694"/>
      <c r="BJ44" s="694"/>
    </row>
    <row r="45" spans="1:62" ht="12" customHeight="1" x14ac:dyDescent="0.2">
      <c r="A45" s="701" t="s">
        <v>173</v>
      </c>
      <c r="B45" s="701"/>
      <c r="C45" s="694" t="str">
        <f>"Zaminliklə təmin edilmiş öhdəlik icra edilmədikdə və ya lazımınca icra edilmədikdə  «Borc verən»in ilk tələbi ilə heç bir etiraz etmədən kredit məbləğini, hesablanmış faizləri, "&amp;"dəbbə pulunu, habelə  «Borc verən»in çəkmiş olduğu hər hansı digər xərc və zərəri 3 (üç) iş günü ərzində tamamilə ödəmək;"</f>
        <v>Zaminliklə təmin edilmiş öhdəlik icra edilmədikdə və ya lazımınca icra edilmədikdə  «Borc verən»in ilk tələbi ilə heç bir etiraz etmədən kredit məbləğini, hesablanmış faizləri, dəbbə pulunu, habelə  «Borc verən»in çəkmiş olduğu hər hansı digər xərc və zərəri 3 (üç) iş günü ərzində tamamilə ödəmək;</v>
      </c>
      <c r="D45" s="694"/>
      <c r="E45" s="694"/>
      <c r="F45" s="694"/>
      <c r="G45" s="694"/>
      <c r="H45" s="694"/>
      <c r="I45" s="694"/>
      <c r="J45" s="694"/>
      <c r="K45" s="694"/>
      <c r="L45" s="694"/>
      <c r="M45" s="694"/>
      <c r="N45" s="694"/>
      <c r="O45" s="694"/>
      <c r="P45" s="694"/>
      <c r="Q45" s="694"/>
      <c r="R45" s="694"/>
      <c r="S45" s="694"/>
      <c r="T45" s="694"/>
      <c r="U45" s="694"/>
      <c r="V45" s="694"/>
      <c r="W45" s="694"/>
      <c r="X45" s="694"/>
      <c r="Y45" s="694"/>
      <c r="Z45" s="694"/>
      <c r="AA45" s="694"/>
      <c r="AB45" s="694"/>
      <c r="AC45" s="694"/>
      <c r="AD45" s="694"/>
      <c r="AH45" s="694"/>
      <c r="AI45" s="694"/>
      <c r="AJ45" s="694"/>
      <c r="AK45" s="694"/>
      <c r="AL45" s="694"/>
      <c r="AM45" s="694"/>
      <c r="AN45" s="694"/>
      <c r="AO45" s="694"/>
      <c r="AP45" s="694"/>
      <c r="AQ45" s="694"/>
      <c r="AR45" s="694"/>
      <c r="AS45" s="694"/>
      <c r="AT45" s="694"/>
      <c r="AU45" s="694"/>
      <c r="AV45" s="694"/>
      <c r="AW45" s="694"/>
      <c r="AX45" s="694"/>
      <c r="AY45" s="694"/>
      <c r="AZ45" s="694"/>
      <c r="BA45" s="694"/>
      <c r="BB45" s="694"/>
      <c r="BC45" s="694"/>
      <c r="BD45" s="694"/>
      <c r="BE45" s="694"/>
      <c r="BF45" s="694"/>
      <c r="BG45" s="694"/>
      <c r="BH45" s="694"/>
      <c r="BI45" s="694"/>
      <c r="BJ45" s="694"/>
    </row>
    <row r="46" spans="1:62" ht="12" customHeight="1" x14ac:dyDescent="0.2">
      <c r="A46" s="11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694"/>
      <c r="AF46" s="701" t="s">
        <v>172</v>
      </c>
      <c r="AG46" s="701"/>
      <c r="AH46" s="694" t="s">
        <v>171</v>
      </c>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c r="BH46" s="694"/>
      <c r="BI46" s="694"/>
      <c r="BJ46" s="694"/>
    </row>
    <row r="47" spans="1:62" ht="12" customHeight="1" x14ac:dyDescent="0.2">
      <c r="A47" s="114"/>
      <c r="C47" s="694"/>
      <c r="D47" s="694"/>
      <c r="E47" s="694"/>
      <c r="F47" s="694"/>
      <c r="G47" s="694"/>
      <c r="H47" s="694"/>
      <c r="I47" s="694"/>
      <c r="J47" s="694"/>
      <c r="K47" s="694"/>
      <c r="L47" s="694"/>
      <c r="M47" s="694"/>
      <c r="N47" s="694"/>
      <c r="O47" s="694"/>
      <c r="P47" s="694"/>
      <c r="Q47" s="694"/>
      <c r="R47" s="694"/>
      <c r="S47" s="694"/>
      <c r="T47" s="694"/>
      <c r="U47" s="694"/>
      <c r="V47" s="694"/>
      <c r="W47" s="694"/>
      <c r="X47" s="694"/>
      <c r="Y47" s="694"/>
      <c r="Z47" s="694"/>
      <c r="AA47" s="694"/>
      <c r="AB47" s="694"/>
      <c r="AC47" s="694"/>
      <c r="AD47" s="694"/>
      <c r="AH47" s="694"/>
      <c r="AI47" s="694"/>
      <c r="AJ47" s="694"/>
      <c r="AK47" s="694"/>
      <c r="AL47" s="694"/>
      <c r="AM47" s="694"/>
      <c r="AN47" s="694"/>
      <c r="AO47" s="694"/>
      <c r="AP47" s="694"/>
      <c r="AQ47" s="694"/>
      <c r="AR47" s="694"/>
      <c r="AS47" s="694"/>
      <c r="AT47" s="694"/>
      <c r="AU47" s="694"/>
      <c r="AV47" s="694"/>
      <c r="AW47" s="694"/>
      <c r="AX47" s="694"/>
      <c r="AY47" s="694"/>
      <c r="AZ47" s="694"/>
      <c r="BA47" s="694"/>
      <c r="BB47" s="694"/>
      <c r="BC47" s="694"/>
      <c r="BD47" s="694"/>
      <c r="BE47" s="694"/>
      <c r="BF47" s="694"/>
      <c r="BG47" s="694"/>
      <c r="BH47" s="694"/>
      <c r="BI47" s="694"/>
      <c r="BJ47" s="694"/>
    </row>
    <row r="48" spans="1:62" ht="12" customHeight="1" x14ac:dyDescent="0.2">
      <c r="A48" s="114"/>
      <c r="C48" s="694"/>
      <c r="D48" s="694"/>
      <c r="E48" s="694"/>
      <c r="F48" s="694"/>
      <c r="G48" s="694"/>
      <c r="H48" s="694"/>
      <c r="I48" s="694"/>
      <c r="J48" s="694"/>
      <c r="K48" s="694"/>
      <c r="L48" s="694"/>
      <c r="M48" s="694"/>
      <c r="N48" s="694"/>
      <c r="O48" s="694"/>
      <c r="P48" s="694"/>
      <c r="Q48" s="694"/>
      <c r="R48" s="694"/>
      <c r="S48" s="694"/>
      <c r="T48" s="694"/>
      <c r="U48" s="694"/>
      <c r="V48" s="694"/>
      <c r="W48" s="694"/>
      <c r="X48" s="694"/>
      <c r="Y48" s="694"/>
      <c r="Z48" s="694"/>
      <c r="AA48" s="694"/>
      <c r="AB48" s="694"/>
      <c r="AC48" s="694"/>
      <c r="AD48" s="694"/>
      <c r="AH48" s="694"/>
      <c r="AI48" s="694"/>
      <c r="AJ48" s="694"/>
      <c r="AK48" s="694"/>
      <c r="AL48" s="694"/>
      <c r="AM48" s="694"/>
      <c r="AN48" s="694"/>
      <c r="AO48" s="694"/>
      <c r="AP48" s="694"/>
      <c r="AQ48" s="694"/>
      <c r="AR48" s="694"/>
      <c r="AS48" s="694"/>
      <c r="AT48" s="694"/>
      <c r="AU48" s="694"/>
      <c r="AV48" s="694"/>
      <c r="AW48" s="694"/>
      <c r="AX48" s="694"/>
      <c r="AY48" s="694"/>
      <c r="AZ48" s="694"/>
      <c r="BA48" s="694"/>
      <c r="BB48" s="694"/>
      <c r="BC48" s="694"/>
      <c r="BD48" s="694"/>
      <c r="BE48" s="694"/>
      <c r="BF48" s="694"/>
      <c r="BG48" s="694"/>
      <c r="BH48" s="694"/>
      <c r="BI48" s="694"/>
      <c r="BJ48" s="694"/>
    </row>
    <row r="49" spans="1:62" ht="12" customHeight="1" x14ac:dyDescent="0.2">
      <c r="A49" s="699" t="s">
        <v>170</v>
      </c>
      <c r="B49" s="699"/>
      <c r="C49" s="694" t="s">
        <v>458</v>
      </c>
      <c r="D49" s="694"/>
      <c r="E49" s="694"/>
      <c r="F49" s="694"/>
      <c r="G49" s="694"/>
      <c r="H49" s="694"/>
      <c r="I49" s="694"/>
      <c r="J49" s="694"/>
      <c r="K49" s="694"/>
      <c r="L49" s="694"/>
      <c r="M49" s="694"/>
      <c r="N49" s="694"/>
      <c r="O49" s="694"/>
      <c r="P49" s="694"/>
      <c r="Q49" s="694"/>
      <c r="R49" s="694"/>
      <c r="S49" s="694"/>
      <c r="T49" s="694"/>
      <c r="U49" s="694"/>
      <c r="V49" s="694"/>
      <c r="W49" s="694"/>
      <c r="X49" s="694"/>
      <c r="Y49" s="694"/>
      <c r="Z49" s="694"/>
      <c r="AA49" s="694"/>
      <c r="AB49" s="694"/>
      <c r="AC49" s="694"/>
      <c r="AD49" s="694"/>
      <c r="AF49" s="97"/>
      <c r="AG49" s="97"/>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7"/>
    </row>
    <row r="50" spans="1:62" ht="12" customHeight="1" x14ac:dyDescent="0.2">
      <c r="A50" s="114"/>
      <c r="AF50" s="97"/>
      <c r="AG50" s="97"/>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148"/>
      <c r="BJ50" s="87"/>
    </row>
    <row r="51" spans="1:62" ht="12" customHeight="1" x14ac:dyDescent="0.2">
      <c r="A51" s="711" t="s">
        <v>35</v>
      </c>
      <c r="B51" s="711"/>
      <c r="C51" s="711"/>
      <c r="D51" s="711"/>
      <c r="E51" s="711"/>
      <c r="F51" s="711"/>
      <c r="G51" s="711"/>
      <c r="H51" s="711"/>
      <c r="I51" s="711"/>
      <c r="J51" s="711"/>
      <c r="K51" s="711"/>
      <c r="L51" s="711"/>
      <c r="M51" s="711"/>
      <c r="N51" s="711"/>
      <c r="O51" s="711"/>
      <c r="P51" s="711"/>
      <c r="Q51" s="711"/>
      <c r="R51" s="711"/>
      <c r="S51" s="711"/>
      <c r="T51" s="711"/>
      <c r="U51" s="711"/>
      <c r="V51" s="711"/>
      <c r="W51" s="711"/>
      <c r="X51" s="711"/>
      <c r="Y51" s="711"/>
      <c r="Z51" s="711"/>
      <c r="AA51" s="711"/>
      <c r="AB51" s="711"/>
      <c r="AC51" s="711"/>
      <c r="AD51" s="711"/>
      <c r="AE51" s="711"/>
      <c r="AF51" s="711"/>
      <c r="AG51" s="711"/>
      <c r="AH51" s="711"/>
      <c r="AI51" s="711"/>
      <c r="AJ51" s="711"/>
      <c r="AK51" s="711"/>
      <c r="AL51" s="711"/>
      <c r="AM51" s="711"/>
      <c r="AN51" s="711"/>
      <c r="AO51" s="711"/>
      <c r="AP51" s="711"/>
      <c r="AQ51" s="711"/>
      <c r="AR51" s="711"/>
      <c r="AS51" s="711"/>
      <c r="AT51" s="711"/>
      <c r="AU51" s="711"/>
      <c r="AV51" s="711"/>
      <c r="AW51" s="711"/>
      <c r="AX51" s="711"/>
      <c r="AY51" s="711"/>
      <c r="AZ51" s="711"/>
      <c r="BA51" s="711"/>
      <c r="BB51" s="711"/>
      <c r="BC51" s="711"/>
      <c r="BD51" s="711"/>
      <c r="BE51" s="711"/>
      <c r="BF51" s="711"/>
      <c r="BG51" s="711"/>
      <c r="BH51" s="711"/>
      <c r="BI51" s="711"/>
      <c r="BJ51" s="711"/>
    </row>
    <row r="52" spans="1:62" ht="12" customHeight="1" x14ac:dyDescent="0.2">
      <c r="A52" s="112"/>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row>
    <row r="53" spans="1:62" ht="12" customHeight="1" x14ac:dyDescent="0.2">
      <c r="A53" s="757" t="s">
        <v>867</v>
      </c>
      <c r="B53" s="757"/>
      <c r="C53" s="757"/>
      <c r="D53" s="757"/>
      <c r="E53" s="757"/>
      <c r="F53" s="757"/>
      <c r="G53" s="757"/>
      <c r="H53" s="757"/>
      <c r="I53" s="757"/>
      <c r="J53" s="757"/>
      <c r="K53" s="757"/>
      <c r="L53" s="757"/>
      <c r="M53" s="757"/>
      <c r="N53" s="757"/>
      <c r="O53" s="757"/>
      <c r="P53" s="757"/>
      <c r="Q53" s="757" t="s">
        <v>861</v>
      </c>
      <c r="R53" s="757"/>
      <c r="S53" s="757"/>
      <c r="T53" s="757"/>
      <c r="U53" s="757"/>
      <c r="V53" s="757"/>
      <c r="W53" s="757"/>
      <c r="X53" s="757"/>
      <c r="Y53" s="757"/>
      <c r="Z53" s="757"/>
      <c r="AA53" s="757"/>
      <c r="AB53" s="757"/>
      <c r="AC53" s="757"/>
      <c r="AD53" s="757"/>
      <c r="AE53" s="757"/>
      <c r="AF53" s="757"/>
      <c r="AG53" s="757"/>
      <c r="AH53" s="757"/>
      <c r="AI53" s="757"/>
      <c r="AJ53" s="757"/>
      <c r="AK53" s="757"/>
      <c r="AL53" s="764"/>
      <c r="AM53" s="764" t="s">
        <v>871</v>
      </c>
      <c r="AN53" s="768"/>
      <c r="AO53" s="768"/>
      <c r="AP53" s="768"/>
      <c r="AQ53" s="768"/>
      <c r="AR53" s="768"/>
      <c r="AS53" s="768"/>
      <c r="AT53" s="768"/>
      <c r="AU53" s="768"/>
      <c r="AV53" s="768"/>
      <c r="AW53" s="768"/>
      <c r="AX53" s="768"/>
      <c r="AY53" s="768"/>
      <c r="AZ53" s="768"/>
      <c r="BA53" s="768"/>
      <c r="BB53" s="768"/>
      <c r="BC53" s="768"/>
      <c r="BD53" s="768"/>
      <c r="BE53" s="768"/>
      <c r="BF53" s="768"/>
      <c r="BG53" s="768"/>
      <c r="BH53" s="769"/>
      <c r="BI53" s="121"/>
      <c r="BJ53" s="150"/>
    </row>
    <row r="54" spans="1:62" s="125" customFormat="1" ht="12" customHeight="1" x14ac:dyDescent="0.2">
      <c r="A54" s="129"/>
      <c r="B54" s="128"/>
      <c r="C54" s="128"/>
      <c r="D54" s="128"/>
      <c r="E54" s="128"/>
      <c r="F54" s="128"/>
      <c r="G54" s="128"/>
      <c r="H54" s="128"/>
      <c r="I54" s="128"/>
      <c r="J54" s="128"/>
      <c r="K54" s="128"/>
      <c r="L54" s="128"/>
      <c r="M54" s="128"/>
      <c r="N54" s="128"/>
      <c r="O54" s="128"/>
      <c r="P54" s="128"/>
      <c r="Q54" s="130"/>
      <c r="R54" s="131"/>
      <c r="S54" s="131"/>
      <c r="T54" s="131"/>
      <c r="U54" s="131"/>
      <c r="V54" s="131"/>
      <c r="W54" s="131"/>
      <c r="X54" s="131"/>
      <c r="Y54" s="131"/>
      <c r="Z54" s="131"/>
      <c r="AA54" s="131"/>
      <c r="AB54" s="131"/>
      <c r="AC54" s="131"/>
      <c r="AD54" s="131"/>
      <c r="AE54" s="131"/>
      <c r="AF54" s="131"/>
      <c r="AG54" s="131"/>
      <c r="AH54" s="131"/>
      <c r="AI54" s="131"/>
      <c r="AJ54" s="131"/>
      <c r="AK54" s="131"/>
      <c r="AL54" s="131"/>
      <c r="AM54" s="132"/>
      <c r="AN54" s="128"/>
      <c r="AO54" s="128"/>
      <c r="AP54" s="128"/>
      <c r="AQ54" s="128"/>
      <c r="AR54" s="128"/>
      <c r="AS54" s="128"/>
      <c r="AT54" s="128"/>
      <c r="AU54" s="128"/>
      <c r="AV54" s="128"/>
      <c r="AW54" s="128"/>
      <c r="AX54" s="128"/>
      <c r="AY54" s="128"/>
      <c r="AZ54" s="128"/>
      <c r="BA54" s="128"/>
      <c r="BB54" s="128"/>
      <c r="BC54" s="128"/>
      <c r="BD54" s="128"/>
      <c r="BE54" s="128"/>
      <c r="BF54" s="128"/>
      <c r="BG54" s="128"/>
      <c r="BH54" s="133"/>
      <c r="BI54" s="128"/>
      <c r="BJ54" s="133"/>
    </row>
    <row r="55" spans="1:62" ht="12" customHeight="1" x14ac:dyDescent="0.2">
      <c r="A55" s="758" t="s">
        <v>34</v>
      </c>
      <c r="B55" s="759"/>
      <c r="C55" s="759"/>
      <c r="D55" s="759"/>
      <c r="E55" s="759"/>
      <c r="F55" s="759"/>
      <c r="G55" s="759"/>
      <c r="H55" s="759"/>
      <c r="I55" s="759"/>
      <c r="J55" s="759"/>
      <c r="K55" s="759"/>
      <c r="L55" s="759"/>
      <c r="M55" s="759"/>
      <c r="N55" s="759"/>
      <c r="O55" s="759"/>
      <c r="P55" s="760"/>
      <c r="Q55" s="125"/>
      <c r="R55" s="118"/>
      <c r="S55" s="118"/>
      <c r="T55" s="118"/>
      <c r="U55" s="118"/>
      <c r="V55" s="118"/>
      <c r="W55" s="118"/>
      <c r="X55" s="761" t="str">
        <f>SURNAME_KREDITOR&amp;" "&amp;NAME_KREDITOR&amp;" "&amp;FATHERNAME_KREDITOR&amp;" "&amp;G_KREDITOR</f>
        <v>Həsənov Kənan Asdan qızı</v>
      </c>
      <c r="Y55" s="761"/>
      <c r="Z55" s="761"/>
      <c r="AA55" s="761"/>
      <c r="AB55" s="761"/>
      <c r="AC55" s="761"/>
      <c r="AD55" s="761"/>
      <c r="AE55" s="761"/>
      <c r="AF55" s="761"/>
      <c r="AG55" s="761"/>
      <c r="AH55" s="761"/>
      <c r="AI55" s="761"/>
      <c r="AJ55" s="761"/>
      <c r="AK55" s="761"/>
      <c r="AL55" s="761"/>
      <c r="AM55" s="134"/>
      <c r="AN55" s="118"/>
      <c r="AO55" s="118"/>
      <c r="AP55" s="118"/>
      <c r="AQ55" s="118"/>
      <c r="AR55" s="118"/>
      <c r="AS55" s="118"/>
      <c r="AT55" s="761" t="str">
        <f>SURNAME_ZAMIN2&amp;" "&amp;NAME_ZAMIN2&amp;" "&amp;FATHERNAME_ZAMIN2&amp;" "&amp;G_ZAMIN2</f>
        <v>Əsgərova Aynur Əsdan qızı</v>
      </c>
      <c r="AU55" s="761"/>
      <c r="AV55" s="761"/>
      <c r="AW55" s="761"/>
      <c r="AX55" s="761"/>
      <c r="AY55" s="761"/>
      <c r="AZ55" s="761"/>
      <c r="BA55" s="761"/>
      <c r="BB55" s="761"/>
      <c r="BC55" s="761"/>
      <c r="BD55" s="761"/>
      <c r="BE55" s="761"/>
      <c r="BF55" s="761"/>
      <c r="BG55" s="761"/>
      <c r="BH55" s="770"/>
      <c r="BI55" s="118"/>
      <c r="BJ55" s="135"/>
    </row>
    <row r="56" spans="1:62" ht="12" customHeight="1" x14ac:dyDescent="0.2">
      <c r="A56" s="754" t="s">
        <v>872</v>
      </c>
      <c r="B56" s="755"/>
      <c r="C56" s="755"/>
      <c r="D56" s="755"/>
      <c r="E56" s="755"/>
      <c r="F56" s="755"/>
      <c r="G56" s="755"/>
      <c r="H56" s="755"/>
      <c r="I56" s="755"/>
      <c r="J56" s="755"/>
      <c r="K56" s="755"/>
      <c r="L56" s="755"/>
      <c r="M56" s="755"/>
      <c r="N56" s="755"/>
      <c r="O56" s="755"/>
      <c r="P56" s="756"/>
      <c r="Q56" s="125"/>
      <c r="R56" s="125"/>
      <c r="S56" s="125"/>
      <c r="T56" s="125"/>
      <c r="U56" s="125"/>
      <c r="V56" s="125"/>
      <c r="W56" s="125"/>
      <c r="X56" s="125"/>
      <c r="Y56" s="125"/>
      <c r="Z56" s="101"/>
      <c r="AA56" s="101"/>
      <c r="AB56" s="101"/>
      <c r="AC56" s="101"/>
      <c r="AD56" s="101"/>
      <c r="AE56" s="101"/>
      <c r="AF56" s="101"/>
      <c r="AG56" s="101"/>
      <c r="AH56" s="101"/>
      <c r="AI56" s="101"/>
      <c r="AJ56" s="101"/>
      <c r="AK56" s="101"/>
      <c r="AL56" s="101"/>
      <c r="AM56" s="134"/>
      <c r="AN56" s="125"/>
      <c r="AO56" s="125"/>
      <c r="AP56" s="125"/>
      <c r="AQ56" s="125"/>
      <c r="AR56" s="125"/>
      <c r="AS56" s="125"/>
      <c r="AT56" s="125"/>
      <c r="AU56" s="125"/>
      <c r="AV56" s="125"/>
      <c r="AW56" s="125"/>
      <c r="AX56" s="125"/>
      <c r="AY56" s="128"/>
      <c r="AZ56" s="128"/>
      <c r="BA56" s="128"/>
      <c r="BB56" s="125"/>
      <c r="BC56" s="125"/>
      <c r="BD56" s="125"/>
      <c r="BE56" s="125"/>
      <c r="BF56" s="125"/>
      <c r="BG56" s="125"/>
      <c r="BH56" s="136"/>
      <c r="BI56" s="125"/>
      <c r="BJ56" s="136"/>
    </row>
    <row r="57" spans="1:62" ht="12" customHeight="1" x14ac:dyDescent="0.2">
      <c r="A57" s="754" t="str">
        <f>NAME_BRANCH&amp;""</f>
        <v>Ağcabədi  Filialının</v>
      </c>
      <c r="B57" s="755"/>
      <c r="C57" s="755"/>
      <c r="D57" s="755"/>
      <c r="E57" s="755"/>
      <c r="F57" s="755"/>
      <c r="G57" s="755"/>
      <c r="H57" s="755"/>
      <c r="I57" s="755"/>
      <c r="J57" s="755"/>
      <c r="K57" s="755"/>
      <c r="L57" s="755"/>
      <c r="M57" s="755"/>
      <c r="N57" s="755"/>
      <c r="O57" s="755"/>
      <c r="P57" s="756"/>
      <c r="Q57" s="762" t="str">
        <f>IF(OR(X57=0,X57=""),"","Şəxsiyyət vəsiqəsi: ")</f>
        <v xml:space="preserve">Şəxsiyyət vəsiqəsi: </v>
      </c>
      <c r="R57" s="763"/>
      <c r="S57" s="763"/>
      <c r="T57" s="763"/>
      <c r="U57" s="763"/>
      <c r="V57" s="763"/>
      <c r="W57" s="763"/>
      <c r="X57" s="698" t="str">
        <f>IF(OR(SHV_SN_KREDITOR=0,SHV_D_KREDITOR=0,SHV_R_KREDITOR=0,SHV_SN_KREDITOR="",SHV_D_KREDITOR="",SHV_R_KREDITOR=""),"",SHV_SN_KREDITOR&amp;"  "&amp;SHV_D_KREDITOR_SOZLE&amp;" "&amp;SHV_R_KREDITOR&amp;" tərəfindən verilmişdir.")</f>
        <v>AZE № 14577224  «27» May 2014-cü il Mingəçevir ŞPŞ tərəfindən verilmişdir.</v>
      </c>
      <c r="Y57" s="698"/>
      <c r="Z57" s="698"/>
      <c r="AA57" s="698"/>
      <c r="AB57" s="698"/>
      <c r="AC57" s="698"/>
      <c r="AD57" s="698"/>
      <c r="AE57" s="698"/>
      <c r="AF57" s="698"/>
      <c r="AG57" s="698"/>
      <c r="AH57" s="698"/>
      <c r="AI57" s="698"/>
      <c r="AJ57" s="698"/>
      <c r="AK57" s="698"/>
      <c r="AL57" s="698"/>
      <c r="AM57" s="752" t="str">
        <f>IF(OR(AT57=0,AT57=""),"","Şəxsiyyət vəsiqəsi: ")</f>
        <v xml:space="preserve">Şəxsiyyət vəsiqəsi: </v>
      </c>
      <c r="AN57" s="719"/>
      <c r="AO57" s="719"/>
      <c r="AP57" s="719"/>
      <c r="AQ57" s="719"/>
      <c r="AR57" s="719"/>
      <c r="AS57" s="719"/>
      <c r="AT57" s="698" t="str">
        <f>IF(OR(SHV_SN_ZAMIN2=0,SHV_D_ZAMIN2=0,SHV_R_ZAMIN2=0,SHV_SN_ZAMIN2="",SHV_D_ZAMIN2="",SHV_R_ZAMIN2=""),"",SHV_SN_ZAMIN2&amp;"  "&amp;SHV_D_ZAMIN_SOZLE2&amp;" "&amp;SHV_R_ZAMIN2&amp;" tərəfindən verilmişdir.")</f>
        <v>AZE № 08959750  «15» Avqust 2011-ci il Mingəçevir ŞPŞ tərəfindən verilmişdir.</v>
      </c>
      <c r="AU57" s="698"/>
      <c r="AV57" s="698"/>
      <c r="AW57" s="698"/>
      <c r="AX57" s="698"/>
      <c r="AY57" s="698"/>
      <c r="AZ57" s="698"/>
      <c r="BA57" s="698"/>
      <c r="BB57" s="698"/>
      <c r="BC57" s="698"/>
      <c r="BD57" s="698"/>
      <c r="BE57" s="698"/>
      <c r="BF57" s="698"/>
      <c r="BG57" s="698"/>
      <c r="BH57" s="751"/>
      <c r="BI57" s="102"/>
      <c r="BJ57" s="149"/>
    </row>
    <row r="58" spans="1:62" ht="12" customHeight="1" x14ac:dyDescent="0.2">
      <c r="A58" s="754" t="str">
        <f>POSITION_MENEGER_BRANCH</f>
        <v>kredit meneceri</v>
      </c>
      <c r="B58" s="755"/>
      <c r="C58" s="755"/>
      <c r="D58" s="755"/>
      <c r="E58" s="755"/>
      <c r="F58" s="755"/>
      <c r="G58" s="755"/>
      <c r="H58" s="755"/>
      <c r="I58" s="755"/>
      <c r="J58" s="755"/>
      <c r="K58" s="755"/>
      <c r="L58" s="755"/>
      <c r="M58" s="755"/>
      <c r="N58" s="755"/>
      <c r="O58" s="755"/>
      <c r="P58" s="756"/>
      <c r="Q58" s="138"/>
      <c r="R58" s="139"/>
      <c r="S58" s="139"/>
      <c r="T58" s="139"/>
      <c r="U58" s="139"/>
      <c r="V58" s="101"/>
      <c r="W58" s="101"/>
      <c r="X58" s="698"/>
      <c r="Y58" s="698"/>
      <c r="Z58" s="698"/>
      <c r="AA58" s="698"/>
      <c r="AB58" s="698"/>
      <c r="AC58" s="698"/>
      <c r="AD58" s="698"/>
      <c r="AE58" s="698"/>
      <c r="AF58" s="698"/>
      <c r="AG58" s="698"/>
      <c r="AH58" s="698"/>
      <c r="AI58" s="698"/>
      <c r="AJ58" s="698"/>
      <c r="AK58" s="698"/>
      <c r="AL58" s="698"/>
      <c r="AM58" s="138"/>
      <c r="AN58" s="139"/>
      <c r="AO58" s="139"/>
      <c r="AP58" s="139"/>
      <c r="AQ58" s="139"/>
      <c r="AR58" s="101"/>
      <c r="AS58" s="101"/>
      <c r="AT58" s="698"/>
      <c r="AU58" s="698"/>
      <c r="AV58" s="698"/>
      <c r="AW58" s="698"/>
      <c r="AX58" s="698"/>
      <c r="AY58" s="698"/>
      <c r="AZ58" s="698"/>
      <c r="BA58" s="698"/>
      <c r="BB58" s="698"/>
      <c r="BC58" s="698"/>
      <c r="BD58" s="698"/>
      <c r="BE58" s="698"/>
      <c r="BF58" s="698"/>
      <c r="BG58" s="698"/>
      <c r="BH58" s="751"/>
      <c r="BI58" s="102"/>
      <c r="BJ58" s="149"/>
    </row>
    <row r="59" spans="1:62" ht="12" customHeight="1" x14ac:dyDescent="0.2">
      <c r="A59" s="754" t="str">
        <f>SURNAME_MENEGER_BRANCH&amp;" "&amp;NAME_MENEGER_BRANCH&amp;" "&amp;FATHERNAME_MENEGER_BRANCH&amp;" "&amp;G_MENEGER_BRANCH</f>
        <v>Əhmədov  Bəhruz  Tofiq  oğlu</v>
      </c>
      <c r="B59" s="755"/>
      <c r="C59" s="755"/>
      <c r="D59" s="755"/>
      <c r="E59" s="755"/>
      <c r="F59" s="755"/>
      <c r="G59" s="755"/>
      <c r="H59" s="755"/>
      <c r="I59" s="755"/>
      <c r="J59" s="755"/>
      <c r="K59" s="755"/>
      <c r="L59" s="755"/>
      <c r="M59" s="755"/>
      <c r="N59" s="755"/>
      <c r="O59" s="755"/>
      <c r="P59" s="756"/>
      <c r="Q59" s="125"/>
      <c r="R59" s="125"/>
      <c r="S59" s="125"/>
      <c r="T59" s="125"/>
      <c r="U59" s="125"/>
      <c r="V59" s="101"/>
      <c r="W59" s="101"/>
      <c r="X59" s="698"/>
      <c r="Y59" s="698"/>
      <c r="Z59" s="698"/>
      <c r="AA59" s="698"/>
      <c r="AB59" s="698"/>
      <c r="AC59" s="698"/>
      <c r="AD59" s="698"/>
      <c r="AE59" s="698"/>
      <c r="AF59" s="698"/>
      <c r="AG59" s="698"/>
      <c r="AH59" s="698"/>
      <c r="AI59" s="698"/>
      <c r="AJ59" s="698"/>
      <c r="AK59" s="698"/>
      <c r="AL59" s="698"/>
      <c r="AM59" s="140"/>
      <c r="AN59" s="96"/>
      <c r="AO59" s="96"/>
      <c r="AP59" s="96"/>
      <c r="AQ59" s="96"/>
      <c r="AR59" s="125"/>
      <c r="AS59" s="125"/>
      <c r="AT59" s="698"/>
      <c r="AU59" s="698"/>
      <c r="AV59" s="698"/>
      <c r="AW59" s="698"/>
      <c r="AX59" s="698"/>
      <c r="AY59" s="698"/>
      <c r="AZ59" s="698"/>
      <c r="BA59" s="698"/>
      <c r="BB59" s="698"/>
      <c r="BC59" s="698"/>
      <c r="BD59" s="698"/>
      <c r="BE59" s="698"/>
      <c r="BF59" s="698"/>
      <c r="BG59" s="698"/>
      <c r="BH59" s="751"/>
      <c r="BI59" s="102"/>
      <c r="BJ59" s="149"/>
    </row>
    <row r="60" spans="1:62" ht="12" customHeight="1" x14ac:dyDescent="0.2">
      <c r="A60" s="753" t="s">
        <v>33</v>
      </c>
      <c r="B60" s="717"/>
      <c r="C60" s="717"/>
      <c r="D60" s="717"/>
      <c r="E60" s="698" t="str">
        <f>NAME_REGION &amp;", "&amp;ADDRESS_REGION</f>
        <v>Ağcabədi şəhəri, İ.Qayıbov 2</v>
      </c>
      <c r="F60" s="698"/>
      <c r="G60" s="698"/>
      <c r="H60" s="698"/>
      <c r="I60" s="698"/>
      <c r="J60" s="698"/>
      <c r="K60" s="698"/>
      <c r="L60" s="698"/>
      <c r="M60" s="698"/>
      <c r="N60" s="698"/>
      <c r="O60" s="698"/>
      <c r="P60" s="751"/>
      <c r="Q60" s="753" t="str">
        <f>IF(OR(V60=0,V60=""),"","Ünvan:")</f>
        <v>Ünvan:</v>
      </c>
      <c r="R60" s="717"/>
      <c r="S60" s="717"/>
      <c r="T60" s="717"/>
      <c r="U60" s="717"/>
      <c r="V60" s="718" t="str">
        <f>IF(OR(ADDRESS_KREDITOR=0,ADDRESS_KREDITOR=""),"",ADDRESS_KREDITOR)</f>
        <v xml:space="preserve">Mingəçevir şəh., H.Əliyev PR., ev. 76/1, m. 22 </v>
      </c>
      <c r="W60" s="718"/>
      <c r="X60" s="718"/>
      <c r="Y60" s="718"/>
      <c r="Z60" s="718"/>
      <c r="AA60" s="718"/>
      <c r="AB60" s="718"/>
      <c r="AC60" s="718"/>
      <c r="AD60" s="718"/>
      <c r="AE60" s="718"/>
      <c r="AF60" s="718"/>
      <c r="AG60" s="718"/>
      <c r="AH60" s="718"/>
      <c r="AI60" s="718"/>
      <c r="AJ60" s="718"/>
      <c r="AK60" s="718"/>
      <c r="AL60" s="718"/>
      <c r="AM60" s="753" t="str">
        <f>IF(OR(AR60=0,AR60=""),"","Ünvan:")</f>
        <v>Ünvan:</v>
      </c>
      <c r="AN60" s="717"/>
      <c r="AO60" s="717"/>
      <c r="AP60" s="717"/>
      <c r="AQ60" s="717"/>
      <c r="AR60" s="698" t="str">
        <f>IF(OR(ADDRESS_ZAMIN2=0,ADDRESS_ZAMIN2=""),"",ADDRESS_ZAMIN2)</f>
        <v xml:space="preserve">Mingəçevir şəh., A.Qurbani küç., ev. 4, m. 1 </v>
      </c>
      <c r="AS60" s="698"/>
      <c r="AT60" s="698"/>
      <c r="AU60" s="698"/>
      <c r="AV60" s="698"/>
      <c r="AW60" s="698"/>
      <c r="AX60" s="698"/>
      <c r="AY60" s="698"/>
      <c r="AZ60" s="698"/>
      <c r="BA60" s="698"/>
      <c r="BB60" s="698"/>
      <c r="BC60" s="698"/>
      <c r="BD60" s="698"/>
      <c r="BE60" s="698"/>
      <c r="BF60" s="698"/>
      <c r="BG60" s="698"/>
      <c r="BH60" s="751"/>
      <c r="BI60" s="102"/>
      <c r="BJ60" s="149"/>
    </row>
    <row r="61" spans="1:62" ht="12" customHeight="1" x14ac:dyDescent="0.2">
      <c r="A61" s="753"/>
      <c r="B61" s="717"/>
      <c r="C61" s="717"/>
      <c r="D61" s="717"/>
      <c r="E61" s="698"/>
      <c r="F61" s="698"/>
      <c r="G61" s="698"/>
      <c r="H61" s="698"/>
      <c r="I61" s="698"/>
      <c r="J61" s="698"/>
      <c r="K61" s="698"/>
      <c r="L61" s="698"/>
      <c r="M61" s="698"/>
      <c r="N61" s="698"/>
      <c r="O61" s="698"/>
      <c r="P61" s="751"/>
      <c r="Q61" s="128"/>
      <c r="R61" s="128"/>
      <c r="S61" s="128"/>
      <c r="T61" s="128"/>
      <c r="U61" s="128"/>
      <c r="V61" s="718"/>
      <c r="W61" s="718"/>
      <c r="X61" s="718"/>
      <c r="Y61" s="718"/>
      <c r="Z61" s="718"/>
      <c r="AA61" s="718"/>
      <c r="AB61" s="718"/>
      <c r="AC61" s="718"/>
      <c r="AD61" s="718"/>
      <c r="AE61" s="718"/>
      <c r="AF61" s="718"/>
      <c r="AG61" s="718"/>
      <c r="AH61" s="718"/>
      <c r="AI61" s="718"/>
      <c r="AJ61" s="718"/>
      <c r="AK61" s="718"/>
      <c r="AL61" s="718"/>
      <c r="AM61" s="141"/>
      <c r="AN61" s="117"/>
      <c r="AO61" s="117"/>
      <c r="AP61" s="117"/>
      <c r="AQ61" s="117"/>
      <c r="AR61" s="698"/>
      <c r="AS61" s="698"/>
      <c r="AT61" s="698"/>
      <c r="AU61" s="698"/>
      <c r="AV61" s="698"/>
      <c r="AW61" s="698"/>
      <c r="AX61" s="698"/>
      <c r="AY61" s="698"/>
      <c r="AZ61" s="698"/>
      <c r="BA61" s="698"/>
      <c r="BB61" s="698"/>
      <c r="BC61" s="698"/>
      <c r="BD61" s="698"/>
      <c r="BE61" s="698"/>
      <c r="BF61" s="698"/>
      <c r="BG61" s="698"/>
      <c r="BH61" s="751"/>
      <c r="BI61" s="102"/>
      <c r="BJ61" s="149"/>
    </row>
    <row r="62" spans="1:62" ht="12" customHeight="1" x14ac:dyDescent="0.2">
      <c r="A62" s="753"/>
      <c r="B62" s="717"/>
      <c r="C62" s="717"/>
      <c r="D62" s="717"/>
      <c r="E62" s="698"/>
      <c r="F62" s="698"/>
      <c r="G62" s="698"/>
      <c r="H62" s="698"/>
      <c r="I62" s="698"/>
      <c r="J62" s="698"/>
      <c r="K62" s="698"/>
      <c r="L62" s="698"/>
      <c r="M62" s="698"/>
      <c r="N62" s="698"/>
      <c r="O62" s="698"/>
      <c r="P62" s="751"/>
      <c r="Q62" s="125"/>
      <c r="R62" s="125"/>
      <c r="S62" s="125"/>
      <c r="T62" s="125"/>
      <c r="U62" s="125"/>
      <c r="V62" s="718"/>
      <c r="W62" s="718"/>
      <c r="X62" s="718"/>
      <c r="Y62" s="718"/>
      <c r="Z62" s="718"/>
      <c r="AA62" s="718"/>
      <c r="AB62" s="718"/>
      <c r="AC62" s="718"/>
      <c r="AD62" s="718"/>
      <c r="AE62" s="718"/>
      <c r="AF62" s="718"/>
      <c r="AG62" s="718"/>
      <c r="AH62" s="718"/>
      <c r="AI62" s="718"/>
      <c r="AJ62" s="718"/>
      <c r="AK62" s="718"/>
      <c r="AL62" s="718"/>
      <c r="AM62" s="141"/>
      <c r="AN62" s="96"/>
      <c r="AO62" s="96"/>
      <c r="AP62" s="96"/>
      <c r="AQ62" s="96"/>
      <c r="AR62" s="698"/>
      <c r="AS62" s="698"/>
      <c r="AT62" s="698"/>
      <c r="AU62" s="698"/>
      <c r="AV62" s="698"/>
      <c r="AW62" s="698"/>
      <c r="AX62" s="698"/>
      <c r="AY62" s="698"/>
      <c r="AZ62" s="698"/>
      <c r="BA62" s="698"/>
      <c r="BB62" s="698"/>
      <c r="BC62" s="698"/>
      <c r="BD62" s="698"/>
      <c r="BE62" s="698"/>
      <c r="BF62" s="698"/>
      <c r="BG62" s="698"/>
      <c r="BH62" s="751"/>
      <c r="BI62" s="102"/>
      <c r="BJ62" s="149"/>
    </row>
    <row r="63" spans="1:62" ht="12" customHeight="1" x14ac:dyDescent="0.2">
      <c r="A63" s="752" t="str">
        <f>IF(OR(E63=0,E63=""),"","Telefon:")</f>
        <v>Telefon:</v>
      </c>
      <c r="B63" s="719"/>
      <c r="C63" s="719"/>
      <c r="D63" s="719"/>
      <c r="E63" s="698" t="str">
        <f>IF(OR(NUM_BRANCH=0,NUM_BRANCH=""),"",NUM_BRANCH)</f>
        <v>(+994 24) 274 13 23</v>
      </c>
      <c r="F63" s="698"/>
      <c r="G63" s="698"/>
      <c r="H63" s="698"/>
      <c r="I63" s="698"/>
      <c r="J63" s="698"/>
      <c r="K63" s="698"/>
      <c r="L63" s="698"/>
      <c r="M63" s="698"/>
      <c r="N63" s="698"/>
      <c r="O63" s="698"/>
      <c r="P63" s="751"/>
      <c r="Q63" s="753" t="str">
        <f>IF(OR(V63=0,V63=""),"","Telefon:")</f>
        <v>Telefon:</v>
      </c>
      <c r="R63" s="717"/>
      <c r="S63" s="717"/>
      <c r="T63" s="717"/>
      <c r="U63" s="717"/>
      <c r="V63" s="718" t="str">
        <f>IF(OR(NUM_1_KREDITOR=0,NUM_1_KREDITOR=""),"",NUM_1_KREDITOR&amp;"; ")&amp;IF(OR(NUM_2_KREDITOR=0,NUM_2_KREDITOR=""),"",NUM_2_KREDITOR&amp;"; ")</f>
        <v xml:space="preserve">055-915-96-56; </v>
      </c>
      <c r="W63" s="718"/>
      <c r="X63" s="718"/>
      <c r="Y63" s="718"/>
      <c r="Z63" s="718"/>
      <c r="AA63" s="718"/>
      <c r="AB63" s="718"/>
      <c r="AC63" s="718"/>
      <c r="AD63" s="718"/>
      <c r="AE63" s="718"/>
      <c r="AF63" s="718"/>
      <c r="AG63" s="718"/>
      <c r="AH63" s="718"/>
      <c r="AI63" s="718"/>
      <c r="AJ63" s="718"/>
      <c r="AK63" s="718"/>
      <c r="AL63" s="718"/>
      <c r="AM63" s="753" t="str">
        <f>IF(OR(AR63=0,AR63=""),"","Telefon:")</f>
        <v>Telefon:</v>
      </c>
      <c r="AN63" s="717"/>
      <c r="AO63" s="717"/>
      <c r="AP63" s="717"/>
      <c r="AQ63" s="717"/>
      <c r="AR63" s="718" t="str">
        <f>IF(OR(NUM_1_ZAMIN2=0,NUM_1_ZAMIN2=""),"",NUM_1_ZAMIN2&amp;"; ")&amp;IF(OR(NUM_2_ZAMIN2=0,NUM_2_ZAMIN2=""),"",NUM_2_ZAMIN2&amp;"; ")</f>
        <v xml:space="preserve">050-721-73-34; </v>
      </c>
      <c r="AS63" s="718"/>
      <c r="AT63" s="718"/>
      <c r="AU63" s="718"/>
      <c r="AV63" s="718"/>
      <c r="AW63" s="718"/>
      <c r="AX63" s="718"/>
      <c r="AY63" s="718"/>
      <c r="AZ63" s="718"/>
      <c r="BA63" s="718"/>
      <c r="BB63" s="718"/>
      <c r="BC63" s="718"/>
      <c r="BD63" s="718"/>
      <c r="BE63" s="718"/>
      <c r="BF63" s="718"/>
      <c r="BG63" s="718"/>
      <c r="BH63" s="767"/>
      <c r="BI63" s="106"/>
      <c r="BJ63" s="116"/>
    </row>
    <row r="64" spans="1:62" ht="12" customHeight="1" x14ac:dyDescent="0.2">
      <c r="A64" s="752" t="str">
        <f>IF(OR(E64=0,E64=""),"","Faks:")</f>
        <v>Faks:</v>
      </c>
      <c r="B64" s="719"/>
      <c r="C64" s="719"/>
      <c r="D64" s="719"/>
      <c r="E64" s="698" t="str">
        <f>IF(OR(FAX_BRANCH=0,FAX_BRANCH=""),"",FAX_BRANCH)</f>
        <v>(+994 24) 274 20 24</v>
      </c>
      <c r="F64" s="698"/>
      <c r="G64" s="698"/>
      <c r="H64" s="698"/>
      <c r="I64" s="698"/>
      <c r="J64" s="698"/>
      <c r="K64" s="698"/>
      <c r="L64" s="698"/>
      <c r="M64" s="698"/>
      <c r="N64" s="698"/>
      <c r="O64" s="698"/>
      <c r="P64" s="751"/>
      <c r="Q64" s="125"/>
      <c r="R64" s="125"/>
      <c r="S64" s="125"/>
      <c r="T64" s="125"/>
      <c r="U64" s="125"/>
      <c r="V64" s="125"/>
      <c r="W64" s="125"/>
      <c r="X64" s="125"/>
      <c r="Y64" s="125"/>
      <c r="Z64" s="125"/>
      <c r="AA64" s="125"/>
      <c r="AB64" s="125"/>
      <c r="AC64" s="125"/>
      <c r="AD64" s="125"/>
      <c r="AE64" s="125"/>
      <c r="AF64" s="125"/>
      <c r="AG64" s="125"/>
      <c r="AH64" s="125"/>
      <c r="AI64" s="125"/>
      <c r="AJ64" s="125"/>
      <c r="AK64" s="125"/>
      <c r="AL64" s="125"/>
      <c r="AM64" s="134"/>
      <c r="AN64" s="125"/>
      <c r="AO64" s="125"/>
      <c r="AP64" s="125"/>
      <c r="AQ64" s="125"/>
      <c r="AR64" s="125"/>
      <c r="AS64" s="125"/>
      <c r="AT64" s="125"/>
      <c r="AU64" s="125"/>
      <c r="AV64" s="125"/>
      <c r="AW64" s="125"/>
      <c r="AX64" s="125"/>
      <c r="AY64" s="125"/>
      <c r="AZ64" s="125"/>
      <c r="BA64" s="125"/>
      <c r="BB64" s="125"/>
      <c r="BC64" s="125"/>
      <c r="BD64" s="125"/>
      <c r="BE64" s="125"/>
      <c r="BF64" s="125"/>
      <c r="BG64" s="125"/>
      <c r="BH64" s="136"/>
      <c r="BI64" s="125"/>
      <c r="BJ64" s="136"/>
    </row>
    <row r="65" spans="1:63" ht="12" customHeight="1" x14ac:dyDescent="0.2">
      <c r="A65" s="142"/>
      <c r="B65" s="139"/>
      <c r="C65" s="139"/>
      <c r="D65" s="139"/>
      <c r="E65" s="101"/>
      <c r="F65" s="101"/>
      <c r="G65" s="101"/>
      <c r="H65" s="101"/>
      <c r="I65" s="101"/>
      <c r="J65" s="101"/>
      <c r="K65" s="101"/>
      <c r="L65" s="101"/>
      <c r="M65" s="101"/>
      <c r="N65" s="101"/>
      <c r="O65" s="101"/>
      <c r="P65" s="137"/>
      <c r="Q65" s="125"/>
      <c r="R65" s="125"/>
      <c r="S65" s="125"/>
      <c r="T65" s="125"/>
      <c r="U65" s="125"/>
      <c r="V65" s="125"/>
      <c r="W65" s="125"/>
      <c r="X65" s="125"/>
      <c r="Y65" s="125"/>
      <c r="Z65" s="125"/>
      <c r="AA65" s="125"/>
      <c r="AB65" s="125"/>
      <c r="AC65" s="125"/>
      <c r="AD65" s="125"/>
      <c r="AE65" s="125"/>
      <c r="AF65" s="125"/>
      <c r="AG65" s="125"/>
      <c r="AH65" s="125"/>
      <c r="AI65" s="125"/>
      <c r="AJ65" s="125"/>
      <c r="AK65" s="125"/>
      <c r="AL65" s="125"/>
      <c r="AM65" s="134"/>
      <c r="AN65" s="125"/>
      <c r="AO65" s="125"/>
      <c r="AP65" s="125"/>
      <c r="AQ65" s="125"/>
      <c r="AR65" s="125"/>
      <c r="AS65" s="125"/>
      <c r="AT65" s="125"/>
      <c r="AU65" s="125"/>
      <c r="AV65" s="125"/>
      <c r="AW65" s="125"/>
      <c r="AX65" s="125"/>
      <c r="AY65" s="125"/>
      <c r="AZ65" s="125"/>
      <c r="BA65" s="125"/>
      <c r="BB65" s="125"/>
      <c r="BC65" s="125"/>
      <c r="BD65" s="125"/>
      <c r="BE65" s="125"/>
      <c r="BF65" s="125"/>
      <c r="BG65" s="125"/>
      <c r="BH65" s="136"/>
      <c r="BI65" s="125"/>
      <c r="BJ65" s="136"/>
    </row>
    <row r="66" spans="1:63" ht="12" customHeight="1" x14ac:dyDescent="0.2">
      <c r="A66" s="753" t="s">
        <v>97</v>
      </c>
      <c r="B66" s="717"/>
      <c r="C66" s="717"/>
      <c r="D66" s="717"/>
      <c r="E66" s="766"/>
      <c r="F66" s="766"/>
      <c r="G66" s="766"/>
      <c r="H66" s="766"/>
      <c r="I66" s="766"/>
      <c r="J66" s="766"/>
      <c r="K66" s="766"/>
      <c r="L66" s="766"/>
      <c r="M66" s="766"/>
      <c r="N66" s="766"/>
      <c r="O66" s="766"/>
      <c r="P66" s="137"/>
      <c r="Q66" s="125"/>
      <c r="R66" s="92"/>
      <c r="S66" s="717" t="s">
        <v>97</v>
      </c>
      <c r="T66" s="717"/>
      <c r="U66" s="717"/>
      <c r="V66" s="765"/>
      <c r="W66" s="765"/>
      <c r="X66" s="765"/>
      <c r="Y66" s="765"/>
      <c r="Z66" s="765"/>
      <c r="AA66" s="765"/>
      <c r="AB66" s="765"/>
      <c r="AC66" s="765"/>
      <c r="AD66" s="765"/>
      <c r="AE66" s="765"/>
      <c r="AF66" s="765"/>
      <c r="AG66" s="765"/>
      <c r="AH66" s="765"/>
      <c r="AI66" s="765"/>
      <c r="AJ66" s="125"/>
      <c r="AK66" s="125"/>
      <c r="AL66" s="125"/>
      <c r="AM66" s="134"/>
      <c r="AN66" s="92"/>
      <c r="AO66" s="717" t="s">
        <v>97</v>
      </c>
      <c r="AP66" s="717"/>
      <c r="AQ66" s="717"/>
      <c r="AR66" s="765"/>
      <c r="AS66" s="765"/>
      <c r="AT66" s="765"/>
      <c r="AU66" s="765"/>
      <c r="AV66" s="765"/>
      <c r="AW66" s="765"/>
      <c r="AX66" s="765"/>
      <c r="AY66" s="765"/>
      <c r="AZ66" s="765"/>
      <c r="BA66" s="765"/>
      <c r="BB66" s="765"/>
      <c r="BC66" s="765"/>
      <c r="BD66" s="765"/>
      <c r="BE66" s="765"/>
      <c r="BF66" s="125"/>
      <c r="BG66" s="125"/>
      <c r="BH66" s="136"/>
      <c r="BI66" s="125"/>
      <c r="BJ66" s="136"/>
    </row>
    <row r="67" spans="1:63" ht="12" customHeight="1" x14ac:dyDescent="0.2">
      <c r="A67" s="143"/>
      <c r="B67" s="144"/>
      <c r="C67" s="144"/>
      <c r="D67" s="144"/>
      <c r="E67" s="144"/>
      <c r="F67" s="144"/>
      <c r="G67" s="144"/>
      <c r="H67" s="144"/>
      <c r="I67" s="144"/>
      <c r="J67" s="144"/>
      <c r="K67" s="144"/>
      <c r="L67" s="145"/>
      <c r="M67" s="144"/>
      <c r="N67" s="144"/>
      <c r="O67" s="144"/>
      <c r="P67" s="146"/>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7"/>
      <c r="AN67" s="144"/>
      <c r="AO67" s="144"/>
      <c r="AP67" s="144"/>
      <c r="AQ67" s="144"/>
      <c r="AR67" s="144"/>
      <c r="AS67" s="144"/>
      <c r="AT67" s="144"/>
      <c r="AU67" s="144"/>
      <c r="AV67" s="144"/>
      <c r="AW67" s="144"/>
      <c r="AX67" s="144"/>
      <c r="AY67" s="144"/>
      <c r="AZ67" s="144"/>
      <c r="BA67" s="144"/>
      <c r="BB67" s="144"/>
      <c r="BC67" s="144"/>
      <c r="BD67" s="144"/>
      <c r="BE67" s="144"/>
      <c r="BF67" s="144"/>
      <c r="BG67" s="144"/>
      <c r="BH67" s="146"/>
      <c r="BI67" s="125"/>
      <c r="BJ67" s="146"/>
      <c r="BK67" s="125"/>
    </row>
    <row r="68" spans="1:63" ht="9.75" customHeight="1" x14ac:dyDescent="0.2">
      <c r="A68" s="112"/>
      <c r="B68" s="125"/>
      <c r="C68" s="125"/>
      <c r="D68" s="125"/>
      <c r="E68" s="125"/>
      <c r="F68" s="125"/>
      <c r="G68" s="125"/>
      <c r="H68" s="125"/>
      <c r="I68" s="125"/>
      <c r="J68" s="125"/>
      <c r="K68" s="125"/>
      <c r="L68" s="125"/>
      <c r="M68" s="125"/>
      <c r="N68" s="125"/>
      <c r="O68" s="125"/>
      <c r="BI68" s="125"/>
    </row>
  </sheetData>
  <mergeCells count="103">
    <mergeCell ref="AO66:AQ66"/>
    <mergeCell ref="AR66:BE66"/>
    <mergeCell ref="A64:D64"/>
    <mergeCell ref="E64:P64"/>
    <mergeCell ref="A66:D66"/>
    <mergeCell ref="E66:O66"/>
    <mergeCell ref="S66:U66"/>
    <mergeCell ref="V66:AI66"/>
    <mergeCell ref="A63:D63"/>
    <mergeCell ref="E63:P63"/>
    <mergeCell ref="Q63:U63"/>
    <mergeCell ref="V63:AL63"/>
    <mergeCell ref="AM63:AQ63"/>
    <mergeCell ref="AR63:BH63"/>
    <mergeCell ref="A60:D62"/>
    <mergeCell ref="E60:P62"/>
    <mergeCell ref="Q60:U60"/>
    <mergeCell ref="V60:AL62"/>
    <mergeCell ref="AM60:AQ60"/>
    <mergeCell ref="AR60:BH62"/>
    <mergeCell ref="A56:P56"/>
    <mergeCell ref="A57:P57"/>
    <mergeCell ref="Q57:W57"/>
    <mergeCell ref="X57:AL59"/>
    <mergeCell ref="AM57:AS57"/>
    <mergeCell ref="AT57:BH59"/>
    <mergeCell ref="A58:P58"/>
    <mergeCell ref="A59:P59"/>
    <mergeCell ref="A55:P55"/>
    <mergeCell ref="X55:AL55"/>
    <mergeCell ref="AT55:BH55"/>
    <mergeCell ref="C45:AD48"/>
    <mergeCell ref="AF46:AG46"/>
    <mergeCell ref="AH46:BJ48"/>
    <mergeCell ref="A49:B49"/>
    <mergeCell ref="C49:AD49"/>
    <mergeCell ref="A51:BJ51"/>
    <mergeCell ref="A42:B42"/>
    <mergeCell ref="C42:AD42"/>
    <mergeCell ref="AF42:BJ42"/>
    <mergeCell ref="A43:B43"/>
    <mergeCell ref="C43:AD44"/>
    <mergeCell ref="AF44:AG44"/>
    <mergeCell ref="AH44:BJ45"/>
    <mergeCell ref="A45:B45"/>
    <mergeCell ref="A53:P53"/>
    <mergeCell ref="Q53:AL53"/>
    <mergeCell ref="AM53:BH53"/>
    <mergeCell ref="A33:B33"/>
    <mergeCell ref="C33:AD36"/>
    <mergeCell ref="AF34:AG34"/>
    <mergeCell ref="AH34:BJ36"/>
    <mergeCell ref="A37:B37"/>
    <mergeCell ref="C37:AD38"/>
    <mergeCell ref="AF37:AG37"/>
    <mergeCell ref="AH37:BJ39"/>
    <mergeCell ref="A39:B39"/>
    <mergeCell ref="C39:AD41"/>
    <mergeCell ref="AF40:AG40"/>
    <mergeCell ref="AH40:BJ40"/>
    <mergeCell ref="AF29:AG29"/>
    <mergeCell ref="AH29:BJ30"/>
    <mergeCell ref="A30:AD30"/>
    <mergeCell ref="A32:B32"/>
    <mergeCell ref="C32:AD32"/>
    <mergeCell ref="AF32:BJ32"/>
    <mergeCell ref="AH19:BJ20"/>
    <mergeCell ref="AF22:BJ22"/>
    <mergeCell ref="A23:B23"/>
    <mergeCell ref="C23:AD25"/>
    <mergeCell ref="AF24:AG24"/>
    <mergeCell ref="AH24:BJ26"/>
    <mergeCell ref="A26:B26"/>
    <mergeCell ref="C26:AD28"/>
    <mergeCell ref="AF27:AG27"/>
    <mergeCell ref="AH27:BJ28"/>
    <mergeCell ref="A5:AD11"/>
    <mergeCell ref="AF5:AG5"/>
    <mergeCell ref="AH5:BJ5"/>
    <mergeCell ref="AF6:AG6"/>
    <mergeCell ref="AH6:BJ7"/>
    <mergeCell ref="AF8:AG8"/>
    <mergeCell ref="AH8:BJ8"/>
    <mergeCell ref="AF10:BJ10"/>
    <mergeCell ref="A12:AD12"/>
    <mergeCell ref="AF12:AG12"/>
    <mergeCell ref="AH12:BJ14"/>
    <mergeCell ref="A14:B14"/>
    <mergeCell ref="C14:AD17"/>
    <mergeCell ref="AF15:AG15"/>
    <mergeCell ref="AH15:BJ18"/>
    <mergeCell ref="A18:B18"/>
    <mergeCell ref="C18:AD22"/>
    <mergeCell ref="AF19:AG19"/>
    <mergeCell ref="A1:AD1"/>
    <mergeCell ref="AF1:AG1"/>
    <mergeCell ref="AH1:BI1"/>
    <mergeCell ref="AF2:AG2"/>
    <mergeCell ref="AH2:BI3"/>
    <mergeCell ref="A3:T3"/>
    <mergeCell ref="U3:AD3"/>
    <mergeCell ref="AF4:AG4"/>
    <mergeCell ref="AH4:BJ4"/>
  </mergeCells>
  <pageMargins left="0.45" right="0.28000000000000003" top="0.54" bottom="0.12" header="0.55000000000000004" footer="0.12"/>
  <pageSetup scale="88"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Z2">
    <tabColor theme="3" tint="0.39997558519241921"/>
  </sheetPr>
  <dimension ref="A1:BK68"/>
  <sheetViews>
    <sheetView showGridLines="0" showRowColHeaders="0" view="pageBreakPreview" zoomScaleNormal="160" zoomScaleSheetLayoutView="100" workbookViewId="0">
      <selection sqref="A1:AD1"/>
    </sheetView>
  </sheetViews>
  <sheetFormatPr defaultRowHeight="11.25" x14ac:dyDescent="0.2"/>
  <cols>
    <col min="1" max="1" width="1.85546875" style="97" customWidth="1"/>
    <col min="2" max="2" width="2.5703125" style="98" customWidth="1"/>
    <col min="3" max="32" width="1.85546875" style="98" customWidth="1"/>
    <col min="33" max="33" width="2.42578125" style="98" customWidth="1"/>
    <col min="34" max="61" width="1.85546875" style="98" customWidth="1"/>
    <col min="62" max="62" width="1.7109375" style="98" hidden="1" customWidth="1"/>
    <col min="63" max="16384" width="9.140625" style="98"/>
  </cols>
  <sheetData>
    <row r="1" spans="1:62" ht="12" customHeight="1" x14ac:dyDescent="0.2">
      <c r="A1" s="695" t="str">
        <f>"ZAMİNLİK MÜQAVİLƏSİ      "&amp;LD_NUM</f>
        <v>ZAMİNLİK MÜQAVİLƏSİ      LD/15212/00143</v>
      </c>
      <c r="B1" s="695"/>
      <c r="C1" s="695"/>
      <c r="D1" s="695"/>
      <c r="E1" s="695"/>
      <c r="F1" s="695"/>
      <c r="G1" s="695"/>
      <c r="H1" s="695"/>
      <c r="I1" s="695"/>
      <c r="J1" s="695"/>
      <c r="K1" s="695"/>
      <c r="L1" s="695"/>
      <c r="M1" s="695"/>
      <c r="N1" s="695"/>
      <c r="O1" s="695"/>
      <c r="P1" s="695"/>
      <c r="Q1" s="695"/>
      <c r="R1" s="695"/>
      <c r="S1" s="695"/>
      <c r="T1" s="695"/>
      <c r="U1" s="695"/>
      <c r="V1" s="695"/>
      <c r="W1" s="695"/>
      <c r="X1" s="695"/>
      <c r="Y1" s="695"/>
      <c r="Z1" s="695"/>
      <c r="AA1" s="695"/>
      <c r="AB1" s="695"/>
      <c r="AC1" s="695"/>
      <c r="AD1" s="695"/>
      <c r="AF1" s="710" t="s">
        <v>169</v>
      </c>
      <c r="AG1" s="710"/>
      <c r="AH1" s="773" t="s">
        <v>459</v>
      </c>
      <c r="AI1" s="773"/>
      <c r="AJ1" s="773"/>
      <c r="AK1" s="773"/>
      <c r="AL1" s="773"/>
      <c r="AM1" s="773"/>
      <c r="AN1" s="773"/>
      <c r="AO1" s="773"/>
      <c r="AP1" s="773"/>
      <c r="AQ1" s="773"/>
      <c r="AR1" s="773"/>
      <c r="AS1" s="773"/>
      <c r="AT1" s="773"/>
      <c r="AU1" s="773"/>
      <c r="AV1" s="773"/>
      <c r="AW1" s="773"/>
      <c r="AX1" s="773"/>
      <c r="AY1" s="773"/>
      <c r="AZ1" s="773"/>
      <c r="BA1" s="773"/>
      <c r="BB1" s="773"/>
      <c r="BC1" s="773"/>
      <c r="BD1" s="773"/>
      <c r="BE1" s="773"/>
      <c r="BF1" s="773"/>
      <c r="BG1" s="773"/>
      <c r="BH1" s="773"/>
      <c r="BI1" s="773"/>
      <c r="BJ1" s="87"/>
    </row>
    <row r="2" spans="1:62" ht="12" customHeight="1" x14ac:dyDescent="0.2">
      <c r="A2" s="114"/>
      <c r="AF2" s="710" t="s">
        <v>206</v>
      </c>
      <c r="AG2" s="710"/>
      <c r="AH2" s="694" t="s">
        <v>437</v>
      </c>
      <c r="AI2" s="694"/>
      <c r="AJ2" s="694"/>
      <c r="AK2" s="694"/>
      <c r="AL2" s="694"/>
      <c r="AM2" s="694"/>
      <c r="AN2" s="694"/>
      <c r="AO2" s="694"/>
      <c r="AP2" s="694"/>
      <c r="AQ2" s="694"/>
      <c r="AR2" s="694"/>
      <c r="AS2" s="694"/>
      <c r="AT2" s="694"/>
      <c r="AU2" s="694"/>
      <c r="AV2" s="694"/>
      <c r="AW2" s="694"/>
      <c r="AX2" s="694"/>
      <c r="AY2" s="694"/>
      <c r="AZ2" s="694"/>
      <c r="BA2" s="694"/>
      <c r="BB2" s="694"/>
      <c r="BC2" s="694"/>
      <c r="BD2" s="694"/>
      <c r="BE2" s="694"/>
      <c r="BF2" s="694"/>
      <c r="BG2" s="694"/>
      <c r="BH2" s="694"/>
      <c r="BI2" s="694"/>
      <c r="BJ2" s="87"/>
    </row>
    <row r="3" spans="1:62" ht="12" customHeight="1" x14ac:dyDescent="0.2">
      <c r="A3" s="702" t="str">
        <f>NAME_REGION</f>
        <v>Ağcabədi şəhəri</v>
      </c>
      <c r="B3" s="702"/>
      <c r="C3" s="702"/>
      <c r="D3" s="702"/>
      <c r="E3" s="702"/>
      <c r="F3" s="702"/>
      <c r="G3" s="702"/>
      <c r="H3" s="702"/>
      <c r="I3" s="702"/>
      <c r="J3" s="702"/>
      <c r="K3" s="702"/>
      <c r="L3" s="702"/>
      <c r="M3" s="702"/>
      <c r="N3" s="702"/>
      <c r="O3" s="702"/>
      <c r="P3" s="702"/>
      <c r="Q3" s="702"/>
      <c r="R3" s="702"/>
      <c r="S3" s="702"/>
      <c r="T3" s="702"/>
      <c r="U3" s="697" t="str">
        <f>START_DATE_KREDIT_SOZLE</f>
        <v>«31» İyul 2015-ci il</v>
      </c>
      <c r="V3" s="697"/>
      <c r="W3" s="697"/>
      <c r="X3" s="697"/>
      <c r="Y3" s="697"/>
      <c r="Z3" s="697"/>
      <c r="AA3" s="697"/>
      <c r="AB3" s="697"/>
      <c r="AC3" s="697"/>
      <c r="AD3" s="697"/>
      <c r="AF3" s="97"/>
      <c r="AG3" s="97"/>
      <c r="AH3" s="694"/>
      <c r="AI3" s="694"/>
      <c r="AJ3" s="694"/>
      <c r="AK3" s="694"/>
      <c r="AL3" s="694"/>
      <c r="AM3" s="694"/>
      <c r="AN3" s="694"/>
      <c r="AO3" s="694"/>
      <c r="AP3" s="694"/>
      <c r="AQ3" s="694"/>
      <c r="AR3" s="694"/>
      <c r="AS3" s="694"/>
      <c r="AT3" s="694"/>
      <c r="AU3" s="694"/>
      <c r="AV3" s="694"/>
      <c r="AW3" s="694"/>
      <c r="AX3" s="694"/>
      <c r="AY3" s="694"/>
      <c r="AZ3" s="694"/>
      <c r="BA3" s="694"/>
      <c r="BB3" s="694"/>
      <c r="BC3" s="694"/>
      <c r="BD3" s="694"/>
      <c r="BE3" s="694"/>
      <c r="BF3" s="694"/>
      <c r="BG3" s="694"/>
      <c r="BH3" s="694"/>
      <c r="BI3" s="694"/>
      <c r="BJ3" s="87"/>
    </row>
    <row r="4" spans="1:62" ht="12" customHeight="1" x14ac:dyDescent="0.2">
      <c r="A4" s="98"/>
      <c r="U4" s="96"/>
      <c r="V4" s="96"/>
      <c r="W4" s="96"/>
      <c r="X4" s="96"/>
      <c r="Y4" s="96"/>
      <c r="Z4" s="96"/>
      <c r="AA4" s="96"/>
      <c r="AB4" s="96"/>
      <c r="AC4" s="96"/>
      <c r="AD4" s="96"/>
      <c r="AF4" s="701" t="s">
        <v>205</v>
      </c>
      <c r="AG4" s="701"/>
      <c r="AH4" s="704" t="s">
        <v>460</v>
      </c>
      <c r="AI4" s="704"/>
      <c r="AJ4" s="704"/>
      <c r="AK4" s="704"/>
      <c r="AL4" s="704"/>
      <c r="AM4" s="704"/>
      <c r="AN4" s="704"/>
      <c r="AO4" s="704"/>
      <c r="AP4" s="704"/>
      <c r="AQ4" s="704"/>
      <c r="AR4" s="704"/>
      <c r="AS4" s="704"/>
      <c r="AT4" s="704"/>
      <c r="AU4" s="704"/>
      <c r="AV4" s="704"/>
      <c r="AW4" s="704"/>
      <c r="AX4" s="704"/>
      <c r="AY4" s="704"/>
      <c r="AZ4" s="704"/>
      <c r="BA4" s="704"/>
      <c r="BB4" s="704"/>
      <c r="BC4" s="704"/>
      <c r="BD4" s="704"/>
      <c r="BE4" s="704"/>
      <c r="BF4" s="704"/>
      <c r="BG4" s="704"/>
      <c r="BH4" s="704"/>
      <c r="BI4" s="704"/>
      <c r="BJ4" s="704"/>
    </row>
    <row r="5" spans="1:62" ht="12" customHeight="1" x14ac:dyDescent="0.2">
      <c r="A5" s="694" t="str">
        <f>"Bir tərəfdən bundan sonra «Borc verən» adlanacaq, Azərbaycan Respublikasının Mərkəzi Bankı  tərəfindən  verilmiş  lisenziya və Nizamnamə əsasında fəaliyyət göstərən, Bank Olmayan Kredit Təşkilatı «Vijn Fond Azərkredit» MMC, "&amp;NAME_BRANCH&amp;"  "&amp;POSITION_MENEGER_BRANCH&amp;" "&amp;SURNAME_MENEGER_BRANCH&amp;" "&amp;NAME_MENEGER_BRANCH&amp;" "&amp;FATHERNAME_MENEGER_BRANCH&amp;" "&amp;G_MENEGER_BRANCH&amp;"nun şəxsində digər tərəfdən, bundan sonra «Zamin» adlanacaq, "&amp;SURNAME_ZAMIN3&amp;" "&amp;NAME_ZAMIN3&amp;" "&amp;FATHERNAME_ZAMIN3&amp;" "&amp;G_ZAMIN3&amp;" və üçüncü tərəfdən bundan sonra «Borc alan» adlanacaq "&amp;SURNAME_KREDITOR&amp;" "&amp;NAME_KREDITOR&amp;" "&amp;FATHERNAME_KREDITOR&amp;" "&amp;G_KREDITOR&amp;"   aşağıdakı məzmunda və şərtlərlə bu müqaviləni bağladılar."</f>
        <v>Bir tərəfdən bundan sonra «Borc verən» adlanacaq, Azərbaycan Respublikasının Mərkəzi Bankı  tərəfindən  verilmiş  lisenziya və Nizamnamə əsasında fəaliyyət göstərən, Bank Olmayan Kredit Təşkilatı «Vijn Fond Azərkredit» MMC, Ağcabədi  Filialının  kredit meneceri Əhmədov  Bəhruz  Tofiq  oğlunun şəxsində digər tərəfdən, bundan sonra «Zamin» adlanacaq,    qızı və üçüncü tərəfdən bundan sonra «Borc alan» adlanacaq Həsənov Kənan Asdan qızı   aşağıdakı məzmunda və şərtlərlə bu müqaviləni bağladılar.</v>
      </c>
      <c r="B5" s="694"/>
      <c r="C5" s="694"/>
      <c r="D5" s="694"/>
      <c r="E5" s="694"/>
      <c r="F5" s="694"/>
      <c r="G5" s="694"/>
      <c r="H5" s="694"/>
      <c r="I5" s="694"/>
      <c r="J5" s="694"/>
      <c r="K5" s="694"/>
      <c r="L5" s="694"/>
      <c r="M5" s="694"/>
      <c r="N5" s="694"/>
      <c r="O5" s="694"/>
      <c r="P5" s="694"/>
      <c r="Q5" s="694"/>
      <c r="R5" s="694"/>
      <c r="S5" s="694"/>
      <c r="T5" s="694"/>
      <c r="U5" s="694"/>
      <c r="V5" s="694"/>
      <c r="W5" s="694"/>
      <c r="X5" s="694"/>
      <c r="Y5" s="694"/>
      <c r="Z5" s="694"/>
      <c r="AA5" s="694"/>
      <c r="AB5" s="694"/>
      <c r="AC5" s="694"/>
      <c r="AD5" s="694"/>
      <c r="AF5" s="701" t="s">
        <v>204</v>
      </c>
      <c r="AG5" s="701"/>
      <c r="AH5" s="694" t="s">
        <v>203</v>
      </c>
      <c r="AI5" s="694"/>
      <c r="AJ5" s="694"/>
      <c r="AK5" s="694"/>
      <c r="AL5" s="694"/>
      <c r="AM5" s="694"/>
      <c r="AN5" s="694"/>
      <c r="AO5" s="694"/>
      <c r="AP5" s="694"/>
      <c r="AQ5" s="694"/>
      <c r="AR5" s="694"/>
      <c r="AS5" s="694"/>
      <c r="AT5" s="694"/>
      <c r="AU5" s="694"/>
      <c r="AV5" s="694"/>
      <c r="AW5" s="694"/>
      <c r="AX5" s="694"/>
      <c r="AY5" s="694"/>
      <c r="AZ5" s="694"/>
      <c r="BA5" s="694"/>
      <c r="BB5" s="694"/>
      <c r="BC5" s="694"/>
      <c r="BD5" s="694"/>
      <c r="BE5" s="694"/>
      <c r="BF5" s="694"/>
      <c r="BG5" s="694"/>
      <c r="BH5" s="694"/>
      <c r="BI5" s="694"/>
      <c r="BJ5" s="694"/>
    </row>
    <row r="6" spans="1:62" ht="12" customHeight="1" x14ac:dyDescent="0.2">
      <c r="A6" s="694"/>
      <c r="B6" s="694"/>
      <c r="C6" s="694"/>
      <c r="D6" s="694"/>
      <c r="E6" s="694"/>
      <c r="F6" s="694"/>
      <c r="G6" s="694"/>
      <c r="H6" s="694"/>
      <c r="I6" s="694"/>
      <c r="J6" s="694"/>
      <c r="K6" s="694"/>
      <c r="L6" s="694"/>
      <c r="M6" s="694"/>
      <c r="N6" s="694"/>
      <c r="O6" s="694"/>
      <c r="P6" s="694"/>
      <c r="Q6" s="694"/>
      <c r="R6" s="694"/>
      <c r="S6" s="694"/>
      <c r="T6" s="694"/>
      <c r="U6" s="694"/>
      <c r="V6" s="694"/>
      <c r="W6" s="694"/>
      <c r="X6" s="694"/>
      <c r="Y6" s="694"/>
      <c r="Z6" s="694"/>
      <c r="AA6" s="694"/>
      <c r="AB6" s="694"/>
      <c r="AC6" s="694"/>
      <c r="AD6" s="694"/>
      <c r="AF6" s="701" t="s">
        <v>202</v>
      </c>
      <c r="AG6" s="701"/>
      <c r="AH6" s="694" t="s">
        <v>201</v>
      </c>
      <c r="AI6" s="694"/>
      <c r="AJ6" s="694"/>
      <c r="AK6" s="694"/>
      <c r="AL6" s="694"/>
      <c r="AM6" s="694"/>
      <c r="AN6" s="694"/>
      <c r="AO6" s="694"/>
      <c r="AP6" s="694"/>
      <c r="AQ6" s="694"/>
      <c r="AR6" s="694"/>
      <c r="AS6" s="694"/>
      <c r="AT6" s="694"/>
      <c r="AU6" s="694"/>
      <c r="AV6" s="694"/>
      <c r="AW6" s="694"/>
      <c r="AX6" s="694"/>
      <c r="AY6" s="694"/>
      <c r="AZ6" s="694"/>
      <c r="BA6" s="694"/>
      <c r="BB6" s="694"/>
      <c r="BC6" s="694"/>
      <c r="BD6" s="694"/>
      <c r="BE6" s="694"/>
      <c r="BF6" s="694"/>
      <c r="BG6" s="694"/>
      <c r="BH6" s="694"/>
      <c r="BI6" s="694"/>
      <c r="BJ6" s="694"/>
    </row>
    <row r="7" spans="1:62" ht="12" customHeight="1" x14ac:dyDescent="0.2">
      <c r="A7" s="694"/>
      <c r="B7" s="694"/>
      <c r="C7" s="694"/>
      <c r="D7" s="694"/>
      <c r="E7" s="694"/>
      <c r="F7" s="694"/>
      <c r="G7" s="694"/>
      <c r="H7" s="694"/>
      <c r="I7" s="694"/>
      <c r="J7" s="694"/>
      <c r="K7" s="694"/>
      <c r="L7" s="694"/>
      <c r="M7" s="694"/>
      <c r="N7" s="694"/>
      <c r="O7" s="694"/>
      <c r="P7" s="694"/>
      <c r="Q7" s="694"/>
      <c r="R7" s="694"/>
      <c r="S7" s="694"/>
      <c r="T7" s="694"/>
      <c r="U7" s="694"/>
      <c r="V7" s="694"/>
      <c r="W7" s="694"/>
      <c r="X7" s="694"/>
      <c r="Y7" s="694"/>
      <c r="Z7" s="694"/>
      <c r="AA7" s="694"/>
      <c r="AB7" s="694"/>
      <c r="AC7" s="694"/>
      <c r="AD7" s="694"/>
      <c r="AH7" s="694"/>
      <c r="AI7" s="694"/>
      <c r="AJ7" s="694"/>
      <c r="AK7" s="694"/>
      <c r="AL7" s="694"/>
      <c r="AM7" s="694"/>
      <c r="AN7" s="694"/>
      <c r="AO7" s="694"/>
      <c r="AP7" s="694"/>
      <c r="AQ7" s="694"/>
      <c r="AR7" s="694"/>
      <c r="AS7" s="694"/>
      <c r="AT7" s="694"/>
      <c r="AU7" s="694"/>
      <c r="AV7" s="694"/>
      <c r="AW7" s="694"/>
      <c r="AX7" s="694"/>
      <c r="AY7" s="694"/>
      <c r="AZ7" s="694"/>
      <c r="BA7" s="694"/>
      <c r="BB7" s="694"/>
      <c r="BC7" s="694"/>
      <c r="BD7" s="694"/>
      <c r="BE7" s="694"/>
      <c r="BF7" s="694"/>
      <c r="BG7" s="694"/>
      <c r="BH7" s="694"/>
      <c r="BI7" s="694"/>
      <c r="BJ7" s="694"/>
    </row>
    <row r="8" spans="1:62" ht="12" customHeight="1" x14ac:dyDescent="0.2">
      <c r="A8" s="694"/>
      <c r="B8" s="694"/>
      <c r="C8" s="694"/>
      <c r="D8" s="694"/>
      <c r="E8" s="694"/>
      <c r="F8" s="694"/>
      <c r="G8" s="694"/>
      <c r="H8" s="694"/>
      <c r="I8" s="694"/>
      <c r="J8" s="694"/>
      <c r="K8" s="694"/>
      <c r="L8" s="694"/>
      <c r="M8" s="694"/>
      <c r="N8" s="694"/>
      <c r="O8" s="694"/>
      <c r="P8" s="694"/>
      <c r="Q8" s="694"/>
      <c r="R8" s="694"/>
      <c r="S8" s="694"/>
      <c r="T8" s="694"/>
      <c r="U8" s="694"/>
      <c r="V8" s="694"/>
      <c r="W8" s="694"/>
      <c r="X8" s="694"/>
      <c r="Y8" s="694"/>
      <c r="Z8" s="694"/>
      <c r="AA8" s="694"/>
      <c r="AB8" s="694"/>
      <c r="AC8" s="694"/>
      <c r="AD8" s="694"/>
      <c r="AF8" s="699" t="s">
        <v>200</v>
      </c>
      <c r="AG8" s="699"/>
      <c r="AH8" s="694" t="s">
        <v>438</v>
      </c>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c r="BH8" s="694"/>
      <c r="BI8" s="694"/>
      <c r="BJ8" s="694"/>
    </row>
    <row r="9" spans="1:62" ht="12" customHeight="1" x14ac:dyDescent="0.2">
      <c r="A9" s="694"/>
      <c r="B9" s="694"/>
      <c r="C9" s="694"/>
      <c r="D9" s="694"/>
      <c r="E9" s="694"/>
      <c r="F9" s="694"/>
      <c r="G9" s="694"/>
      <c r="H9" s="694"/>
      <c r="I9" s="694"/>
      <c r="J9" s="694"/>
      <c r="K9" s="694"/>
      <c r="L9" s="694"/>
      <c r="M9" s="694"/>
      <c r="N9" s="694"/>
      <c r="O9" s="694"/>
      <c r="P9" s="694"/>
      <c r="Q9" s="694"/>
      <c r="R9" s="694"/>
      <c r="S9" s="694"/>
      <c r="T9" s="694"/>
      <c r="U9" s="694"/>
      <c r="V9" s="694"/>
      <c r="W9" s="694"/>
      <c r="X9" s="694"/>
      <c r="Y9" s="694"/>
      <c r="Z9" s="694"/>
      <c r="AA9" s="694"/>
      <c r="AB9" s="694"/>
      <c r="AC9" s="694"/>
      <c r="AD9" s="694"/>
    </row>
    <row r="10" spans="1:62" ht="12" customHeight="1" x14ac:dyDescent="0.2">
      <c r="A10" s="694"/>
      <c r="B10" s="694"/>
      <c r="C10" s="694"/>
      <c r="D10" s="694"/>
      <c r="E10" s="694"/>
      <c r="F10" s="694"/>
      <c r="G10" s="694"/>
      <c r="H10" s="694"/>
      <c r="I10" s="694"/>
      <c r="J10" s="694"/>
      <c r="K10" s="694"/>
      <c r="L10" s="694"/>
      <c r="M10" s="694"/>
      <c r="N10" s="694"/>
      <c r="O10" s="694"/>
      <c r="P10" s="694"/>
      <c r="Q10" s="694"/>
      <c r="R10" s="694"/>
      <c r="S10" s="694"/>
      <c r="T10" s="694"/>
      <c r="U10" s="694"/>
      <c r="V10" s="694"/>
      <c r="W10" s="694"/>
      <c r="X10" s="694"/>
      <c r="Y10" s="694"/>
      <c r="Z10" s="694"/>
      <c r="AA10" s="694"/>
      <c r="AB10" s="694"/>
      <c r="AC10" s="694"/>
      <c r="AD10" s="694"/>
      <c r="AF10" s="695" t="s">
        <v>439</v>
      </c>
      <c r="AG10" s="695"/>
      <c r="AH10" s="695"/>
      <c r="AI10" s="695"/>
      <c r="AJ10" s="695"/>
      <c r="AK10" s="695"/>
      <c r="AL10" s="695"/>
      <c r="AM10" s="695"/>
      <c r="AN10" s="695"/>
      <c r="AO10" s="695"/>
      <c r="AP10" s="695"/>
      <c r="AQ10" s="695"/>
      <c r="AR10" s="695"/>
      <c r="AS10" s="695"/>
      <c r="AT10" s="695"/>
      <c r="AU10" s="695"/>
      <c r="AV10" s="695"/>
      <c r="AW10" s="695"/>
      <c r="AX10" s="695"/>
      <c r="AY10" s="695"/>
      <c r="AZ10" s="695"/>
      <c r="BA10" s="695"/>
      <c r="BB10" s="695"/>
      <c r="BC10" s="695"/>
      <c r="BD10" s="695"/>
      <c r="BE10" s="695"/>
      <c r="BF10" s="695"/>
      <c r="BG10" s="695"/>
      <c r="BH10" s="695"/>
      <c r="BI10" s="695"/>
      <c r="BJ10" s="695"/>
    </row>
    <row r="11" spans="1:62" ht="12" customHeight="1" x14ac:dyDescent="0.2">
      <c r="A11" s="694"/>
      <c r="B11" s="694"/>
      <c r="C11" s="694"/>
      <c r="D11" s="694"/>
      <c r="E11" s="694"/>
      <c r="F11" s="694"/>
      <c r="G11" s="694"/>
      <c r="H11" s="694"/>
      <c r="I11" s="694"/>
      <c r="J11" s="694"/>
      <c r="K11" s="694"/>
      <c r="L11" s="694"/>
      <c r="M11" s="694"/>
      <c r="N11" s="694"/>
      <c r="O11" s="694"/>
      <c r="P11" s="694"/>
      <c r="Q11" s="694"/>
      <c r="R11" s="694"/>
      <c r="S11" s="694"/>
      <c r="T11" s="694"/>
      <c r="U11" s="694"/>
      <c r="V11" s="694"/>
      <c r="W11" s="694"/>
      <c r="X11" s="694"/>
      <c r="Y11" s="694"/>
      <c r="Z11" s="694"/>
      <c r="AA11" s="694"/>
      <c r="AB11" s="694"/>
      <c r="AC11" s="694"/>
      <c r="AD11" s="69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row>
    <row r="12" spans="1:62" ht="12" customHeight="1" x14ac:dyDescent="0.2">
      <c r="A12" s="695" t="s">
        <v>94</v>
      </c>
      <c r="B12" s="695"/>
      <c r="C12" s="695"/>
      <c r="D12" s="695"/>
      <c r="E12" s="695"/>
      <c r="F12" s="695"/>
      <c r="G12" s="695"/>
      <c r="H12" s="695"/>
      <c r="I12" s="695"/>
      <c r="J12" s="695"/>
      <c r="K12" s="695"/>
      <c r="L12" s="695"/>
      <c r="M12" s="695"/>
      <c r="N12" s="695"/>
      <c r="O12" s="695"/>
      <c r="P12" s="695"/>
      <c r="Q12" s="695"/>
      <c r="R12" s="695"/>
      <c r="S12" s="695"/>
      <c r="T12" s="695"/>
      <c r="U12" s="695"/>
      <c r="V12" s="695"/>
      <c r="W12" s="695"/>
      <c r="X12" s="695"/>
      <c r="Y12" s="695"/>
      <c r="Z12" s="695"/>
      <c r="AA12" s="695"/>
      <c r="AB12" s="695"/>
      <c r="AC12" s="695"/>
      <c r="AD12" s="695"/>
      <c r="AF12" s="701" t="s">
        <v>135</v>
      </c>
      <c r="AG12" s="701"/>
      <c r="AH12" s="694" t="s">
        <v>461</v>
      </c>
      <c r="AI12" s="694"/>
      <c r="AJ12" s="694"/>
      <c r="AK12" s="694"/>
      <c r="AL12" s="694"/>
      <c r="AM12" s="694"/>
      <c r="AN12" s="694"/>
      <c r="AO12" s="694"/>
      <c r="AP12" s="694"/>
      <c r="AQ12" s="694"/>
      <c r="AR12" s="694"/>
      <c r="AS12" s="694"/>
      <c r="AT12" s="694"/>
      <c r="AU12" s="694"/>
      <c r="AV12" s="694"/>
      <c r="AW12" s="694"/>
      <c r="AX12" s="694"/>
      <c r="AY12" s="694"/>
      <c r="AZ12" s="694"/>
      <c r="BA12" s="694"/>
      <c r="BB12" s="694"/>
      <c r="BC12" s="694"/>
      <c r="BD12" s="694"/>
      <c r="BE12" s="694"/>
      <c r="BF12" s="694"/>
      <c r="BG12" s="694"/>
      <c r="BH12" s="694"/>
      <c r="BI12" s="694"/>
      <c r="BJ12" s="694"/>
    </row>
    <row r="13" spans="1:62" ht="12" customHeight="1" x14ac:dyDescent="0.2">
      <c r="A13" s="98"/>
      <c r="AF13" s="114"/>
      <c r="AG13" s="114"/>
      <c r="AH13" s="694"/>
      <c r="AI13" s="694"/>
      <c r="AJ13" s="694"/>
      <c r="AK13" s="694"/>
      <c r="AL13" s="694"/>
      <c r="AM13" s="694"/>
      <c r="AN13" s="694"/>
      <c r="AO13" s="694"/>
      <c r="AP13" s="694"/>
      <c r="AQ13" s="694"/>
      <c r="AR13" s="694"/>
      <c r="AS13" s="694"/>
      <c r="AT13" s="694"/>
      <c r="AU13" s="694"/>
      <c r="AV13" s="694"/>
      <c r="AW13" s="694"/>
      <c r="AX13" s="694"/>
      <c r="AY13" s="694"/>
      <c r="AZ13" s="694"/>
      <c r="BA13" s="694"/>
      <c r="BB13" s="694"/>
      <c r="BC13" s="694"/>
      <c r="BD13" s="694"/>
      <c r="BE13" s="694"/>
      <c r="BF13" s="694"/>
      <c r="BG13" s="694"/>
      <c r="BH13" s="694"/>
      <c r="BI13" s="694"/>
      <c r="BJ13" s="694"/>
    </row>
    <row r="14" spans="1:62" ht="12" customHeight="1" x14ac:dyDescent="0.2">
      <c r="A14" s="701" t="s">
        <v>93</v>
      </c>
      <c r="B14" s="701"/>
      <c r="C14" s="694" t="s">
        <v>455</v>
      </c>
      <c r="D14" s="694"/>
      <c r="E14" s="694"/>
      <c r="F14" s="694"/>
      <c r="G14" s="694"/>
      <c r="H14" s="694"/>
      <c r="I14" s="694"/>
      <c r="J14" s="694"/>
      <c r="K14" s="694"/>
      <c r="L14" s="694"/>
      <c r="M14" s="694"/>
      <c r="N14" s="694"/>
      <c r="O14" s="694"/>
      <c r="P14" s="694"/>
      <c r="Q14" s="694"/>
      <c r="R14" s="694"/>
      <c r="S14" s="694"/>
      <c r="T14" s="694"/>
      <c r="U14" s="694"/>
      <c r="V14" s="694"/>
      <c r="W14" s="694"/>
      <c r="X14" s="694"/>
      <c r="Y14" s="694"/>
      <c r="Z14" s="694"/>
      <c r="AA14" s="694"/>
      <c r="AB14" s="694"/>
      <c r="AC14" s="694"/>
      <c r="AD14" s="694"/>
      <c r="AH14" s="694"/>
      <c r="AI14" s="694"/>
      <c r="AJ14" s="694"/>
      <c r="AK14" s="694"/>
      <c r="AL14" s="694"/>
      <c r="AM14" s="694"/>
      <c r="AN14" s="694"/>
      <c r="AO14" s="694"/>
      <c r="AP14" s="694"/>
      <c r="AQ14" s="694"/>
      <c r="AR14" s="694"/>
      <c r="AS14" s="694"/>
      <c r="AT14" s="694"/>
      <c r="AU14" s="694"/>
      <c r="AV14" s="694"/>
      <c r="AW14" s="694"/>
      <c r="AX14" s="694"/>
      <c r="AY14" s="694"/>
      <c r="AZ14" s="694"/>
      <c r="BA14" s="694"/>
      <c r="BB14" s="694"/>
      <c r="BC14" s="694"/>
      <c r="BD14" s="694"/>
      <c r="BE14" s="694"/>
      <c r="BF14" s="694"/>
      <c r="BG14" s="694"/>
      <c r="BH14" s="694"/>
      <c r="BI14" s="694"/>
      <c r="BJ14" s="694"/>
    </row>
    <row r="15" spans="1:62" ht="12" customHeight="1" x14ac:dyDescent="0.2">
      <c r="A15" s="114"/>
      <c r="B15" s="114"/>
      <c r="C15" s="694"/>
      <c r="D15" s="694"/>
      <c r="E15" s="694"/>
      <c r="F15" s="694"/>
      <c r="G15" s="694"/>
      <c r="H15" s="694"/>
      <c r="I15" s="694"/>
      <c r="J15" s="694"/>
      <c r="K15" s="694"/>
      <c r="L15" s="694"/>
      <c r="M15" s="694"/>
      <c r="N15" s="694"/>
      <c r="O15" s="694"/>
      <c r="P15" s="694"/>
      <c r="Q15" s="694"/>
      <c r="R15" s="694"/>
      <c r="S15" s="694"/>
      <c r="T15" s="694"/>
      <c r="U15" s="694"/>
      <c r="V15" s="694"/>
      <c r="W15" s="694"/>
      <c r="X15" s="694"/>
      <c r="Y15" s="694"/>
      <c r="Z15" s="694"/>
      <c r="AA15" s="694"/>
      <c r="AB15" s="694"/>
      <c r="AC15" s="694"/>
      <c r="AD15" s="694"/>
      <c r="AF15" s="701" t="s">
        <v>199</v>
      </c>
      <c r="AG15" s="701"/>
      <c r="AH15" s="694" t="str">
        <f>"«Zamin» bəyan edir ki, zaminliklə təmin edilmiş öhdəlik icra edilmədikdə və ya lazımınca icra edilmədikdə əsas borcun, faizlərin, dəbbə pulunun habelə  «Borc verən»in "&amp;"çəkmiş olduğu hər hansı digər xərc və zərərin əvəzinin ödənilməsi üzrə  «Borc verən» qarşısında  «Borc alan»la eyni həcmdə məsuliyyət daşıyır."</f>
        <v>«Zamin» bəyan edir ki, zaminliklə təmin edilmiş öhdəlik icra edilmədikdə və ya lazımınca icra edilmədikdə əsas borcun, faizlərin, dəbbə pulunun habelə  «Borc verən»in çəkmiş olduğu hər hansı digər xərc və zərərin əvəzinin ödənilməsi üzrə  «Borc verən» qarşısında  «Borc alan»la eyni həcmdə məsuliyyət daşıyır.</v>
      </c>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c r="BH15" s="694"/>
      <c r="BI15" s="694"/>
      <c r="BJ15" s="694"/>
    </row>
    <row r="16" spans="1:62" ht="12" customHeight="1" x14ac:dyDescent="0.2">
      <c r="A16" s="114"/>
      <c r="C16" s="694"/>
      <c r="D16" s="694"/>
      <c r="E16" s="694"/>
      <c r="F16" s="694"/>
      <c r="G16" s="694"/>
      <c r="H16" s="694"/>
      <c r="I16" s="694"/>
      <c r="J16" s="694"/>
      <c r="K16" s="694"/>
      <c r="L16" s="694"/>
      <c r="M16" s="694"/>
      <c r="N16" s="694"/>
      <c r="O16" s="694"/>
      <c r="P16" s="694"/>
      <c r="Q16" s="694"/>
      <c r="R16" s="694"/>
      <c r="S16" s="694"/>
      <c r="T16" s="694"/>
      <c r="U16" s="694"/>
      <c r="V16" s="694"/>
      <c r="W16" s="694"/>
      <c r="X16" s="694"/>
      <c r="Y16" s="694"/>
      <c r="Z16" s="694"/>
      <c r="AA16" s="694"/>
      <c r="AB16" s="694"/>
      <c r="AC16" s="694"/>
      <c r="AD16" s="694"/>
      <c r="AH16" s="694"/>
      <c r="AI16" s="694"/>
      <c r="AJ16" s="694"/>
      <c r="AK16" s="694"/>
      <c r="AL16" s="694"/>
      <c r="AM16" s="694"/>
      <c r="AN16" s="694"/>
      <c r="AO16" s="694"/>
      <c r="AP16" s="694"/>
      <c r="AQ16" s="694"/>
      <c r="AR16" s="694"/>
      <c r="AS16" s="694"/>
      <c r="AT16" s="694"/>
      <c r="AU16" s="694"/>
      <c r="AV16" s="694"/>
      <c r="AW16" s="694"/>
      <c r="AX16" s="694"/>
      <c r="AY16" s="694"/>
      <c r="AZ16" s="694"/>
      <c r="BA16" s="694"/>
      <c r="BB16" s="694"/>
      <c r="BC16" s="694"/>
      <c r="BD16" s="694"/>
      <c r="BE16" s="694"/>
      <c r="BF16" s="694"/>
      <c r="BG16" s="694"/>
      <c r="BH16" s="694"/>
      <c r="BI16" s="694"/>
      <c r="BJ16" s="694"/>
    </row>
    <row r="17" spans="1:62" ht="12" customHeight="1" x14ac:dyDescent="0.2">
      <c r="A17" s="114"/>
      <c r="C17" s="694"/>
      <c r="D17" s="694"/>
      <c r="E17" s="694"/>
      <c r="F17" s="694"/>
      <c r="G17" s="694"/>
      <c r="H17" s="694"/>
      <c r="I17" s="694"/>
      <c r="J17" s="694"/>
      <c r="K17" s="694"/>
      <c r="L17" s="694"/>
      <c r="M17" s="694"/>
      <c r="N17" s="694"/>
      <c r="O17" s="694"/>
      <c r="P17" s="694"/>
      <c r="Q17" s="694"/>
      <c r="R17" s="694"/>
      <c r="S17" s="694"/>
      <c r="T17" s="694"/>
      <c r="U17" s="694"/>
      <c r="V17" s="694"/>
      <c r="W17" s="694"/>
      <c r="X17" s="694"/>
      <c r="Y17" s="694"/>
      <c r="Z17" s="694"/>
      <c r="AA17" s="694"/>
      <c r="AB17" s="694"/>
      <c r="AC17" s="694"/>
      <c r="AD17" s="694"/>
      <c r="AH17" s="694"/>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c r="BH17" s="694"/>
      <c r="BI17" s="694"/>
      <c r="BJ17" s="694"/>
    </row>
    <row r="18" spans="1:62" ht="12" customHeight="1" x14ac:dyDescent="0.2">
      <c r="A18" s="701" t="s">
        <v>88</v>
      </c>
      <c r="B18" s="701"/>
      <c r="C18" s="698" t="str">
        <f>"«Borc alan» tərəfindən kredit öhdəliyi icra edilmədikdə və ya lazımınca icra edilmədikdə «Zamin» «Borc verən»in ilkin yazılı tələbi ilə kredit məbləğini (əsas borc), ona hesablanmış faiz və cərimə "&amp;"məbləğini o cümlədən borcun ödənilməsi üzrə çəkilmiş məhkəmə xərclərinin dərhal «Borc verən»ə ödənilməsini (qaytarılmasını) öz üzərinə götürür."</f>
        <v>«Borc alan» tərəfindən kredit öhdəliyi icra edilmədikdə və ya lazımınca icra edilmədikdə «Zamin» «Borc verən»in ilkin yazılı tələbi ilə kredit məbləğini (əsas borc), ona hesablanmış faiz və cərimə məbləğini o cümlədən borcun ödənilməsi üzrə çəkilmiş məhkəmə xərclərinin dərhal «Borc verən»ə ödənilməsini (qaytarılmasını) öz üzərinə götürür.</v>
      </c>
      <c r="D18" s="698"/>
      <c r="E18" s="698"/>
      <c r="F18" s="698"/>
      <c r="G18" s="698"/>
      <c r="H18" s="698"/>
      <c r="I18" s="698"/>
      <c r="J18" s="698"/>
      <c r="K18" s="698"/>
      <c r="L18" s="698"/>
      <c r="M18" s="698"/>
      <c r="N18" s="698"/>
      <c r="O18" s="698"/>
      <c r="P18" s="698"/>
      <c r="Q18" s="698"/>
      <c r="R18" s="698"/>
      <c r="S18" s="698"/>
      <c r="T18" s="698"/>
      <c r="U18" s="698"/>
      <c r="V18" s="698"/>
      <c r="W18" s="698"/>
      <c r="X18" s="698"/>
      <c r="Y18" s="698"/>
      <c r="Z18" s="698"/>
      <c r="AA18" s="698"/>
      <c r="AB18" s="698"/>
      <c r="AC18" s="698"/>
      <c r="AD18" s="698"/>
      <c r="AH18" s="694"/>
      <c r="AI18" s="694"/>
      <c r="AJ18" s="694"/>
      <c r="AK18" s="694"/>
      <c r="AL18" s="694"/>
      <c r="AM18" s="694"/>
      <c r="AN18" s="694"/>
      <c r="AO18" s="694"/>
      <c r="AP18" s="694"/>
      <c r="AQ18" s="694"/>
      <c r="AR18" s="694"/>
      <c r="AS18" s="694"/>
      <c r="AT18" s="694"/>
      <c r="AU18" s="694"/>
      <c r="AV18" s="694"/>
      <c r="AW18" s="694"/>
      <c r="AX18" s="694"/>
      <c r="AY18" s="694"/>
      <c r="AZ18" s="694"/>
      <c r="BA18" s="694"/>
      <c r="BB18" s="694"/>
      <c r="BC18" s="694"/>
      <c r="BD18" s="694"/>
      <c r="BE18" s="694"/>
      <c r="BF18" s="694"/>
      <c r="BG18" s="694"/>
      <c r="BH18" s="694"/>
      <c r="BI18" s="694"/>
      <c r="BJ18" s="694"/>
    </row>
    <row r="19" spans="1:62" ht="12" customHeight="1" x14ac:dyDescent="0.2">
      <c r="A19" s="128"/>
      <c r="B19" s="125"/>
      <c r="C19" s="698"/>
      <c r="D19" s="698"/>
      <c r="E19" s="698"/>
      <c r="F19" s="698"/>
      <c r="G19" s="698"/>
      <c r="H19" s="698"/>
      <c r="I19" s="698"/>
      <c r="J19" s="698"/>
      <c r="K19" s="698"/>
      <c r="L19" s="698"/>
      <c r="M19" s="698"/>
      <c r="N19" s="698"/>
      <c r="O19" s="698"/>
      <c r="P19" s="698"/>
      <c r="Q19" s="698"/>
      <c r="R19" s="698"/>
      <c r="S19" s="698"/>
      <c r="T19" s="698"/>
      <c r="U19" s="698"/>
      <c r="V19" s="698"/>
      <c r="W19" s="698"/>
      <c r="X19" s="698"/>
      <c r="Y19" s="698"/>
      <c r="Z19" s="698"/>
      <c r="AA19" s="698"/>
      <c r="AB19" s="698"/>
      <c r="AC19" s="698"/>
      <c r="AD19" s="698"/>
      <c r="AF19" s="701" t="s">
        <v>198</v>
      </c>
      <c r="AG19" s="701"/>
      <c r="AH19" s="694" t="s">
        <v>462</v>
      </c>
      <c r="AI19" s="694"/>
      <c r="AJ19" s="694"/>
      <c r="AK19" s="694"/>
      <c r="AL19" s="694"/>
      <c r="AM19" s="694"/>
      <c r="AN19" s="694"/>
      <c r="AO19" s="694"/>
      <c r="AP19" s="694"/>
      <c r="AQ19" s="694"/>
      <c r="AR19" s="694"/>
      <c r="AS19" s="694"/>
      <c r="AT19" s="694"/>
      <c r="AU19" s="694"/>
      <c r="AV19" s="694"/>
      <c r="AW19" s="694"/>
      <c r="AX19" s="694"/>
      <c r="AY19" s="694"/>
      <c r="AZ19" s="694"/>
      <c r="BA19" s="694"/>
      <c r="BB19" s="694"/>
      <c r="BC19" s="694"/>
      <c r="BD19" s="694"/>
      <c r="BE19" s="694"/>
      <c r="BF19" s="694"/>
      <c r="BG19" s="694"/>
      <c r="BH19" s="694"/>
      <c r="BI19" s="694"/>
      <c r="BJ19" s="694"/>
    </row>
    <row r="20" spans="1:62" ht="12" customHeight="1" x14ac:dyDescent="0.2">
      <c r="A20" s="128"/>
      <c r="B20" s="125"/>
      <c r="C20" s="698"/>
      <c r="D20" s="698"/>
      <c r="E20" s="698"/>
      <c r="F20" s="698"/>
      <c r="G20" s="698"/>
      <c r="H20" s="698"/>
      <c r="I20" s="698"/>
      <c r="J20" s="698"/>
      <c r="K20" s="698"/>
      <c r="L20" s="698"/>
      <c r="M20" s="698"/>
      <c r="N20" s="698"/>
      <c r="O20" s="698"/>
      <c r="P20" s="698"/>
      <c r="Q20" s="698"/>
      <c r="R20" s="698"/>
      <c r="S20" s="698"/>
      <c r="T20" s="698"/>
      <c r="U20" s="698"/>
      <c r="V20" s="698"/>
      <c r="W20" s="698"/>
      <c r="X20" s="698"/>
      <c r="Y20" s="698"/>
      <c r="Z20" s="698"/>
      <c r="AA20" s="698"/>
      <c r="AB20" s="698"/>
      <c r="AC20" s="698"/>
      <c r="AD20" s="698"/>
      <c r="AH20" s="694"/>
      <c r="AI20" s="694"/>
      <c r="AJ20" s="694"/>
      <c r="AK20" s="694"/>
      <c r="AL20" s="694"/>
      <c r="AM20" s="694"/>
      <c r="AN20" s="694"/>
      <c r="AO20" s="694"/>
      <c r="AP20" s="694"/>
      <c r="AQ20" s="694"/>
      <c r="AR20" s="694"/>
      <c r="AS20" s="694"/>
      <c r="AT20" s="694"/>
      <c r="AU20" s="694"/>
      <c r="AV20" s="694"/>
      <c r="AW20" s="694"/>
      <c r="AX20" s="694"/>
      <c r="AY20" s="694"/>
      <c r="AZ20" s="694"/>
      <c r="BA20" s="694"/>
      <c r="BB20" s="694"/>
      <c r="BC20" s="694"/>
      <c r="BD20" s="694"/>
      <c r="BE20" s="694"/>
      <c r="BF20" s="694"/>
      <c r="BG20" s="694"/>
      <c r="BH20" s="694"/>
      <c r="BI20" s="694"/>
      <c r="BJ20" s="694"/>
    </row>
    <row r="21" spans="1:62" ht="12" customHeight="1" x14ac:dyDescent="0.2">
      <c r="A21" s="114"/>
      <c r="B21" s="125"/>
      <c r="C21" s="698"/>
      <c r="D21" s="698"/>
      <c r="E21" s="698"/>
      <c r="F21" s="698"/>
      <c r="G21" s="698"/>
      <c r="H21" s="698"/>
      <c r="I21" s="698"/>
      <c r="J21" s="698"/>
      <c r="K21" s="698"/>
      <c r="L21" s="698"/>
      <c r="M21" s="698"/>
      <c r="N21" s="698"/>
      <c r="O21" s="698"/>
      <c r="P21" s="698"/>
      <c r="Q21" s="698"/>
      <c r="R21" s="698"/>
      <c r="S21" s="698"/>
      <c r="T21" s="698"/>
      <c r="U21" s="698"/>
      <c r="V21" s="698"/>
      <c r="W21" s="698"/>
      <c r="X21" s="698"/>
      <c r="Y21" s="698"/>
      <c r="Z21" s="698"/>
      <c r="AA21" s="698"/>
      <c r="AB21" s="698"/>
      <c r="AC21" s="698"/>
      <c r="AD21" s="698"/>
    </row>
    <row r="22" spans="1:62" ht="12" customHeight="1" x14ac:dyDescent="0.2">
      <c r="A22" s="128"/>
      <c r="B22" s="125"/>
      <c r="C22" s="698"/>
      <c r="D22" s="698"/>
      <c r="E22" s="698"/>
      <c r="F22" s="698"/>
      <c r="G22" s="698"/>
      <c r="H22" s="698"/>
      <c r="I22" s="698"/>
      <c r="J22" s="698"/>
      <c r="K22" s="698"/>
      <c r="L22" s="698"/>
      <c r="M22" s="698"/>
      <c r="N22" s="698"/>
      <c r="O22" s="698"/>
      <c r="P22" s="698"/>
      <c r="Q22" s="698"/>
      <c r="R22" s="698"/>
      <c r="S22" s="698"/>
      <c r="T22" s="698"/>
      <c r="U22" s="698"/>
      <c r="V22" s="698"/>
      <c r="W22" s="698"/>
      <c r="X22" s="698"/>
      <c r="Y22" s="698"/>
      <c r="Z22" s="698"/>
      <c r="AA22" s="698"/>
      <c r="AB22" s="698"/>
      <c r="AC22" s="698"/>
      <c r="AD22" s="698"/>
      <c r="AF22" s="695" t="s">
        <v>197</v>
      </c>
      <c r="AG22" s="695"/>
      <c r="AH22" s="695"/>
      <c r="AI22" s="695"/>
      <c r="AJ22" s="695"/>
      <c r="AK22" s="695"/>
      <c r="AL22" s="695"/>
      <c r="AM22" s="695"/>
      <c r="AN22" s="695"/>
      <c r="AO22" s="695"/>
      <c r="AP22" s="695"/>
      <c r="AQ22" s="695"/>
      <c r="AR22" s="695"/>
      <c r="AS22" s="695"/>
      <c r="AT22" s="695"/>
      <c r="AU22" s="695"/>
      <c r="AV22" s="695"/>
      <c r="AW22" s="695"/>
      <c r="AX22" s="695"/>
      <c r="AY22" s="695"/>
      <c r="AZ22" s="695"/>
      <c r="BA22" s="695"/>
      <c r="BB22" s="695"/>
      <c r="BC22" s="695"/>
      <c r="BD22" s="695"/>
      <c r="BE22" s="695"/>
      <c r="BF22" s="695"/>
      <c r="BG22" s="695"/>
      <c r="BH22" s="695"/>
      <c r="BI22" s="695"/>
      <c r="BJ22" s="695"/>
    </row>
    <row r="23" spans="1:62" ht="12" customHeight="1" x14ac:dyDescent="0.2">
      <c r="A23" s="772" t="s">
        <v>196</v>
      </c>
      <c r="B23" s="772"/>
      <c r="C23" s="694" t="str">
        <f>"Zaminliklə təmin edilən öhdəlik «Borc verən»lə «Borc alan» arasında bağlanmış "&amp;START_DATE_KREDIT_SOZLE&amp;" tarixli, "&amp;LD_NUM&amp;" saylı kredit müqaviləsindən irəli gələn öhdəlikdir."</f>
        <v>Zaminliklə təmin edilən öhdəlik «Borc verən»lə «Borc alan» arasında bağlanmış «31» İyul 2015-ci il tarixli, LD/15212/00143 saylı kredit müqaviləsindən irəli gələn öhdəlikdir.</v>
      </c>
      <c r="D23" s="694"/>
      <c r="E23" s="694"/>
      <c r="F23" s="694"/>
      <c r="G23" s="694"/>
      <c r="H23" s="694"/>
      <c r="I23" s="694"/>
      <c r="J23" s="694"/>
      <c r="K23" s="694"/>
      <c r="L23" s="694"/>
      <c r="M23" s="694"/>
      <c r="N23" s="694"/>
      <c r="O23" s="694"/>
      <c r="P23" s="694"/>
      <c r="Q23" s="694"/>
      <c r="R23" s="694"/>
      <c r="S23" s="694"/>
      <c r="T23" s="694"/>
      <c r="U23" s="694"/>
      <c r="V23" s="694"/>
      <c r="W23" s="694"/>
      <c r="X23" s="694"/>
      <c r="Y23" s="694"/>
      <c r="Z23" s="694"/>
      <c r="AA23" s="694"/>
      <c r="AB23" s="694"/>
      <c r="AC23" s="694"/>
      <c r="AD23" s="694"/>
    </row>
    <row r="24" spans="1:62" ht="12" customHeight="1" x14ac:dyDescent="0.2">
      <c r="A24" s="128"/>
      <c r="B24" s="128"/>
      <c r="C24" s="694"/>
      <c r="D24" s="694"/>
      <c r="E24" s="694"/>
      <c r="F24" s="694"/>
      <c r="G24" s="694"/>
      <c r="H24" s="694"/>
      <c r="I24" s="694"/>
      <c r="J24" s="694"/>
      <c r="K24" s="694"/>
      <c r="L24" s="694"/>
      <c r="M24" s="694"/>
      <c r="N24" s="694"/>
      <c r="O24" s="694"/>
      <c r="P24" s="694"/>
      <c r="Q24" s="694"/>
      <c r="R24" s="694"/>
      <c r="S24" s="694"/>
      <c r="T24" s="694"/>
      <c r="U24" s="694"/>
      <c r="V24" s="694"/>
      <c r="W24" s="694"/>
      <c r="X24" s="694"/>
      <c r="Y24" s="694"/>
      <c r="Z24" s="694"/>
      <c r="AA24" s="694"/>
      <c r="AB24" s="694"/>
      <c r="AC24" s="694"/>
      <c r="AD24" s="694"/>
      <c r="AF24" s="701" t="s">
        <v>195</v>
      </c>
      <c r="AG24" s="701"/>
      <c r="AH24" s="694" t="s">
        <v>194</v>
      </c>
      <c r="AI24" s="694"/>
      <c r="AJ24" s="694"/>
      <c r="AK24" s="694"/>
      <c r="AL24" s="694"/>
      <c r="AM24" s="694"/>
      <c r="AN24" s="694"/>
      <c r="AO24" s="694"/>
      <c r="AP24" s="694"/>
      <c r="AQ24" s="694"/>
      <c r="AR24" s="694"/>
      <c r="AS24" s="694"/>
      <c r="AT24" s="694"/>
      <c r="AU24" s="694"/>
      <c r="AV24" s="694"/>
      <c r="AW24" s="694"/>
      <c r="AX24" s="694"/>
      <c r="AY24" s="694"/>
      <c r="AZ24" s="694"/>
      <c r="BA24" s="694"/>
      <c r="BB24" s="694"/>
      <c r="BC24" s="694"/>
      <c r="BD24" s="694"/>
      <c r="BE24" s="694"/>
      <c r="BF24" s="694"/>
      <c r="BG24" s="694"/>
      <c r="BH24" s="694"/>
      <c r="BI24" s="694"/>
      <c r="BJ24" s="694"/>
    </row>
    <row r="25" spans="1:62" ht="12" customHeight="1" x14ac:dyDescent="0.2">
      <c r="A25" s="114"/>
      <c r="C25" s="694"/>
      <c r="D25" s="694"/>
      <c r="E25" s="694"/>
      <c r="F25" s="694"/>
      <c r="G25" s="694"/>
      <c r="H25" s="694"/>
      <c r="I25" s="694"/>
      <c r="J25" s="694"/>
      <c r="K25" s="694"/>
      <c r="L25" s="694"/>
      <c r="M25" s="694"/>
      <c r="N25" s="694"/>
      <c r="O25" s="694"/>
      <c r="P25" s="694"/>
      <c r="Q25" s="694"/>
      <c r="R25" s="694"/>
      <c r="S25" s="694"/>
      <c r="T25" s="694"/>
      <c r="U25" s="694"/>
      <c r="V25" s="694"/>
      <c r="W25" s="694"/>
      <c r="X25" s="694"/>
      <c r="Y25" s="694"/>
      <c r="Z25" s="694"/>
      <c r="AA25" s="694"/>
      <c r="AB25" s="694"/>
      <c r="AC25" s="694"/>
      <c r="AD25" s="694"/>
      <c r="AH25" s="694"/>
      <c r="AI25" s="694"/>
      <c r="AJ25" s="694"/>
      <c r="AK25" s="694"/>
      <c r="AL25" s="694"/>
      <c r="AM25" s="694"/>
      <c r="AN25" s="694"/>
      <c r="AO25" s="694"/>
      <c r="AP25" s="694"/>
      <c r="AQ25" s="694"/>
      <c r="AR25" s="694"/>
      <c r="AS25" s="694"/>
      <c r="AT25" s="694"/>
      <c r="AU25" s="694"/>
      <c r="AV25" s="694"/>
      <c r="AW25" s="694"/>
      <c r="AX25" s="694"/>
      <c r="AY25" s="694"/>
      <c r="AZ25" s="694"/>
      <c r="BA25" s="694"/>
      <c r="BB25" s="694"/>
      <c r="BC25" s="694"/>
      <c r="BD25" s="694"/>
      <c r="BE25" s="694"/>
      <c r="BF25" s="694"/>
      <c r="BG25" s="694"/>
      <c r="BH25" s="694"/>
      <c r="BI25" s="694"/>
      <c r="BJ25" s="694"/>
    </row>
    <row r="26" spans="1:62" ht="12" customHeight="1" x14ac:dyDescent="0.2">
      <c r="A26" s="772" t="s">
        <v>193</v>
      </c>
      <c r="B26" s="772"/>
      <c r="C26" s="698" t="s">
        <v>456</v>
      </c>
      <c r="D26" s="698"/>
      <c r="E26" s="698"/>
      <c r="F26" s="698"/>
      <c r="G26" s="698"/>
      <c r="H26" s="698"/>
      <c r="I26" s="698"/>
      <c r="J26" s="698"/>
      <c r="K26" s="698"/>
      <c r="L26" s="698"/>
      <c r="M26" s="698"/>
      <c r="N26" s="698"/>
      <c r="O26" s="698"/>
      <c r="P26" s="698"/>
      <c r="Q26" s="698"/>
      <c r="R26" s="698"/>
      <c r="S26" s="698"/>
      <c r="T26" s="698"/>
      <c r="U26" s="698"/>
      <c r="V26" s="698"/>
      <c r="W26" s="698"/>
      <c r="X26" s="698"/>
      <c r="Y26" s="698"/>
      <c r="Z26" s="698"/>
      <c r="AA26" s="698"/>
      <c r="AB26" s="698"/>
      <c r="AC26" s="698"/>
      <c r="AD26" s="698"/>
      <c r="AH26" s="694"/>
      <c r="AI26" s="694"/>
      <c r="AJ26" s="694"/>
      <c r="AK26" s="694"/>
      <c r="AL26" s="694"/>
      <c r="AM26" s="694"/>
      <c r="AN26" s="694"/>
      <c r="AO26" s="694"/>
      <c r="AP26" s="694"/>
      <c r="AQ26" s="694"/>
      <c r="AR26" s="694"/>
      <c r="AS26" s="694"/>
      <c r="AT26" s="694"/>
      <c r="AU26" s="694"/>
      <c r="AV26" s="694"/>
      <c r="AW26" s="694"/>
      <c r="AX26" s="694"/>
      <c r="AY26" s="694"/>
      <c r="AZ26" s="694"/>
      <c r="BA26" s="694"/>
      <c r="BB26" s="694"/>
      <c r="BC26" s="694"/>
      <c r="BD26" s="694"/>
      <c r="BE26" s="694"/>
      <c r="BF26" s="694"/>
      <c r="BG26" s="694"/>
      <c r="BH26" s="694"/>
      <c r="BI26" s="694"/>
      <c r="BJ26" s="694"/>
    </row>
    <row r="27" spans="1:62" ht="12" customHeight="1" x14ac:dyDescent="0.2">
      <c r="A27" s="114"/>
      <c r="C27" s="698"/>
      <c r="D27" s="698"/>
      <c r="E27" s="698"/>
      <c r="F27" s="698"/>
      <c r="G27" s="698"/>
      <c r="H27" s="698"/>
      <c r="I27" s="698"/>
      <c r="J27" s="698"/>
      <c r="K27" s="698"/>
      <c r="L27" s="698"/>
      <c r="M27" s="698"/>
      <c r="N27" s="698"/>
      <c r="O27" s="698"/>
      <c r="P27" s="698"/>
      <c r="Q27" s="698"/>
      <c r="R27" s="698"/>
      <c r="S27" s="698"/>
      <c r="T27" s="698"/>
      <c r="U27" s="698"/>
      <c r="V27" s="698"/>
      <c r="W27" s="698"/>
      <c r="X27" s="698"/>
      <c r="Y27" s="698"/>
      <c r="Z27" s="698"/>
      <c r="AA27" s="698"/>
      <c r="AB27" s="698"/>
      <c r="AC27" s="698"/>
      <c r="AD27" s="698"/>
      <c r="AF27" s="701" t="s">
        <v>116</v>
      </c>
      <c r="AG27" s="701"/>
      <c r="AH27" s="694" t="s">
        <v>192</v>
      </c>
      <c r="AI27" s="694"/>
      <c r="AJ27" s="694"/>
      <c r="AK27" s="694"/>
      <c r="AL27" s="694"/>
      <c r="AM27" s="694"/>
      <c r="AN27" s="694"/>
      <c r="AO27" s="694"/>
      <c r="AP27" s="694"/>
      <c r="AQ27" s="694"/>
      <c r="AR27" s="694"/>
      <c r="AS27" s="694"/>
      <c r="AT27" s="694"/>
      <c r="AU27" s="694"/>
      <c r="AV27" s="694"/>
      <c r="AW27" s="694"/>
      <c r="AX27" s="694"/>
      <c r="AY27" s="694"/>
      <c r="AZ27" s="694"/>
      <c r="BA27" s="694"/>
      <c r="BB27" s="694"/>
      <c r="BC27" s="694"/>
      <c r="BD27" s="694"/>
      <c r="BE27" s="694"/>
      <c r="BF27" s="694"/>
      <c r="BG27" s="694"/>
      <c r="BH27" s="694"/>
      <c r="BI27" s="694"/>
      <c r="BJ27" s="694"/>
    </row>
    <row r="28" spans="1:62" ht="12" customHeight="1" x14ac:dyDescent="0.2">
      <c r="A28" s="128"/>
      <c r="B28" s="125" t="s">
        <v>191</v>
      </c>
      <c r="C28" s="698"/>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H28" s="694"/>
      <c r="AI28" s="694"/>
      <c r="AJ28" s="694"/>
      <c r="AK28" s="694"/>
      <c r="AL28" s="694"/>
      <c r="AM28" s="694"/>
      <c r="AN28" s="694"/>
      <c r="AO28" s="694"/>
      <c r="AP28" s="694"/>
      <c r="AQ28" s="694"/>
      <c r="AR28" s="694"/>
      <c r="AS28" s="694"/>
      <c r="AT28" s="694"/>
      <c r="AU28" s="694"/>
      <c r="AV28" s="694"/>
      <c r="AW28" s="694"/>
      <c r="AX28" s="694"/>
      <c r="AY28" s="694"/>
      <c r="AZ28" s="694"/>
      <c r="BA28" s="694"/>
      <c r="BB28" s="694"/>
      <c r="BC28" s="694"/>
      <c r="BD28" s="694"/>
      <c r="BE28" s="694"/>
      <c r="BF28" s="694"/>
      <c r="BG28" s="694"/>
      <c r="BH28" s="694"/>
      <c r="BI28" s="694"/>
      <c r="BJ28" s="694"/>
    </row>
    <row r="29" spans="1:62" ht="12" customHeight="1" x14ac:dyDescent="0.2">
      <c r="A29" s="114"/>
      <c r="AC29" s="125"/>
      <c r="AF29" s="701" t="s">
        <v>82</v>
      </c>
      <c r="AG29" s="701"/>
      <c r="AH29" s="694" t="s">
        <v>190</v>
      </c>
      <c r="AI29" s="694"/>
      <c r="AJ29" s="694"/>
      <c r="AK29" s="694"/>
      <c r="AL29" s="694"/>
      <c r="AM29" s="694"/>
      <c r="AN29" s="694"/>
      <c r="AO29" s="694"/>
      <c r="AP29" s="694"/>
      <c r="AQ29" s="694"/>
      <c r="AR29" s="694"/>
      <c r="AS29" s="694"/>
      <c r="AT29" s="694"/>
      <c r="AU29" s="694"/>
      <c r="AV29" s="694"/>
      <c r="AW29" s="694"/>
      <c r="AX29" s="694"/>
      <c r="AY29" s="694"/>
      <c r="AZ29" s="694"/>
      <c r="BA29" s="694"/>
      <c r="BB29" s="694"/>
      <c r="BC29" s="694"/>
      <c r="BD29" s="694"/>
      <c r="BE29" s="694"/>
      <c r="BF29" s="694"/>
      <c r="BG29" s="694"/>
      <c r="BH29" s="694"/>
      <c r="BI29" s="694"/>
      <c r="BJ29" s="694"/>
    </row>
    <row r="30" spans="1:62" ht="12" customHeight="1" x14ac:dyDescent="0.2">
      <c r="A30" s="695" t="s">
        <v>189</v>
      </c>
      <c r="B30" s="695"/>
      <c r="C30" s="695"/>
      <c r="D30" s="695"/>
      <c r="E30" s="695"/>
      <c r="F30" s="695"/>
      <c r="G30" s="695"/>
      <c r="H30" s="695"/>
      <c r="I30" s="695"/>
      <c r="J30" s="695"/>
      <c r="K30" s="695"/>
      <c r="L30" s="695"/>
      <c r="M30" s="695"/>
      <c r="N30" s="695"/>
      <c r="O30" s="695"/>
      <c r="P30" s="695"/>
      <c r="Q30" s="695"/>
      <c r="R30" s="695"/>
      <c r="S30" s="695"/>
      <c r="T30" s="695"/>
      <c r="U30" s="695"/>
      <c r="V30" s="695"/>
      <c r="W30" s="695"/>
      <c r="X30" s="695"/>
      <c r="Y30" s="695"/>
      <c r="Z30" s="695"/>
      <c r="AA30" s="695"/>
      <c r="AB30" s="695"/>
      <c r="AC30" s="695"/>
      <c r="AD30" s="695"/>
      <c r="AH30" s="694"/>
      <c r="AI30" s="694"/>
      <c r="AJ30" s="694"/>
      <c r="AK30" s="694"/>
      <c r="AL30" s="694"/>
      <c r="AM30" s="694"/>
      <c r="AN30" s="694"/>
      <c r="AO30" s="694"/>
      <c r="AP30" s="694"/>
      <c r="AQ30" s="694"/>
      <c r="AR30" s="694"/>
      <c r="AS30" s="694"/>
      <c r="AT30" s="694"/>
      <c r="AU30" s="694"/>
      <c r="AV30" s="694"/>
      <c r="AW30" s="694"/>
      <c r="AX30" s="694"/>
      <c r="AY30" s="694"/>
      <c r="AZ30" s="694"/>
      <c r="BA30" s="694"/>
      <c r="BB30" s="694"/>
      <c r="BC30" s="694"/>
      <c r="BD30" s="694"/>
      <c r="BE30" s="694"/>
      <c r="BF30" s="694"/>
      <c r="BG30" s="694"/>
      <c r="BH30" s="694"/>
      <c r="BI30" s="694"/>
      <c r="BJ30" s="694"/>
    </row>
    <row r="31" spans="1:62" ht="12" customHeight="1" x14ac:dyDescent="0.2">
      <c r="A31" s="114"/>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row>
    <row r="32" spans="1:62" ht="12" customHeight="1" x14ac:dyDescent="0.2">
      <c r="A32" s="701" t="s">
        <v>73</v>
      </c>
      <c r="B32" s="701"/>
      <c r="C32" s="771" t="s">
        <v>187</v>
      </c>
      <c r="D32" s="771"/>
      <c r="E32" s="771"/>
      <c r="F32" s="771"/>
      <c r="G32" s="771"/>
      <c r="H32" s="771"/>
      <c r="I32" s="771"/>
      <c r="J32" s="771"/>
      <c r="K32" s="771"/>
      <c r="L32" s="771"/>
      <c r="M32" s="771"/>
      <c r="N32" s="771"/>
      <c r="O32" s="771"/>
      <c r="P32" s="771"/>
      <c r="Q32" s="771"/>
      <c r="R32" s="771"/>
      <c r="S32" s="771"/>
      <c r="T32" s="771"/>
      <c r="U32" s="771"/>
      <c r="V32" s="771"/>
      <c r="W32" s="771"/>
      <c r="X32" s="771"/>
      <c r="Y32" s="771"/>
      <c r="Z32" s="771"/>
      <c r="AA32" s="771"/>
      <c r="AB32" s="771"/>
      <c r="AC32" s="771"/>
      <c r="AD32" s="771"/>
      <c r="AF32" s="695" t="s">
        <v>188</v>
      </c>
      <c r="AG32" s="695"/>
      <c r="AH32" s="695"/>
      <c r="AI32" s="695"/>
      <c r="AJ32" s="695"/>
      <c r="AK32" s="695"/>
      <c r="AL32" s="695"/>
      <c r="AM32" s="695"/>
      <c r="AN32" s="695"/>
      <c r="AO32" s="695"/>
      <c r="AP32" s="695"/>
      <c r="AQ32" s="695"/>
      <c r="AR32" s="695"/>
      <c r="AS32" s="695"/>
      <c r="AT32" s="695"/>
      <c r="AU32" s="695"/>
      <c r="AV32" s="695"/>
      <c r="AW32" s="695"/>
      <c r="AX32" s="695"/>
      <c r="AY32" s="695"/>
      <c r="AZ32" s="695"/>
      <c r="BA32" s="695"/>
      <c r="BB32" s="695"/>
      <c r="BC32" s="695"/>
      <c r="BD32" s="695"/>
      <c r="BE32" s="695"/>
      <c r="BF32" s="695"/>
      <c r="BG32" s="695"/>
      <c r="BH32" s="695"/>
      <c r="BI32" s="695"/>
      <c r="BJ32" s="695"/>
    </row>
    <row r="33" spans="1:62" ht="12" customHeight="1" x14ac:dyDescent="0.2">
      <c r="A33" s="701" t="s">
        <v>186</v>
      </c>
      <c r="B33" s="701"/>
      <c r="C33" s="694" t="s">
        <v>185</v>
      </c>
      <c r="D33" s="694"/>
      <c r="E33" s="694"/>
      <c r="F33" s="694"/>
      <c r="G33" s="694"/>
      <c r="H33" s="694"/>
      <c r="I33" s="694"/>
      <c r="J33" s="694"/>
      <c r="K33" s="694"/>
      <c r="L33" s="694"/>
      <c r="M33" s="694"/>
      <c r="N33" s="694"/>
      <c r="O33" s="694"/>
      <c r="P33" s="694"/>
      <c r="Q33" s="694"/>
      <c r="R33" s="694"/>
      <c r="S33" s="694"/>
      <c r="T33" s="694"/>
      <c r="U33" s="694"/>
      <c r="V33" s="694"/>
      <c r="W33" s="694"/>
      <c r="X33" s="694"/>
      <c r="Y33" s="694"/>
      <c r="Z33" s="694"/>
      <c r="AA33" s="694"/>
      <c r="AB33" s="694"/>
      <c r="AC33" s="694"/>
      <c r="AD33" s="694"/>
    </row>
    <row r="34" spans="1:62" ht="12" customHeight="1" x14ac:dyDescent="0.2">
      <c r="A34" s="114"/>
      <c r="B34" s="114"/>
      <c r="C34" s="694"/>
      <c r="D34" s="694"/>
      <c r="E34" s="694"/>
      <c r="F34" s="694"/>
      <c r="G34" s="694"/>
      <c r="H34" s="694"/>
      <c r="I34" s="694"/>
      <c r="J34" s="694"/>
      <c r="K34" s="694"/>
      <c r="L34" s="694"/>
      <c r="M34" s="694"/>
      <c r="N34" s="694"/>
      <c r="O34" s="694"/>
      <c r="P34" s="694"/>
      <c r="Q34" s="694"/>
      <c r="R34" s="694"/>
      <c r="S34" s="694"/>
      <c r="T34" s="694"/>
      <c r="U34" s="694"/>
      <c r="V34" s="694"/>
      <c r="W34" s="694"/>
      <c r="X34" s="694"/>
      <c r="Y34" s="694"/>
      <c r="Z34" s="694"/>
      <c r="AA34" s="694"/>
      <c r="AB34" s="694"/>
      <c r="AC34" s="694"/>
      <c r="AD34" s="694"/>
      <c r="AF34" s="701" t="s">
        <v>48</v>
      </c>
      <c r="AG34" s="701"/>
      <c r="AH34" s="694" t="s">
        <v>463</v>
      </c>
      <c r="AI34" s="694"/>
      <c r="AJ34" s="694"/>
      <c r="AK34" s="694"/>
      <c r="AL34" s="694"/>
      <c r="AM34" s="694"/>
      <c r="AN34" s="694"/>
      <c r="AO34" s="694"/>
      <c r="AP34" s="694"/>
      <c r="AQ34" s="694"/>
      <c r="AR34" s="694"/>
      <c r="AS34" s="694"/>
      <c r="AT34" s="694"/>
      <c r="AU34" s="694"/>
      <c r="AV34" s="694"/>
      <c r="AW34" s="694"/>
      <c r="AX34" s="694"/>
      <c r="AY34" s="694"/>
      <c r="AZ34" s="694"/>
      <c r="BA34" s="694"/>
      <c r="BB34" s="694"/>
      <c r="BC34" s="694"/>
      <c r="BD34" s="694"/>
      <c r="BE34" s="694"/>
      <c r="BF34" s="694"/>
      <c r="BG34" s="694"/>
      <c r="BH34" s="694"/>
      <c r="BI34" s="694"/>
      <c r="BJ34" s="694"/>
    </row>
    <row r="35" spans="1:62" ht="12" customHeight="1" x14ac:dyDescent="0.2">
      <c r="A35" s="114"/>
      <c r="C35" s="694"/>
      <c r="D35" s="694"/>
      <c r="E35" s="694"/>
      <c r="F35" s="694"/>
      <c r="G35" s="694"/>
      <c r="H35" s="694"/>
      <c r="I35" s="694"/>
      <c r="J35" s="694"/>
      <c r="K35" s="694"/>
      <c r="L35" s="694"/>
      <c r="M35" s="694"/>
      <c r="N35" s="694"/>
      <c r="O35" s="694"/>
      <c r="P35" s="694"/>
      <c r="Q35" s="694"/>
      <c r="R35" s="694"/>
      <c r="S35" s="694"/>
      <c r="T35" s="694"/>
      <c r="U35" s="694"/>
      <c r="V35" s="694"/>
      <c r="W35" s="694"/>
      <c r="X35" s="694"/>
      <c r="Y35" s="694"/>
      <c r="Z35" s="694"/>
      <c r="AA35" s="694"/>
      <c r="AB35" s="694"/>
      <c r="AC35" s="694"/>
      <c r="AD35" s="694"/>
      <c r="AF35" s="114"/>
      <c r="AG35" s="114"/>
      <c r="AH35" s="694"/>
      <c r="AI35" s="694"/>
      <c r="AJ35" s="694"/>
      <c r="AK35" s="694"/>
      <c r="AL35" s="694"/>
      <c r="AM35" s="694"/>
      <c r="AN35" s="694"/>
      <c r="AO35" s="694"/>
      <c r="AP35" s="694"/>
      <c r="AQ35" s="694"/>
      <c r="AR35" s="694"/>
      <c r="AS35" s="694"/>
      <c r="AT35" s="694"/>
      <c r="AU35" s="694"/>
      <c r="AV35" s="694"/>
      <c r="AW35" s="694"/>
      <c r="AX35" s="694"/>
      <c r="AY35" s="694"/>
      <c r="AZ35" s="694"/>
      <c r="BA35" s="694"/>
      <c r="BB35" s="694"/>
      <c r="BC35" s="694"/>
      <c r="BD35" s="694"/>
      <c r="BE35" s="694"/>
      <c r="BF35" s="694"/>
      <c r="BG35" s="694"/>
      <c r="BH35" s="694"/>
      <c r="BI35" s="694"/>
      <c r="BJ35" s="694"/>
    </row>
    <row r="36" spans="1:62" ht="12" customHeight="1" x14ac:dyDescent="0.2">
      <c r="A36" s="114"/>
      <c r="C36" s="694"/>
      <c r="D36" s="694"/>
      <c r="E36" s="694"/>
      <c r="F36" s="694"/>
      <c r="G36" s="694"/>
      <c r="H36" s="694"/>
      <c r="I36" s="694"/>
      <c r="J36" s="694"/>
      <c r="K36" s="694"/>
      <c r="L36" s="694"/>
      <c r="M36" s="694"/>
      <c r="N36" s="694"/>
      <c r="O36" s="694"/>
      <c r="P36" s="694"/>
      <c r="Q36" s="694"/>
      <c r="R36" s="694"/>
      <c r="S36" s="694"/>
      <c r="T36" s="694"/>
      <c r="U36" s="694"/>
      <c r="V36" s="694"/>
      <c r="W36" s="694"/>
      <c r="X36" s="694"/>
      <c r="Y36" s="694"/>
      <c r="Z36" s="694"/>
      <c r="AA36" s="694"/>
      <c r="AB36" s="694"/>
      <c r="AC36" s="694"/>
      <c r="AD36" s="694"/>
      <c r="AH36" s="694"/>
      <c r="AI36" s="694"/>
      <c r="AJ36" s="694"/>
      <c r="AK36" s="694"/>
      <c r="AL36" s="694"/>
      <c r="AM36" s="694"/>
      <c r="AN36" s="694"/>
      <c r="AO36" s="694"/>
      <c r="AP36" s="694"/>
      <c r="AQ36" s="694"/>
      <c r="AR36" s="694"/>
      <c r="AS36" s="694"/>
      <c r="AT36" s="694"/>
      <c r="AU36" s="694"/>
      <c r="AV36" s="694"/>
      <c r="AW36" s="694"/>
      <c r="AX36" s="694"/>
      <c r="AY36" s="694"/>
      <c r="AZ36" s="694"/>
      <c r="BA36" s="694"/>
      <c r="BB36" s="694"/>
      <c r="BC36" s="694"/>
      <c r="BD36" s="694"/>
      <c r="BE36" s="694"/>
      <c r="BF36" s="694"/>
      <c r="BG36" s="694"/>
      <c r="BH36" s="694"/>
      <c r="BI36" s="694"/>
      <c r="BJ36" s="694"/>
    </row>
    <row r="37" spans="1:62" ht="12" customHeight="1" x14ac:dyDescent="0.2">
      <c r="A37" s="712" t="s">
        <v>183</v>
      </c>
      <c r="B37" s="712"/>
      <c r="C37" s="694" t="s">
        <v>182</v>
      </c>
      <c r="D37" s="694"/>
      <c r="E37" s="694"/>
      <c r="F37" s="694"/>
      <c r="G37" s="694"/>
      <c r="H37" s="694"/>
      <c r="I37" s="694"/>
      <c r="J37" s="694"/>
      <c r="K37" s="694"/>
      <c r="L37" s="694"/>
      <c r="M37" s="694"/>
      <c r="N37" s="694"/>
      <c r="O37" s="694"/>
      <c r="P37" s="694"/>
      <c r="Q37" s="694"/>
      <c r="R37" s="694"/>
      <c r="S37" s="694"/>
      <c r="T37" s="694"/>
      <c r="U37" s="694"/>
      <c r="V37" s="694"/>
      <c r="W37" s="694"/>
      <c r="X37" s="694"/>
      <c r="Y37" s="694"/>
      <c r="Z37" s="694"/>
      <c r="AA37" s="694"/>
      <c r="AB37" s="694"/>
      <c r="AC37" s="694"/>
      <c r="AD37" s="694"/>
      <c r="AF37" s="701" t="s">
        <v>184</v>
      </c>
      <c r="AG37" s="701"/>
      <c r="AH37" s="694" t="s">
        <v>427</v>
      </c>
      <c r="AI37" s="694"/>
      <c r="AJ37" s="694"/>
      <c r="AK37" s="694"/>
      <c r="AL37" s="694"/>
      <c r="AM37" s="694"/>
      <c r="AN37" s="694"/>
      <c r="AO37" s="694"/>
      <c r="AP37" s="694"/>
      <c r="AQ37" s="694"/>
      <c r="AR37" s="694"/>
      <c r="AS37" s="694"/>
      <c r="AT37" s="694"/>
      <c r="AU37" s="694"/>
      <c r="AV37" s="694"/>
      <c r="AW37" s="694"/>
      <c r="AX37" s="694"/>
      <c r="AY37" s="694"/>
      <c r="AZ37" s="694"/>
      <c r="BA37" s="694"/>
      <c r="BB37" s="694"/>
      <c r="BC37" s="694"/>
      <c r="BD37" s="694"/>
      <c r="BE37" s="694"/>
      <c r="BF37" s="694"/>
      <c r="BG37" s="694"/>
      <c r="BH37" s="694"/>
      <c r="BI37" s="694"/>
      <c r="BJ37" s="694"/>
    </row>
    <row r="38" spans="1:62" ht="12" customHeight="1" x14ac:dyDescent="0.2">
      <c r="A38" s="114"/>
      <c r="B38" s="114"/>
      <c r="C38" s="694"/>
      <c r="D38" s="694"/>
      <c r="E38" s="694"/>
      <c r="F38" s="694"/>
      <c r="G38" s="694"/>
      <c r="H38" s="694"/>
      <c r="I38" s="694"/>
      <c r="J38" s="694"/>
      <c r="K38" s="694"/>
      <c r="L38" s="694"/>
      <c r="M38" s="694"/>
      <c r="N38" s="694"/>
      <c r="O38" s="694"/>
      <c r="P38" s="694"/>
      <c r="Q38" s="694"/>
      <c r="R38" s="694"/>
      <c r="S38" s="694"/>
      <c r="T38" s="694"/>
      <c r="U38" s="694"/>
      <c r="V38" s="694"/>
      <c r="W38" s="694"/>
      <c r="X38" s="694"/>
      <c r="Y38" s="694"/>
      <c r="Z38" s="694"/>
      <c r="AA38" s="694"/>
      <c r="AB38" s="694"/>
      <c r="AC38" s="694"/>
      <c r="AD38" s="694"/>
      <c r="AF38" s="114"/>
      <c r="AG38" s="114"/>
      <c r="AH38" s="694"/>
      <c r="AI38" s="694"/>
      <c r="AJ38" s="694"/>
      <c r="AK38" s="694"/>
      <c r="AL38" s="694"/>
      <c r="AM38" s="694"/>
      <c r="AN38" s="694"/>
      <c r="AO38" s="694"/>
      <c r="AP38" s="694"/>
      <c r="AQ38" s="694"/>
      <c r="AR38" s="694"/>
      <c r="AS38" s="694"/>
      <c r="AT38" s="694"/>
      <c r="AU38" s="694"/>
      <c r="AV38" s="694"/>
      <c r="AW38" s="694"/>
      <c r="AX38" s="694"/>
      <c r="AY38" s="694"/>
      <c r="AZ38" s="694"/>
      <c r="BA38" s="694"/>
      <c r="BB38" s="694"/>
      <c r="BC38" s="694"/>
      <c r="BD38" s="694"/>
      <c r="BE38" s="694"/>
      <c r="BF38" s="694"/>
      <c r="BG38" s="694"/>
      <c r="BH38" s="694"/>
      <c r="BI38" s="694"/>
      <c r="BJ38" s="694"/>
    </row>
    <row r="39" spans="1:62" ht="12" customHeight="1" x14ac:dyDescent="0.2">
      <c r="A39" s="701" t="s">
        <v>181</v>
      </c>
      <c r="B39" s="701"/>
      <c r="C39" s="694" t="s">
        <v>457</v>
      </c>
      <c r="D39" s="694"/>
      <c r="E39" s="694"/>
      <c r="F39" s="694"/>
      <c r="G39" s="694"/>
      <c r="H39" s="694"/>
      <c r="I39" s="694"/>
      <c r="J39" s="694"/>
      <c r="K39" s="694"/>
      <c r="L39" s="694"/>
      <c r="M39" s="694"/>
      <c r="N39" s="694"/>
      <c r="O39" s="694"/>
      <c r="P39" s="694"/>
      <c r="Q39" s="694"/>
      <c r="R39" s="694"/>
      <c r="S39" s="694"/>
      <c r="T39" s="694"/>
      <c r="U39" s="694"/>
      <c r="V39" s="694"/>
      <c r="W39" s="694"/>
      <c r="X39" s="694"/>
      <c r="Y39" s="694"/>
      <c r="Z39" s="694"/>
      <c r="AA39" s="694"/>
      <c r="AB39" s="694"/>
      <c r="AC39" s="694"/>
      <c r="AD39" s="694"/>
      <c r="AH39" s="694"/>
      <c r="AI39" s="694"/>
      <c r="AJ39" s="694"/>
      <c r="AK39" s="694"/>
      <c r="AL39" s="694"/>
      <c r="AM39" s="694"/>
      <c r="AN39" s="694"/>
      <c r="AO39" s="694"/>
      <c r="AP39" s="694"/>
      <c r="AQ39" s="694"/>
      <c r="AR39" s="694"/>
      <c r="AS39" s="694"/>
      <c r="AT39" s="694"/>
      <c r="AU39" s="694"/>
      <c r="AV39" s="694"/>
      <c r="AW39" s="694"/>
      <c r="AX39" s="694"/>
      <c r="AY39" s="694"/>
      <c r="AZ39" s="694"/>
      <c r="BA39" s="694"/>
      <c r="BB39" s="694"/>
      <c r="BC39" s="694"/>
      <c r="BD39" s="694"/>
      <c r="BE39" s="694"/>
      <c r="BF39" s="694"/>
      <c r="BG39" s="694"/>
      <c r="BH39" s="694"/>
      <c r="BI39" s="694"/>
      <c r="BJ39" s="694"/>
    </row>
    <row r="40" spans="1:62" ht="12" customHeight="1" x14ac:dyDescent="0.2">
      <c r="A40" s="114"/>
      <c r="B40" s="114"/>
      <c r="C40" s="694"/>
      <c r="D40" s="694"/>
      <c r="E40" s="694"/>
      <c r="F40" s="694"/>
      <c r="G40" s="694"/>
      <c r="H40" s="694"/>
      <c r="I40" s="694"/>
      <c r="J40" s="694"/>
      <c r="K40" s="694"/>
      <c r="L40" s="694"/>
      <c r="M40" s="694"/>
      <c r="N40" s="694"/>
      <c r="O40" s="694"/>
      <c r="P40" s="694"/>
      <c r="Q40" s="694"/>
      <c r="R40" s="694"/>
      <c r="S40" s="694"/>
      <c r="T40" s="694"/>
      <c r="U40" s="694"/>
      <c r="V40" s="694"/>
      <c r="W40" s="694"/>
      <c r="X40" s="694"/>
      <c r="Y40" s="694"/>
      <c r="Z40" s="694"/>
      <c r="AA40" s="694"/>
      <c r="AB40" s="694"/>
      <c r="AC40" s="694"/>
      <c r="AD40" s="694"/>
      <c r="AF40" s="701" t="s">
        <v>180</v>
      </c>
      <c r="AG40" s="701"/>
      <c r="AH40" s="694" t="s">
        <v>179</v>
      </c>
      <c r="AI40" s="694"/>
      <c r="AJ40" s="694"/>
      <c r="AK40" s="694"/>
      <c r="AL40" s="694"/>
      <c r="AM40" s="694"/>
      <c r="AN40" s="694"/>
      <c r="AO40" s="694"/>
      <c r="AP40" s="694"/>
      <c r="AQ40" s="694"/>
      <c r="AR40" s="694"/>
      <c r="AS40" s="694"/>
      <c r="AT40" s="694"/>
      <c r="AU40" s="694"/>
      <c r="AV40" s="694"/>
      <c r="AW40" s="694"/>
      <c r="AX40" s="694"/>
      <c r="AY40" s="694"/>
      <c r="AZ40" s="694"/>
      <c r="BA40" s="694"/>
      <c r="BB40" s="694"/>
      <c r="BC40" s="694"/>
      <c r="BD40" s="694"/>
      <c r="BE40" s="694"/>
      <c r="BF40" s="694"/>
      <c r="BG40" s="694"/>
      <c r="BH40" s="694"/>
      <c r="BI40" s="694"/>
      <c r="BJ40" s="694"/>
    </row>
    <row r="41" spans="1:62" ht="12" customHeight="1" x14ac:dyDescent="0.2">
      <c r="A41" s="114"/>
      <c r="C41" s="694"/>
      <c r="D41" s="694"/>
      <c r="E41" s="694"/>
      <c r="F41" s="694"/>
      <c r="G41" s="694"/>
      <c r="H41" s="694"/>
      <c r="I41" s="694"/>
      <c r="J41" s="694"/>
      <c r="K41" s="694"/>
      <c r="L41" s="694"/>
      <c r="M41" s="694"/>
      <c r="N41" s="694"/>
      <c r="O41" s="694"/>
      <c r="P41" s="694"/>
      <c r="Q41" s="694"/>
      <c r="R41" s="694"/>
      <c r="S41" s="694"/>
      <c r="T41" s="694"/>
      <c r="U41" s="694"/>
      <c r="V41" s="694"/>
      <c r="W41" s="694"/>
      <c r="X41" s="694"/>
      <c r="Y41" s="694"/>
      <c r="Z41" s="694"/>
      <c r="AA41" s="694"/>
      <c r="AB41" s="694"/>
      <c r="AC41" s="694"/>
      <c r="AD41" s="694"/>
    </row>
    <row r="42" spans="1:62" ht="12" customHeight="1" x14ac:dyDescent="0.2">
      <c r="A42" s="701" t="s">
        <v>178</v>
      </c>
      <c r="B42" s="701"/>
      <c r="C42" s="704" t="s">
        <v>177</v>
      </c>
      <c r="D42" s="704"/>
      <c r="E42" s="704"/>
      <c r="F42" s="704"/>
      <c r="G42" s="704"/>
      <c r="H42" s="704"/>
      <c r="I42" s="704"/>
      <c r="J42" s="704"/>
      <c r="K42" s="704"/>
      <c r="L42" s="704"/>
      <c r="M42" s="704"/>
      <c r="N42" s="704"/>
      <c r="O42" s="704"/>
      <c r="P42" s="704"/>
      <c r="Q42" s="704"/>
      <c r="R42" s="704"/>
      <c r="S42" s="704"/>
      <c r="T42" s="704"/>
      <c r="U42" s="704"/>
      <c r="V42" s="704"/>
      <c r="W42" s="704"/>
      <c r="X42" s="704"/>
      <c r="Y42" s="704"/>
      <c r="Z42" s="704"/>
      <c r="AA42" s="704"/>
      <c r="AB42" s="704"/>
      <c r="AC42" s="704"/>
      <c r="AD42" s="704"/>
      <c r="AF42" s="695" t="s">
        <v>176</v>
      </c>
      <c r="AG42" s="695"/>
      <c r="AH42" s="695"/>
      <c r="AI42" s="695"/>
      <c r="AJ42" s="695"/>
      <c r="AK42" s="695"/>
      <c r="AL42" s="695"/>
      <c r="AM42" s="695"/>
      <c r="AN42" s="695"/>
      <c r="AO42" s="695"/>
      <c r="AP42" s="695"/>
      <c r="AQ42" s="695"/>
      <c r="AR42" s="695"/>
      <c r="AS42" s="695"/>
      <c r="AT42" s="695"/>
      <c r="AU42" s="695"/>
      <c r="AV42" s="695"/>
      <c r="AW42" s="695"/>
      <c r="AX42" s="695"/>
      <c r="AY42" s="695"/>
      <c r="AZ42" s="695"/>
      <c r="BA42" s="695"/>
      <c r="BB42" s="695"/>
      <c r="BC42" s="695"/>
      <c r="BD42" s="695"/>
      <c r="BE42" s="695"/>
      <c r="BF42" s="695"/>
      <c r="BG42" s="695"/>
      <c r="BH42" s="695"/>
      <c r="BI42" s="695"/>
      <c r="BJ42" s="695"/>
    </row>
    <row r="43" spans="1:62" ht="12" customHeight="1" x14ac:dyDescent="0.2">
      <c r="A43" s="699" t="s">
        <v>175</v>
      </c>
      <c r="B43" s="699"/>
      <c r="C43" s="694" t="s">
        <v>174</v>
      </c>
      <c r="D43" s="694"/>
      <c r="E43" s="694"/>
      <c r="F43" s="694"/>
      <c r="G43" s="694"/>
      <c r="H43" s="694"/>
      <c r="I43" s="694"/>
      <c r="J43" s="694"/>
      <c r="K43" s="694"/>
      <c r="L43" s="694"/>
      <c r="M43" s="694"/>
      <c r="N43" s="694"/>
      <c r="O43" s="694"/>
      <c r="P43" s="694"/>
      <c r="Q43" s="694"/>
      <c r="R43" s="694"/>
      <c r="S43" s="694"/>
      <c r="T43" s="694"/>
      <c r="U43" s="694"/>
      <c r="V43" s="694"/>
      <c r="W43" s="694"/>
      <c r="X43" s="694"/>
      <c r="Y43" s="694"/>
      <c r="Z43" s="694"/>
      <c r="AA43" s="694"/>
      <c r="AB43" s="694"/>
      <c r="AC43" s="694"/>
      <c r="AD43" s="694"/>
    </row>
    <row r="44" spans="1:62" ht="12" customHeight="1" x14ac:dyDescent="0.2">
      <c r="A44" s="115"/>
      <c r="B44" s="115"/>
      <c r="C44" s="694"/>
      <c r="D44" s="694"/>
      <c r="E44" s="694"/>
      <c r="F44" s="694"/>
      <c r="G44" s="694"/>
      <c r="H44" s="694"/>
      <c r="I44" s="694"/>
      <c r="J44" s="694"/>
      <c r="K44" s="694"/>
      <c r="L44" s="694"/>
      <c r="M44" s="694"/>
      <c r="N44" s="694"/>
      <c r="O44" s="694"/>
      <c r="P44" s="694"/>
      <c r="Q44" s="694"/>
      <c r="R44" s="694"/>
      <c r="S44" s="694"/>
      <c r="T44" s="694"/>
      <c r="U44" s="694"/>
      <c r="V44" s="694"/>
      <c r="W44" s="694"/>
      <c r="X44" s="694"/>
      <c r="Y44" s="694"/>
      <c r="Z44" s="694"/>
      <c r="AA44" s="694"/>
      <c r="AB44" s="694"/>
      <c r="AC44" s="694"/>
      <c r="AD44" s="694"/>
      <c r="AF44" s="701" t="s">
        <v>45</v>
      </c>
      <c r="AG44" s="701"/>
      <c r="AH44" s="694" t="str">
        <f>"Bu müqavilə Azərbaycan dilində 3 (üç) nüsxədə tərtib olunmuşdur. Nüsxələrdən biri  «Borc verən»də, biri «Borc alan»da, digəri isə «Zamin»da saxlanılır."</f>
        <v>Bu müqavilə Azərbaycan dilində 3 (üç) nüsxədə tərtib olunmuşdur. Nüsxələrdən biri  «Borc verən»də, biri «Borc alan»da, digəri isə «Zamin»da saxlanılır.</v>
      </c>
      <c r="AI44" s="694"/>
      <c r="AJ44" s="694"/>
      <c r="AK44" s="694"/>
      <c r="AL44" s="694"/>
      <c r="AM44" s="694"/>
      <c r="AN44" s="694"/>
      <c r="AO44" s="694"/>
      <c r="AP44" s="694"/>
      <c r="AQ44" s="694"/>
      <c r="AR44" s="694"/>
      <c r="AS44" s="694"/>
      <c r="AT44" s="694"/>
      <c r="AU44" s="694"/>
      <c r="AV44" s="694"/>
      <c r="AW44" s="694"/>
      <c r="AX44" s="694"/>
      <c r="AY44" s="694"/>
      <c r="AZ44" s="694"/>
      <c r="BA44" s="694"/>
      <c r="BB44" s="694"/>
      <c r="BC44" s="694"/>
      <c r="BD44" s="694"/>
      <c r="BE44" s="694"/>
      <c r="BF44" s="694"/>
      <c r="BG44" s="694"/>
      <c r="BH44" s="694"/>
      <c r="BI44" s="694"/>
      <c r="BJ44" s="694"/>
    </row>
    <row r="45" spans="1:62" ht="12" customHeight="1" x14ac:dyDescent="0.2">
      <c r="A45" s="701" t="s">
        <v>173</v>
      </c>
      <c r="B45" s="701"/>
      <c r="C45" s="694" t="str">
        <f>"Zaminliklə təmin edilmiş öhdəlik icra edilmədikdə və ya lazımınca icra edilmədikdə  «Borc verən»in ilk tələbi ilə heç bir etiraz etmədən kredit məbləğini, hesablanmış faizləri, "&amp;"dəbbə pulunu, habelə  «Borc verən»in çəkmiş olduğu hər hansı digər xərc və zərəri 3 (üç) iş günü ərzində tamamilə ödəmək;"</f>
        <v>Zaminliklə təmin edilmiş öhdəlik icra edilmədikdə və ya lazımınca icra edilmədikdə  «Borc verən»in ilk tələbi ilə heç bir etiraz etmədən kredit məbləğini, hesablanmış faizləri, dəbbə pulunu, habelə  «Borc verən»in çəkmiş olduğu hər hansı digər xərc və zərəri 3 (üç) iş günü ərzində tamamilə ödəmək;</v>
      </c>
      <c r="D45" s="694"/>
      <c r="E45" s="694"/>
      <c r="F45" s="694"/>
      <c r="G45" s="694"/>
      <c r="H45" s="694"/>
      <c r="I45" s="694"/>
      <c r="J45" s="694"/>
      <c r="K45" s="694"/>
      <c r="L45" s="694"/>
      <c r="M45" s="694"/>
      <c r="N45" s="694"/>
      <c r="O45" s="694"/>
      <c r="P45" s="694"/>
      <c r="Q45" s="694"/>
      <c r="R45" s="694"/>
      <c r="S45" s="694"/>
      <c r="T45" s="694"/>
      <c r="U45" s="694"/>
      <c r="V45" s="694"/>
      <c r="W45" s="694"/>
      <c r="X45" s="694"/>
      <c r="Y45" s="694"/>
      <c r="Z45" s="694"/>
      <c r="AA45" s="694"/>
      <c r="AB45" s="694"/>
      <c r="AC45" s="694"/>
      <c r="AD45" s="694"/>
      <c r="AH45" s="694"/>
      <c r="AI45" s="694"/>
      <c r="AJ45" s="694"/>
      <c r="AK45" s="694"/>
      <c r="AL45" s="694"/>
      <c r="AM45" s="694"/>
      <c r="AN45" s="694"/>
      <c r="AO45" s="694"/>
      <c r="AP45" s="694"/>
      <c r="AQ45" s="694"/>
      <c r="AR45" s="694"/>
      <c r="AS45" s="694"/>
      <c r="AT45" s="694"/>
      <c r="AU45" s="694"/>
      <c r="AV45" s="694"/>
      <c r="AW45" s="694"/>
      <c r="AX45" s="694"/>
      <c r="AY45" s="694"/>
      <c r="AZ45" s="694"/>
      <c r="BA45" s="694"/>
      <c r="BB45" s="694"/>
      <c r="BC45" s="694"/>
      <c r="BD45" s="694"/>
      <c r="BE45" s="694"/>
      <c r="BF45" s="694"/>
      <c r="BG45" s="694"/>
      <c r="BH45" s="694"/>
      <c r="BI45" s="694"/>
      <c r="BJ45" s="694"/>
    </row>
    <row r="46" spans="1:62" ht="12" customHeight="1" x14ac:dyDescent="0.2">
      <c r="A46" s="11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694"/>
      <c r="AF46" s="701" t="s">
        <v>172</v>
      </c>
      <c r="AG46" s="701"/>
      <c r="AH46" s="694" t="s">
        <v>171</v>
      </c>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c r="BH46" s="694"/>
      <c r="BI46" s="694"/>
      <c r="BJ46" s="694"/>
    </row>
    <row r="47" spans="1:62" ht="12" customHeight="1" x14ac:dyDescent="0.2">
      <c r="A47" s="114"/>
      <c r="C47" s="694"/>
      <c r="D47" s="694"/>
      <c r="E47" s="694"/>
      <c r="F47" s="694"/>
      <c r="G47" s="694"/>
      <c r="H47" s="694"/>
      <c r="I47" s="694"/>
      <c r="J47" s="694"/>
      <c r="K47" s="694"/>
      <c r="L47" s="694"/>
      <c r="M47" s="694"/>
      <c r="N47" s="694"/>
      <c r="O47" s="694"/>
      <c r="P47" s="694"/>
      <c r="Q47" s="694"/>
      <c r="R47" s="694"/>
      <c r="S47" s="694"/>
      <c r="T47" s="694"/>
      <c r="U47" s="694"/>
      <c r="V47" s="694"/>
      <c r="W47" s="694"/>
      <c r="X47" s="694"/>
      <c r="Y47" s="694"/>
      <c r="Z47" s="694"/>
      <c r="AA47" s="694"/>
      <c r="AB47" s="694"/>
      <c r="AC47" s="694"/>
      <c r="AD47" s="694"/>
      <c r="AH47" s="694"/>
      <c r="AI47" s="694"/>
      <c r="AJ47" s="694"/>
      <c r="AK47" s="694"/>
      <c r="AL47" s="694"/>
      <c r="AM47" s="694"/>
      <c r="AN47" s="694"/>
      <c r="AO47" s="694"/>
      <c r="AP47" s="694"/>
      <c r="AQ47" s="694"/>
      <c r="AR47" s="694"/>
      <c r="AS47" s="694"/>
      <c r="AT47" s="694"/>
      <c r="AU47" s="694"/>
      <c r="AV47" s="694"/>
      <c r="AW47" s="694"/>
      <c r="AX47" s="694"/>
      <c r="AY47" s="694"/>
      <c r="AZ47" s="694"/>
      <c r="BA47" s="694"/>
      <c r="BB47" s="694"/>
      <c r="BC47" s="694"/>
      <c r="BD47" s="694"/>
      <c r="BE47" s="694"/>
      <c r="BF47" s="694"/>
      <c r="BG47" s="694"/>
      <c r="BH47" s="694"/>
      <c r="BI47" s="694"/>
      <c r="BJ47" s="694"/>
    </row>
    <row r="48" spans="1:62" ht="12" customHeight="1" x14ac:dyDescent="0.2">
      <c r="A48" s="114"/>
      <c r="C48" s="694"/>
      <c r="D48" s="694"/>
      <c r="E48" s="694"/>
      <c r="F48" s="694"/>
      <c r="G48" s="694"/>
      <c r="H48" s="694"/>
      <c r="I48" s="694"/>
      <c r="J48" s="694"/>
      <c r="K48" s="694"/>
      <c r="L48" s="694"/>
      <c r="M48" s="694"/>
      <c r="N48" s="694"/>
      <c r="O48" s="694"/>
      <c r="P48" s="694"/>
      <c r="Q48" s="694"/>
      <c r="R48" s="694"/>
      <c r="S48" s="694"/>
      <c r="T48" s="694"/>
      <c r="U48" s="694"/>
      <c r="V48" s="694"/>
      <c r="W48" s="694"/>
      <c r="X48" s="694"/>
      <c r="Y48" s="694"/>
      <c r="Z48" s="694"/>
      <c r="AA48" s="694"/>
      <c r="AB48" s="694"/>
      <c r="AC48" s="694"/>
      <c r="AD48" s="694"/>
      <c r="AH48" s="694"/>
      <c r="AI48" s="694"/>
      <c r="AJ48" s="694"/>
      <c r="AK48" s="694"/>
      <c r="AL48" s="694"/>
      <c r="AM48" s="694"/>
      <c r="AN48" s="694"/>
      <c r="AO48" s="694"/>
      <c r="AP48" s="694"/>
      <c r="AQ48" s="694"/>
      <c r="AR48" s="694"/>
      <c r="AS48" s="694"/>
      <c r="AT48" s="694"/>
      <c r="AU48" s="694"/>
      <c r="AV48" s="694"/>
      <c r="AW48" s="694"/>
      <c r="AX48" s="694"/>
      <c r="AY48" s="694"/>
      <c r="AZ48" s="694"/>
      <c r="BA48" s="694"/>
      <c r="BB48" s="694"/>
      <c r="BC48" s="694"/>
      <c r="BD48" s="694"/>
      <c r="BE48" s="694"/>
      <c r="BF48" s="694"/>
      <c r="BG48" s="694"/>
      <c r="BH48" s="694"/>
      <c r="BI48" s="694"/>
      <c r="BJ48" s="694"/>
    </row>
    <row r="49" spans="1:62" ht="12" customHeight="1" x14ac:dyDescent="0.2">
      <c r="A49" s="699" t="s">
        <v>170</v>
      </c>
      <c r="B49" s="699"/>
      <c r="C49" s="694" t="s">
        <v>458</v>
      </c>
      <c r="D49" s="694"/>
      <c r="E49" s="694"/>
      <c r="F49" s="694"/>
      <c r="G49" s="694"/>
      <c r="H49" s="694"/>
      <c r="I49" s="694"/>
      <c r="J49" s="694"/>
      <c r="K49" s="694"/>
      <c r="L49" s="694"/>
      <c r="M49" s="694"/>
      <c r="N49" s="694"/>
      <c r="O49" s="694"/>
      <c r="P49" s="694"/>
      <c r="Q49" s="694"/>
      <c r="R49" s="694"/>
      <c r="S49" s="694"/>
      <c r="T49" s="694"/>
      <c r="U49" s="694"/>
      <c r="V49" s="694"/>
      <c r="W49" s="694"/>
      <c r="X49" s="694"/>
      <c r="Y49" s="694"/>
      <c r="Z49" s="694"/>
      <c r="AA49" s="694"/>
      <c r="AB49" s="694"/>
      <c r="AC49" s="694"/>
      <c r="AD49" s="694"/>
      <c r="AF49" s="97"/>
      <c r="AG49" s="97"/>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7"/>
    </row>
    <row r="50" spans="1:62" ht="12" customHeight="1" x14ac:dyDescent="0.2">
      <c r="A50" s="114"/>
      <c r="AF50" s="97"/>
      <c r="AG50" s="97"/>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148"/>
      <c r="BJ50" s="87"/>
    </row>
    <row r="51" spans="1:62" ht="12" customHeight="1" x14ac:dyDescent="0.2">
      <c r="A51" s="711" t="s">
        <v>35</v>
      </c>
      <c r="B51" s="711"/>
      <c r="C51" s="711"/>
      <c r="D51" s="711"/>
      <c r="E51" s="711"/>
      <c r="F51" s="711"/>
      <c r="G51" s="711"/>
      <c r="H51" s="711"/>
      <c r="I51" s="711"/>
      <c r="J51" s="711"/>
      <c r="K51" s="711"/>
      <c r="L51" s="711"/>
      <c r="M51" s="711"/>
      <c r="N51" s="711"/>
      <c r="O51" s="711"/>
      <c r="P51" s="711"/>
      <c r="Q51" s="711"/>
      <c r="R51" s="711"/>
      <c r="S51" s="711"/>
      <c r="T51" s="711"/>
      <c r="U51" s="711"/>
      <c r="V51" s="711"/>
      <c r="W51" s="711"/>
      <c r="X51" s="711"/>
      <c r="Y51" s="711"/>
      <c r="Z51" s="711"/>
      <c r="AA51" s="711"/>
      <c r="AB51" s="711"/>
      <c r="AC51" s="711"/>
      <c r="AD51" s="711"/>
      <c r="AE51" s="711"/>
      <c r="AF51" s="711"/>
      <c r="AG51" s="711"/>
      <c r="AH51" s="711"/>
      <c r="AI51" s="711"/>
      <c r="AJ51" s="711"/>
      <c r="AK51" s="711"/>
      <c r="AL51" s="711"/>
      <c r="AM51" s="711"/>
      <c r="AN51" s="711"/>
      <c r="AO51" s="711"/>
      <c r="AP51" s="711"/>
      <c r="AQ51" s="711"/>
      <c r="AR51" s="711"/>
      <c r="AS51" s="711"/>
      <c r="AT51" s="711"/>
      <c r="AU51" s="711"/>
      <c r="AV51" s="711"/>
      <c r="AW51" s="711"/>
      <c r="AX51" s="711"/>
      <c r="AY51" s="711"/>
      <c r="AZ51" s="711"/>
      <c r="BA51" s="711"/>
      <c r="BB51" s="711"/>
      <c r="BC51" s="711"/>
      <c r="BD51" s="711"/>
      <c r="BE51" s="711"/>
      <c r="BF51" s="711"/>
      <c r="BG51" s="711"/>
      <c r="BH51" s="711"/>
      <c r="BI51" s="711"/>
      <c r="BJ51" s="711"/>
    </row>
    <row r="52" spans="1:62" ht="12" customHeight="1" x14ac:dyDescent="0.2">
      <c r="A52" s="112"/>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row>
    <row r="53" spans="1:62" ht="12" customHeight="1" x14ac:dyDescent="0.2">
      <c r="A53" s="757" t="s">
        <v>867</v>
      </c>
      <c r="B53" s="757"/>
      <c r="C53" s="757"/>
      <c r="D53" s="757"/>
      <c r="E53" s="757"/>
      <c r="F53" s="757"/>
      <c r="G53" s="757"/>
      <c r="H53" s="757"/>
      <c r="I53" s="757"/>
      <c r="J53" s="757"/>
      <c r="K53" s="757"/>
      <c r="L53" s="757"/>
      <c r="M53" s="757"/>
      <c r="N53" s="757"/>
      <c r="O53" s="757"/>
      <c r="P53" s="757"/>
      <c r="Q53" s="757" t="s">
        <v>861</v>
      </c>
      <c r="R53" s="757"/>
      <c r="S53" s="757"/>
      <c r="T53" s="757"/>
      <c r="U53" s="757"/>
      <c r="V53" s="757"/>
      <c r="W53" s="757"/>
      <c r="X53" s="757"/>
      <c r="Y53" s="757"/>
      <c r="Z53" s="757"/>
      <c r="AA53" s="757"/>
      <c r="AB53" s="757"/>
      <c r="AC53" s="757"/>
      <c r="AD53" s="757"/>
      <c r="AE53" s="757"/>
      <c r="AF53" s="757"/>
      <c r="AG53" s="757"/>
      <c r="AH53" s="757"/>
      <c r="AI53" s="757"/>
      <c r="AJ53" s="757"/>
      <c r="AK53" s="757"/>
      <c r="AL53" s="764"/>
      <c r="AM53" s="764" t="s">
        <v>871</v>
      </c>
      <c r="AN53" s="768"/>
      <c r="AO53" s="768"/>
      <c r="AP53" s="768"/>
      <c r="AQ53" s="768"/>
      <c r="AR53" s="768"/>
      <c r="AS53" s="768"/>
      <c r="AT53" s="768"/>
      <c r="AU53" s="768"/>
      <c r="AV53" s="768"/>
      <c r="AW53" s="768"/>
      <c r="AX53" s="768"/>
      <c r="AY53" s="768"/>
      <c r="AZ53" s="768"/>
      <c r="BA53" s="768"/>
      <c r="BB53" s="768"/>
      <c r="BC53" s="768"/>
      <c r="BD53" s="768"/>
      <c r="BE53" s="768"/>
      <c r="BF53" s="768"/>
      <c r="BG53" s="768"/>
      <c r="BH53" s="769"/>
      <c r="BI53" s="121"/>
      <c r="BJ53" s="150"/>
    </row>
    <row r="54" spans="1:62" s="125" customFormat="1" ht="12" customHeight="1" x14ac:dyDescent="0.2">
      <c r="A54" s="129"/>
      <c r="B54" s="128"/>
      <c r="C54" s="128"/>
      <c r="D54" s="128"/>
      <c r="E54" s="128"/>
      <c r="F54" s="128"/>
      <c r="G54" s="128"/>
      <c r="H54" s="128"/>
      <c r="I54" s="128"/>
      <c r="J54" s="128"/>
      <c r="K54" s="128"/>
      <c r="L54" s="128"/>
      <c r="M54" s="128"/>
      <c r="N54" s="128"/>
      <c r="O54" s="128"/>
      <c r="P54" s="128"/>
      <c r="Q54" s="130"/>
      <c r="R54" s="131"/>
      <c r="S54" s="131"/>
      <c r="T54" s="131"/>
      <c r="U54" s="131"/>
      <c r="V54" s="131"/>
      <c r="W54" s="131"/>
      <c r="X54" s="131"/>
      <c r="Y54" s="131"/>
      <c r="Z54" s="131"/>
      <c r="AA54" s="131"/>
      <c r="AB54" s="131"/>
      <c r="AC54" s="131"/>
      <c r="AD54" s="131"/>
      <c r="AE54" s="131"/>
      <c r="AF54" s="131"/>
      <c r="AG54" s="131"/>
      <c r="AH54" s="131"/>
      <c r="AI54" s="131"/>
      <c r="AJ54" s="131"/>
      <c r="AK54" s="131"/>
      <c r="AL54" s="131"/>
      <c r="AM54" s="132"/>
      <c r="AN54" s="128"/>
      <c r="AO54" s="128"/>
      <c r="AP54" s="128"/>
      <c r="AQ54" s="128"/>
      <c r="AR54" s="128"/>
      <c r="AS54" s="128"/>
      <c r="AT54" s="128"/>
      <c r="AU54" s="128"/>
      <c r="AV54" s="128"/>
      <c r="AW54" s="128"/>
      <c r="AX54" s="128"/>
      <c r="AY54" s="128"/>
      <c r="AZ54" s="128"/>
      <c r="BA54" s="128"/>
      <c r="BB54" s="128"/>
      <c r="BC54" s="128"/>
      <c r="BD54" s="128"/>
      <c r="BE54" s="128"/>
      <c r="BF54" s="128"/>
      <c r="BG54" s="128"/>
      <c r="BH54" s="133"/>
      <c r="BI54" s="128"/>
      <c r="BJ54" s="133"/>
    </row>
    <row r="55" spans="1:62" ht="12" customHeight="1" x14ac:dyDescent="0.2">
      <c r="A55" s="758" t="s">
        <v>34</v>
      </c>
      <c r="B55" s="759"/>
      <c r="C55" s="759"/>
      <c r="D55" s="759"/>
      <c r="E55" s="759"/>
      <c r="F55" s="759"/>
      <c r="G55" s="759"/>
      <c r="H55" s="759"/>
      <c r="I55" s="759"/>
      <c r="J55" s="759"/>
      <c r="K55" s="759"/>
      <c r="L55" s="759"/>
      <c r="M55" s="759"/>
      <c r="N55" s="759"/>
      <c r="O55" s="759"/>
      <c r="P55" s="760"/>
      <c r="Q55" s="125"/>
      <c r="R55" s="118"/>
      <c r="S55" s="118"/>
      <c r="T55" s="118"/>
      <c r="U55" s="118"/>
      <c r="V55" s="118"/>
      <c r="W55" s="118"/>
      <c r="X55" s="761" t="str">
        <f>SURNAME_KREDITOR&amp;" "&amp;NAME_KREDITOR&amp;" "&amp;FATHERNAME_KREDITOR&amp;" "&amp;G_KREDITOR</f>
        <v>Həsənov Kənan Asdan qızı</v>
      </c>
      <c r="Y55" s="761"/>
      <c r="Z55" s="761"/>
      <c r="AA55" s="761"/>
      <c r="AB55" s="761"/>
      <c r="AC55" s="761"/>
      <c r="AD55" s="761"/>
      <c r="AE55" s="761"/>
      <c r="AF55" s="761"/>
      <c r="AG55" s="761"/>
      <c r="AH55" s="761"/>
      <c r="AI55" s="761"/>
      <c r="AJ55" s="761"/>
      <c r="AK55" s="761"/>
      <c r="AL55" s="761"/>
      <c r="AM55" s="134"/>
      <c r="AN55" s="118"/>
      <c r="AO55" s="118"/>
      <c r="AP55" s="118"/>
      <c r="AQ55" s="118"/>
      <c r="AR55" s="118"/>
      <c r="AS55" s="118"/>
      <c r="AT55" s="761" t="str">
        <f>SURNAME_ZAMIN3&amp;" "&amp;NAME_ZAMIN3&amp;" "&amp;FATHERNAME_ZAMIN3&amp;" "&amp;G_ZAMIN3</f>
        <v xml:space="preserve">   qızı</v>
      </c>
      <c r="AU55" s="761"/>
      <c r="AV55" s="761"/>
      <c r="AW55" s="761"/>
      <c r="AX55" s="761"/>
      <c r="AY55" s="761"/>
      <c r="AZ55" s="761"/>
      <c r="BA55" s="761"/>
      <c r="BB55" s="761"/>
      <c r="BC55" s="761"/>
      <c r="BD55" s="761"/>
      <c r="BE55" s="761"/>
      <c r="BF55" s="761"/>
      <c r="BG55" s="761"/>
      <c r="BH55" s="770"/>
      <c r="BI55" s="118"/>
      <c r="BJ55" s="135"/>
    </row>
    <row r="56" spans="1:62" ht="12" customHeight="1" x14ac:dyDescent="0.2">
      <c r="A56" s="754" t="s">
        <v>872</v>
      </c>
      <c r="B56" s="755"/>
      <c r="C56" s="755"/>
      <c r="D56" s="755"/>
      <c r="E56" s="755"/>
      <c r="F56" s="755"/>
      <c r="G56" s="755"/>
      <c r="H56" s="755"/>
      <c r="I56" s="755"/>
      <c r="J56" s="755"/>
      <c r="K56" s="755"/>
      <c r="L56" s="755"/>
      <c r="M56" s="755"/>
      <c r="N56" s="755"/>
      <c r="O56" s="755"/>
      <c r="P56" s="756"/>
      <c r="Q56" s="125"/>
      <c r="R56" s="125"/>
      <c r="S56" s="125"/>
      <c r="T56" s="125"/>
      <c r="U56" s="125"/>
      <c r="V56" s="125"/>
      <c r="W56" s="125"/>
      <c r="X56" s="125"/>
      <c r="Y56" s="125"/>
      <c r="Z56" s="101"/>
      <c r="AA56" s="101"/>
      <c r="AB56" s="101"/>
      <c r="AC56" s="101"/>
      <c r="AD56" s="101"/>
      <c r="AE56" s="101"/>
      <c r="AF56" s="101"/>
      <c r="AG56" s="101"/>
      <c r="AH56" s="101"/>
      <c r="AI56" s="101"/>
      <c r="AJ56" s="101"/>
      <c r="AK56" s="101"/>
      <c r="AL56" s="101"/>
      <c r="AM56" s="134"/>
      <c r="AN56" s="125"/>
      <c r="AO56" s="125"/>
      <c r="AP56" s="125"/>
      <c r="AQ56" s="125"/>
      <c r="AR56" s="125"/>
      <c r="AS56" s="125"/>
      <c r="AT56" s="125"/>
      <c r="AU56" s="125"/>
      <c r="AV56" s="125"/>
      <c r="AW56" s="125"/>
      <c r="AX56" s="125"/>
      <c r="AY56" s="128"/>
      <c r="AZ56" s="128"/>
      <c r="BA56" s="128"/>
      <c r="BB56" s="125"/>
      <c r="BC56" s="125"/>
      <c r="BD56" s="125"/>
      <c r="BE56" s="125"/>
      <c r="BF56" s="125"/>
      <c r="BG56" s="125"/>
      <c r="BH56" s="136"/>
      <c r="BI56" s="125"/>
      <c r="BJ56" s="136"/>
    </row>
    <row r="57" spans="1:62" ht="12" customHeight="1" x14ac:dyDescent="0.2">
      <c r="A57" s="754" t="str">
        <f>NAME_BRANCH&amp;""</f>
        <v>Ağcabədi  Filialının</v>
      </c>
      <c r="B57" s="755"/>
      <c r="C57" s="755"/>
      <c r="D57" s="755"/>
      <c r="E57" s="755"/>
      <c r="F57" s="755"/>
      <c r="G57" s="755"/>
      <c r="H57" s="755"/>
      <c r="I57" s="755"/>
      <c r="J57" s="755"/>
      <c r="K57" s="755"/>
      <c r="L57" s="755"/>
      <c r="M57" s="755"/>
      <c r="N57" s="755"/>
      <c r="O57" s="755"/>
      <c r="P57" s="756"/>
      <c r="Q57" s="762" t="str">
        <f>IF(OR(X57=0,X57=""),"","Şəxsiyyət vəsiqəsi: ")</f>
        <v xml:space="preserve">Şəxsiyyət vəsiqəsi: </v>
      </c>
      <c r="R57" s="763"/>
      <c r="S57" s="763"/>
      <c r="T57" s="763"/>
      <c r="U57" s="763"/>
      <c r="V57" s="763"/>
      <c r="W57" s="763"/>
      <c r="X57" s="698" t="str">
        <f>IF(OR(SHV_SN_KREDITOR=0,SHV_D_KREDITOR=0,SHV_R_KREDITOR=0,SHV_SN_KREDITOR="",SHV_D_KREDITOR="",SHV_R_KREDITOR=""),"",SHV_SN_KREDITOR&amp;"  "&amp;SHV_D_KREDITOR_SOZLE&amp;" "&amp;SHV_R_KREDITOR&amp;" tərəfindən verilmişdir.")</f>
        <v>AZE № 14577224  «27» May 2014-cü il Mingəçevir ŞPŞ tərəfindən verilmişdir.</v>
      </c>
      <c r="Y57" s="698"/>
      <c r="Z57" s="698"/>
      <c r="AA57" s="698"/>
      <c r="AB57" s="698"/>
      <c r="AC57" s="698"/>
      <c r="AD57" s="698"/>
      <c r="AE57" s="698"/>
      <c r="AF57" s="698"/>
      <c r="AG57" s="698"/>
      <c r="AH57" s="698"/>
      <c r="AI57" s="698"/>
      <c r="AJ57" s="698"/>
      <c r="AK57" s="698"/>
      <c r="AL57" s="698"/>
      <c r="AM57" s="752" t="str">
        <f>IF(OR(AT57=0,AT57=""),"","Şəxsiyyət vəsiqəsi: ")</f>
        <v/>
      </c>
      <c r="AN57" s="719"/>
      <c r="AO57" s="719"/>
      <c r="AP57" s="719"/>
      <c r="AQ57" s="719"/>
      <c r="AR57" s="719"/>
      <c r="AS57" s="719"/>
      <c r="AT57" s="698" t="str">
        <f>IF(OR(SHV_SN_ZAMIN3=0,SHV_D_ZAMIN3=0,SHV_R_ZAMIN3=0,SHV_SN_ZAMIN3="",SHV_D_ZAMIN3="",SHV_R_ZAMIN3=""),"",SHV_SN_ZAMIN3&amp;"  "&amp;SHV_D_ZAMIN_SOZLE3&amp;" "&amp;SHV_R_ZAMIN3&amp;" tərəfindən verilmişdir.")</f>
        <v/>
      </c>
      <c r="AU57" s="698"/>
      <c r="AV57" s="698"/>
      <c r="AW57" s="698"/>
      <c r="AX57" s="698"/>
      <c r="AY57" s="698"/>
      <c r="AZ57" s="698"/>
      <c r="BA57" s="698"/>
      <c r="BB57" s="698"/>
      <c r="BC57" s="698"/>
      <c r="BD57" s="698"/>
      <c r="BE57" s="698"/>
      <c r="BF57" s="698"/>
      <c r="BG57" s="698"/>
      <c r="BH57" s="751"/>
      <c r="BI57" s="102"/>
      <c r="BJ57" s="149"/>
    </row>
    <row r="58" spans="1:62" ht="12" customHeight="1" x14ac:dyDescent="0.2">
      <c r="A58" s="754" t="str">
        <f>POSITION_MENEGER_BRANCH</f>
        <v>kredit meneceri</v>
      </c>
      <c r="B58" s="755"/>
      <c r="C58" s="755"/>
      <c r="D58" s="755"/>
      <c r="E58" s="755"/>
      <c r="F58" s="755"/>
      <c r="G58" s="755"/>
      <c r="H58" s="755"/>
      <c r="I58" s="755"/>
      <c r="J58" s="755"/>
      <c r="K58" s="755"/>
      <c r="L58" s="755"/>
      <c r="M58" s="755"/>
      <c r="N58" s="755"/>
      <c r="O58" s="755"/>
      <c r="P58" s="756"/>
      <c r="Q58" s="138"/>
      <c r="R58" s="139"/>
      <c r="S58" s="139"/>
      <c r="T58" s="139"/>
      <c r="U58" s="139"/>
      <c r="V58" s="101"/>
      <c r="W58" s="101"/>
      <c r="X58" s="698"/>
      <c r="Y58" s="698"/>
      <c r="Z58" s="698"/>
      <c r="AA58" s="698"/>
      <c r="AB58" s="698"/>
      <c r="AC58" s="698"/>
      <c r="AD58" s="698"/>
      <c r="AE58" s="698"/>
      <c r="AF58" s="698"/>
      <c r="AG58" s="698"/>
      <c r="AH58" s="698"/>
      <c r="AI58" s="698"/>
      <c r="AJ58" s="698"/>
      <c r="AK58" s="698"/>
      <c r="AL58" s="698"/>
      <c r="AM58" s="138"/>
      <c r="AN58" s="139"/>
      <c r="AO58" s="139"/>
      <c r="AP58" s="139"/>
      <c r="AQ58" s="139"/>
      <c r="AR58" s="101"/>
      <c r="AS58" s="101"/>
      <c r="AT58" s="698"/>
      <c r="AU58" s="698"/>
      <c r="AV58" s="698"/>
      <c r="AW58" s="698"/>
      <c r="AX58" s="698"/>
      <c r="AY58" s="698"/>
      <c r="AZ58" s="698"/>
      <c r="BA58" s="698"/>
      <c r="BB58" s="698"/>
      <c r="BC58" s="698"/>
      <c r="BD58" s="698"/>
      <c r="BE58" s="698"/>
      <c r="BF58" s="698"/>
      <c r="BG58" s="698"/>
      <c r="BH58" s="751"/>
      <c r="BI58" s="102"/>
      <c r="BJ58" s="149"/>
    </row>
    <row r="59" spans="1:62" ht="12" customHeight="1" x14ac:dyDescent="0.2">
      <c r="A59" s="754" t="str">
        <f>SURNAME_MENEGER_BRANCH&amp;" "&amp;NAME_MENEGER_BRANCH&amp;" "&amp;FATHERNAME_MENEGER_BRANCH&amp;" "&amp;G_MENEGER_BRANCH</f>
        <v>Əhmədov  Bəhruz  Tofiq  oğlu</v>
      </c>
      <c r="B59" s="755"/>
      <c r="C59" s="755"/>
      <c r="D59" s="755"/>
      <c r="E59" s="755"/>
      <c r="F59" s="755"/>
      <c r="G59" s="755"/>
      <c r="H59" s="755"/>
      <c r="I59" s="755"/>
      <c r="J59" s="755"/>
      <c r="K59" s="755"/>
      <c r="L59" s="755"/>
      <c r="M59" s="755"/>
      <c r="N59" s="755"/>
      <c r="O59" s="755"/>
      <c r="P59" s="756"/>
      <c r="Q59" s="125"/>
      <c r="R59" s="125"/>
      <c r="S59" s="125"/>
      <c r="T59" s="125"/>
      <c r="U59" s="125"/>
      <c r="V59" s="101"/>
      <c r="W59" s="101"/>
      <c r="X59" s="698"/>
      <c r="Y59" s="698"/>
      <c r="Z59" s="698"/>
      <c r="AA59" s="698"/>
      <c r="AB59" s="698"/>
      <c r="AC59" s="698"/>
      <c r="AD59" s="698"/>
      <c r="AE59" s="698"/>
      <c r="AF59" s="698"/>
      <c r="AG59" s="698"/>
      <c r="AH59" s="698"/>
      <c r="AI59" s="698"/>
      <c r="AJ59" s="698"/>
      <c r="AK59" s="698"/>
      <c r="AL59" s="698"/>
      <c r="AM59" s="140"/>
      <c r="AN59" s="96"/>
      <c r="AO59" s="96"/>
      <c r="AP59" s="96"/>
      <c r="AQ59" s="96"/>
      <c r="AR59" s="125"/>
      <c r="AS59" s="125"/>
      <c r="AT59" s="698"/>
      <c r="AU59" s="698"/>
      <c r="AV59" s="698"/>
      <c r="AW59" s="698"/>
      <c r="AX59" s="698"/>
      <c r="AY59" s="698"/>
      <c r="AZ59" s="698"/>
      <c r="BA59" s="698"/>
      <c r="BB59" s="698"/>
      <c r="BC59" s="698"/>
      <c r="BD59" s="698"/>
      <c r="BE59" s="698"/>
      <c r="BF59" s="698"/>
      <c r="BG59" s="698"/>
      <c r="BH59" s="751"/>
      <c r="BI59" s="102"/>
      <c r="BJ59" s="149"/>
    </row>
    <row r="60" spans="1:62" ht="12" customHeight="1" x14ac:dyDescent="0.2">
      <c r="A60" s="753" t="s">
        <v>33</v>
      </c>
      <c r="B60" s="717"/>
      <c r="C60" s="717"/>
      <c r="D60" s="717"/>
      <c r="E60" s="698" t="str">
        <f>NAME_REGION &amp;", "&amp;ADDRESS_REGION</f>
        <v>Ağcabədi şəhəri, İ.Qayıbov 2</v>
      </c>
      <c r="F60" s="698"/>
      <c r="G60" s="698"/>
      <c r="H60" s="698"/>
      <c r="I60" s="698"/>
      <c r="J60" s="698"/>
      <c r="K60" s="698"/>
      <c r="L60" s="698"/>
      <c r="M60" s="698"/>
      <c r="N60" s="698"/>
      <c r="O60" s="698"/>
      <c r="P60" s="751"/>
      <c r="Q60" s="753" t="str">
        <f>IF(OR(V60=0,V60=""),"","Ünvan:")</f>
        <v>Ünvan:</v>
      </c>
      <c r="R60" s="717"/>
      <c r="S60" s="717"/>
      <c r="T60" s="717"/>
      <c r="U60" s="717"/>
      <c r="V60" s="718" t="str">
        <f>IF(OR(ADDRESS_KREDITOR=0,ADDRESS_KREDITOR=""),"",ADDRESS_KREDITOR)</f>
        <v xml:space="preserve">Mingəçevir şəh., H.Əliyev PR., ev. 76/1, m. 22 </v>
      </c>
      <c r="W60" s="718"/>
      <c r="X60" s="718"/>
      <c r="Y60" s="718"/>
      <c r="Z60" s="718"/>
      <c r="AA60" s="718"/>
      <c r="AB60" s="718"/>
      <c r="AC60" s="718"/>
      <c r="AD60" s="718"/>
      <c r="AE60" s="718"/>
      <c r="AF60" s="718"/>
      <c r="AG60" s="718"/>
      <c r="AH60" s="718"/>
      <c r="AI60" s="718"/>
      <c r="AJ60" s="718"/>
      <c r="AK60" s="718"/>
      <c r="AL60" s="718"/>
      <c r="AM60" s="753" t="str">
        <f>IF(OR(AR60=0,AR60=""),"","Ünvan:")</f>
        <v>Ünvan:</v>
      </c>
      <c r="AN60" s="717"/>
      <c r="AO60" s="717"/>
      <c r="AP60" s="717"/>
      <c r="AQ60" s="717"/>
      <c r="AR60" s="698" t="str">
        <f>IF(OR(ADDRESS_ZAMIN3=0,ADDRESS_ZAMIN3=""),"",ADDRESS_ZAMIN3)</f>
        <v xml:space="preserve">  </v>
      </c>
      <c r="AS60" s="698"/>
      <c r="AT60" s="698"/>
      <c r="AU60" s="698"/>
      <c r="AV60" s="698"/>
      <c r="AW60" s="698"/>
      <c r="AX60" s="698"/>
      <c r="AY60" s="698"/>
      <c r="AZ60" s="698"/>
      <c r="BA60" s="698"/>
      <c r="BB60" s="698"/>
      <c r="BC60" s="698"/>
      <c r="BD60" s="698"/>
      <c r="BE60" s="698"/>
      <c r="BF60" s="698"/>
      <c r="BG60" s="698"/>
      <c r="BH60" s="751"/>
      <c r="BI60" s="102"/>
      <c r="BJ60" s="149"/>
    </row>
    <row r="61" spans="1:62" ht="12" customHeight="1" x14ac:dyDescent="0.2">
      <c r="A61" s="753"/>
      <c r="B61" s="717"/>
      <c r="C61" s="717"/>
      <c r="D61" s="717"/>
      <c r="E61" s="698"/>
      <c r="F61" s="698"/>
      <c r="G61" s="698"/>
      <c r="H61" s="698"/>
      <c r="I61" s="698"/>
      <c r="J61" s="698"/>
      <c r="K61" s="698"/>
      <c r="L61" s="698"/>
      <c r="M61" s="698"/>
      <c r="N61" s="698"/>
      <c r="O61" s="698"/>
      <c r="P61" s="751"/>
      <c r="Q61" s="128"/>
      <c r="R61" s="128"/>
      <c r="S61" s="128"/>
      <c r="T61" s="128"/>
      <c r="U61" s="128"/>
      <c r="V61" s="718"/>
      <c r="W61" s="718"/>
      <c r="X61" s="718"/>
      <c r="Y61" s="718"/>
      <c r="Z61" s="718"/>
      <c r="AA61" s="718"/>
      <c r="AB61" s="718"/>
      <c r="AC61" s="718"/>
      <c r="AD61" s="718"/>
      <c r="AE61" s="718"/>
      <c r="AF61" s="718"/>
      <c r="AG61" s="718"/>
      <c r="AH61" s="718"/>
      <c r="AI61" s="718"/>
      <c r="AJ61" s="718"/>
      <c r="AK61" s="718"/>
      <c r="AL61" s="718"/>
      <c r="AM61" s="141"/>
      <c r="AN61" s="117"/>
      <c r="AO61" s="117"/>
      <c r="AP61" s="117"/>
      <c r="AQ61" s="117"/>
      <c r="AR61" s="698"/>
      <c r="AS61" s="698"/>
      <c r="AT61" s="698"/>
      <c r="AU61" s="698"/>
      <c r="AV61" s="698"/>
      <c r="AW61" s="698"/>
      <c r="AX61" s="698"/>
      <c r="AY61" s="698"/>
      <c r="AZ61" s="698"/>
      <c r="BA61" s="698"/>
      <c r="BB61" s="698"/>
      <c r="BC61" s="698"/>
      <c r="BD61" s="698"/>
      <c r="BE61" s="698"/>
      <c r="BF61" s="698"/>
      <c r="BG61" s="698"/>
      <c r="BH61" s="751"/>
      <c r="BI61" s="102"/>
      <c r="BJ61" s="149"/>
    </row>
    <row r="62" spans="1:62" ht="12" customHeight="1" x14ac:dyDescent="0.2">
      <c r="A62" s="753"/>
      <c r="B62" s="717"/>
      <c r="C62" s="717"/>
      <c r="D62" s="717"/>
      <c r="E62" s="698"/>
      <c r="F62" s="698"/>
      <c r="G62" s="698"/>
      <c r="H62" s="698"/>
      <c r="I62" s="698"/>
      <c r="J62" s="698"/>
      <c r="K62" s="698"/>
      <c r="L62" s="698"/>
      <c r="M62" s="698"/>
      <c r="N62" s="698"/>
      <c r="O62" s="698"/>
      <c r="P62" s="751"/>
      <c r="Q62" s="125"/>
      <c r="R62" s="125"/>
      <c r="S62" s="125"/>
      <c r="T62" s="125"/>
      <c r="U62" s="125"/>
      <c r="V62" s="718"/>
      <c r="W62" s="718"/>
      <c r="X62" s="718"/>
      <c r="Y62" s="718"/>
      <c r="Z62" s="718"/>
      <c r="AA62" s="718"/>
      <c r="AB62" s="718"/>
      <c r="AC62" s="718"/>
      <c r="AD62" s="718"/>
      <c r="AE62" s="718"/>
      <c r="AF62" s="718"/>
      <c r="AG62" s="718"/>
      <c r="AH62" s="718"/>
      <c r="AI62" s="718"/>
      <c r="AJ62" s="718"/>
      <c r="AK62" s="718"/>
      <c r="AL62" s="718"/>
      <c r="AM62" s="141"/>
      <c r="AN62" s="96"/>
      <c r="AO62" s="96"/>
      <c r="AP62" s="96"/>
      <c r="AQ62" s="96"/>
      <c r="AR62" s="698"/>
      <c r="AS62" s="698"/>
      <c r="AT62" s="698"/>
      <c r="AU62" s="698"/>
      <c r="AV62" s="698"/>
      <c r="AW62" s="698"/>
      <c r="AX62" s="698"/>
      <c r="AY62" s="698"/>
      <c r="AZ62" s="698"/>
      <c r="BA62" s="698"/>
      <c r="BB62" s="698"/>
      <c r="BC62" s="698"/>
      <c r="BD62" s="698"/>
      <c r="BE62" s="698"/>
      <c r="BF62" s="698"/>
      <c r="BG62" s="698"/>
      <c r="BH62" s="751"/>
      <c r="BI62" s="102"/>
      <c r="BJ62" s="149"/>
    </row>
    <row r="63" spans="1:62" ht="12" customHeight="1" x14ac:dyDescent="0.2">
      <c r="A63" s="752" t="str">
        <f>IF(OR(E63=0,E63=""),"","Telefon:")</f>
        <v>Telefon:</v>
      </c>
      <c r="B63" s="719"/>
      <c r="C63" s="719"/>
      <c r="D63" s="719"/>
      <c r="E63" s="698" t="str">
        <f>IF(OR(NUM_BRANCH=0,NUM_BRANCH=""),"",NUM_BRANCH)</f>
        <v>(+994 24) 274 13 23</v>
      </c>
      <c r="F63" s="698"/>
      <c r="G63" s="698"/>
      <c r="H63" s="698"/>
      <c r="I63" s="698"/>
      <c r="J63" s="698"/>
      <c r="K63" s="698"/>
      <c r="L63" s="698"/>
      <c r="M63" s="698"/>
      <c r="N63" s="698"/>
      <c r="O63" s="698"/>
      <c r="P63" s="751"/>
      <c r="Q63" s="753" t="str">
        <f>IF(OR(V63=0,V63=""),"","Telefon:")</f>
        <v>Telefon:</v>
      </c>
      <c r="R63" s="717"/>
      <c r="S63" s="717"/>
      <c r="T63" s="717"/>
      <c r="U63" s="717"/>
      <c r="V63" s="718" t="str">
        <f>IF(OR(NUM_1_KREDITOR=0,NUM_1_KREDITOR=""),"",NUM_1_KREDITOR&amp;"; ")&amp;IF(OR(NUM_2_KREDITOR=0,NUM_2_KREDITOR=""),"",NUM_2_KREDITOR&amp;"; ")</f>
        <v xml:space="preserve">055-915-96-56; </v>
      </c>
      <c r="W63" s="718"/>
      <c r="X63" s="718"/>
      <c r="Y63" s="718"/>
      <c r="Z63" s="718"/>
      <c r="AA63" s="718"/>
      <c r="AB63" s="718"/>
      <c r="AC63" s="718"/>
      <c r="AD63" s="718"/>
      <c r="AE63" s="718"/>
      <c r="AF63" s="718"/>
      <c r="AG63" s="718"/>
      <c r="AH63" s="718"/>
      <c r="AI63" s="718"/>
      <c r="AJ63" s="718"/>
      <c r="AK63" s="718"/>
      <c r="AL63" s="718"/>
      <c r="AM63" s="753" t="str">
        <f>IF(OR(AR63=0,AR63=""),"","Telefon:")</f>
        <v/>
      </c>
      <c r="AN63" s="717"/>
      <c r="AO63" s="717"/>
      <c r="AP63" s="717"/>
      <c r="AQ63" s="717"/>
      <c r="AR63" s="718" t="str">
        <f>IF(OR(NUM_1_ZAMIN3=0,NUM_1_ZAMIN3=""),"",NUM_1_ZAMIN3&amp;"; ")&amp;IF(OR(NUM_2_ZAMIN3=0,NUM_2_ZAMIN3=""),"",NUM_2_ZAMIN3&amp;"; ")</f>
        <v/>
      </c>
      <c r="AS63" s="718"/>
      <c r="AT63" s="718"/>
      <c r="AU63" s="718"/>
      <c r="AV63" s="718"/>
      <c r="AW63" s="718"/>
      <c r="AX63" s="718"/>
      <c r="AY63" s="718"/>
      <c r="AZ63" s="718"/>
      <c r="BA63" s="718"/>
      <c r="BB63" s="718"/>
      <c r="BC63" s="718"/>
      <c r="BD63" s="718"/>
      <c r="BE63" s="718"/>
      <c r="BF63" s="718"/>
      <c r="BG63" s="718"/>
      <c r="BH63" s="767"/>
      <c r="BI63" s="106"/>
      <c r="BJ63" s="116"/>
    </row>
    <row r="64" spans="1:62" ht="12" customHeight="1" x14ac:dyDescent="0.2">
      <c r="A64" s="752" t="str">
        <f>IF(OR(E64=0,E64=""),"","Faks:")</f>
        <v>Faks:</v>
      </c>
      <c r="B64" s="719"/>
      <c r="C64" s="719"/>
      <c r="D64" s="719"/>
      <c r="E64" s="698" t="str">
        <f>IF(OR(FAX_BRANCH=0,FAX_BRANCH=""),"",FAX_BRANCH)</f>
        <v>(+994 24) 274 20 24</v>
      </c>
      <c r="F64" s="698"/>
      <c r="G64" s="698"/>
      <c r="H64" s="698"/>
      <c r="I64" s="698"/>
      <c r="J64" s="698"/>
      <c r="K64" s="698"/>
      <c r="L64" s="698"/>
      <c r="M64" s="698"/>
      <c r="N64" s="698"/>
      <c r="O64" s="698"/>
      <c r="P64" s="751"/>
      <c r="Q64" s="125"/>
      <c r="R64" s="125"/>
      <c r="S64" s="125"/>
      <c r="T64" s="125"/>
      <c r="U64" s="125"/>
      <c r="V64" s="125"/>
      <c r="W64" s="125"/>
      <c r="X64" s="125"/>
      <c r="Y64" s="125"/>
      <c r="Z64" s="125"/>
      <c r="AA64" s="125"/>
      <c r="AB64" s="125"/>
      <c r="AC64" s="125"/>
      <c r="AD64" s="125"/>
      <c r="AE64" s="125"/>
      <c r="AF64" s="125"/>
      <c r="AG64" s="125"/>
      <c r="AH64" s="125"/>
      <c r="AI64" s="125"/>
      <c r="AJ64" s="125"/>
      <c r="AK64" s="125"/>
      <c r="AL64" s="125"/>
      <c r="AM64" s="134"/>
      <c r="AN64" s="125"/>
      <c r="AO64" s="125"/>
      <c r="AP64" s="125"/>
      <c r="AQ64" s="125"/>
      <c r="AR64" s="125"/>
      <c r="AS64" s="125"/>
      <c r="AT64" s="125"/>
      <c r="AU64" s="125"/>
      <c r="AV64" s="125"/>
      <c r="AW64" s="125"/>
      <c r="AX64" s="125"/>
      <c r="AY64" s="125"/>
      <c r="AZ64" s="125"/>
      <c r="BA64" s="125"/>
      <c r="BB64" s="125"/>
      <c r="BC64" s="125"/>
      <c r="BD64" s="125"/>
      <c r="BE64" s="125"/>
      <c r="BF64" s="125"/>
      <c r="BG64" s="125"/>
      <c r="BH64" s="136"/>
      <c r="BI64" s="125"/>
      <c r="BJ64" s="136"/>
    </row>
    <row r="65" spans="1:63" ht="12" customHeight="1" x14ac:dyDescent="0.2">
      <c r="A65" s="142"/>
      <c r="B65" s="139"/>
      <c r="C65" s="139"/>
      <c r="D65" s="139"/>
      <c r="E65" s="101"/>
      <c r="F65" s="101"/>
      <c r="G65" s="101"/>
      <c r="H65" s="101"/>
      <c r="I65" s="101"/>
      <c r="J65" s="101"/>
      <c r="K65" s="101"/>
      <c r="L65" s="101"/>
      <c r="M65" s="101"/>
      <c r="N65" s="101"/>
      <c r="O65" s="101"/>
      <c r="P65" s="137"/>
      <c r="Q65" s="125"/>
      <c r="R65" s="125"/>
      <c r="S65" s="125"/>
      <c r="T65" s="125"/>
      <c r="U65" s="125"/>
      <c r="V65" s="125"/>
      <c r="W65" s="125"/>
      <c r="X65" s="125"/>
      <c r="Y65" s="125"/>
      <c r="Z65" s="125"/>
      <c r="AA65" s="125"/>
      <c r="AB65" s="125"/>
      <c r="AC65" s="125"/>
      <c r="AD65" s="125"/>
      <c r="AE65" s="125"/>
      <c r="AF65" s="125"/>
      <c r="AG65" s="125"/>
      <c r="AH65" s="125"/>
      <c r="AI65" s="125"/>
      <c r="AJ65" s="125"/>
      <c r="AK65" s="125"/>
      <c r="AL65" s="125"/>
      <c r="AM65" s="134"/>
      <c r="AN65" s="125"/>
      <c r="AO65" s="125"/>
      <c r="AP65" s="125"/>
      <c r="AQ65" s="125"/>
      <c r="AR65" s="125"/>
      <c r="AS65" s="125"/>
      <c r="AT65" s="125"/>
      <c r="AU65" s="125"/>
      <c r="AV65" s="125"/>
      <c r="AW65" s="125"/>
      <c r="AX65" s="125"/>
      <c r="AY65" s="125"/>
      <c r="AZ65" s="125"/>
      <c r="BA65" s="125"/>
      <c r="BB65" s="125"/>
      <c r="BC65" s="125"/>
      <c r="BD65" s="125"/>
      <c r="BE65" s="125"/>
      <c r="BF65" s="125"/>
      <c r="BG65" s="125"/>
      <c r="BH65" s="136"/>
      <c r="BI65" s="125"/>
      <c r="BJ65" s="136"/>
    </row>
    <row r="66" spans="1:63" ht="12" customHeight="1" x14ac:dyDescent="0.2">
      <c r="A66" s="753" t="s">
        <v>97</v>
      </c>
      <c r="B66" s="717"/>
      <c r="C66" s="717"/>
      <c r="D66" s="717"/>
      <c r="E66" s="766"/>
      <c r="F66" s="766"/>
      <c r="G66" s="766"/>
      <c r="H66" s="766"/>
      <c r="I66" s="766"/>
      <c r="J66" s="766"/>
      <c r="K66" s="766"/>
      <c r="L66" s="766"/>
      <c r="M66" s="766"/>
      <c r="N66" s="766"/>
      <c r="O66" s="766"/>
      <c r="P66" s="137"/>
      <c r="Q66" s="125"/>
      <c r="R66" s="92"/>
      <c r="S66" s="717" t="s">
        <v>97</v>
      </c>
      <c r="T66" s="717"/>
      <c r="U66" s="717"/>
      <c r="V66" s="765"/>
      <c r="W66" s="765"/>
      <c r="X66" s="765"/>
      <c r="Y66" s="765"/>
      <c r="Z66" s="765"/>
      <c r="AA66" s="765"/>
      <c r="AB66" s="765"/>
      <c r="AC66" s="765"/>
      <c r="AD66" s="765"/>
      <c r="AE66" s="765"/>
      <c r="AF66" s="765"/>
      <c r="AG66" s="765"/>
      <c r="AH66" s="765"/>
      <c r="AI66" s="765"/>
      <c r="AJ66" s="125"/>
      <c r="AK66" s="125"/>
      <c r="AL66" s="125"/>
      <c r="AM66" s="134"/>
      <c r="AN66" s="92"/>
      <c r="AO66" s="717" t="s">
        <v>97</v>
      </c>
      <c r="AP66" s="717"/>
      <c r="AQ66" s="717"/>
      <c r="AR66" s="765"/>
      <c r="AS66" s="765"/>
      <c r="AT66" s="765"/>
      <c r="AU66" s="765"/>
      <c r="AV66" s="765"/>
      <c r="AW66" s="765"/>
      <c r="AX66" s="765"/>
      <c r="AY66" s="765"/>
      <c r="AZ66" s="765"/>
      <c r="BA66" s="765"/>
      <c r="BB66" s="765"/>
      <c r="BC66" s="765"/>
      <c r="BD66" s="765"/>
      <c r="BE66" s="765"/>
      <c r="BF66" s="125"/>
      <c r="BG66" s="125"/>
      <c r="BH66" s="136"/>
      <c r="BI66" s="125"/>
      <c r="BJ66" s="136"/>
    </row>
    <row r="67" spans="1:63" ht="12" customHeight="1" x14ac:dyDescent="0.2">
      <c r="A67" s="143"/>
      <c r="B67" s="144"/>
      <c r="C67" s="144"/>
      <c r="D67" s="144"/>
      <c r="E67" s="144"/>
      <c r="F67" s="144"/>
      <c r="G67" s="144"/>
      <c r="H67" s="144"/>
      <c r="I67" s="144"/>
      <c r="J67" s="144"/>
      <c r="K67" s="144"/>
      <c r="L67" s="145"/>
      <c r="M67" s="144"/>
      <c r="N67" s="144"/>
      <c r="O67" s="144"/>
      <c r="P67" s="146"/>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7"/>
      <c r="AN67" s="144"/>
      <c r="AO67" s="144"/>
      <c r="AP67" s="144"/>
      <c r="AQ67" s="144"/>
      <c r="AR67" s="144"/>
      <c r="AS67" s="144"/>
      <c r="AT67" s="144"/>
      <c r="AU67" s="144"/>
      <c r="AV67" s="144"/>
      <c r="AW67" s="144"/>
      <c r="AX67" s="144"/>
      <c r="AY67" s="144"/>
      <c r="AZ67" s="144"/>
      <c r="BA67" s="144"/>
      <c r="BB67" s="144"/>
      <c r="BC67" s="144"/>
      <c r="BD67" s="144"/>
      <c r="BE67" s="144"/>
      <c r="BF67" s="144"/>
      <c r="BG67" s="144"/>
      <c r="BH67" s="146"/>
      <c r="BI67" s="125"/>
      <c r="BJ67" s="146"/>
      <c r="BK67" s="125"/>
    </row>
    <row r="68" spans="1:63" ht="9.75" customHeight="1" x14ac:dyDescent="0.2">
      <c r="A68" s="112"/>
      <c r="B68" s="125"/>
      <c r="C68" s="125"/>
      <c r="D68" s="125"/>
      <c r="E68" s="125"/>
      <c r="F68" s="125"/>
      <c r="G68" s="125"/>
      <c r="H68" s="125"/>
      <c r="I68" s="125"/>
      <c r="J68" s="125"/>
      <c r="K68" s="125"/>
      <c r="L68" s="125"/>
      <c r="M68" s="125"/>
      <c r="N68" s="125"/>
      <c r="O68" s="125"/>
      <c r="BI68" s="125"/>
    </row>
  </sheetData>
  <mergeCells count="103">
    <mergeCell ref="AO66:AQ66"/>
    <mergeCell ref="AR66:BE66"/>
    <mergeCell ref="A64:D64"/>
    <mergeCell ref="E64:P64"/>
    <mergeCell ref="A66:D66"/>
    <mergeCell ref="E66:O66"/>
    <mergeCell ref="S66:U66"/>
    <mergeCell ref="V66:AI66"/>
    <mergeCell ref="A63:D63"/>
    <mergeCell ref="E63:P63"/>
    <mergeCell ref="Q63:U63"/>
    <mergeCell ref="V63:AL63"/>
    <mergeCell ref="AM63:AQ63"/>
    <mergeCell ref="AR63:BH63"/>
    <mergeCell ref="A60:D62"/>
    <mergeCell ref="E60:P62"/>
    <mergeCell ref="Q60:U60"/>
    <mergeCell ref="V60:AL62"/>
    <mergeCell ref="AM60:AQ60"/>
    <mergeCell ref="AR60:BH62"/>
    <mergeCell ref="A56:P56"/>
    <mergeCell ref="A57:P57"/>
    <mergeCell ref="Q57:W57"/>
    <mergeCell ref="X57:AL59"/>
    <mergeCell ref="AM57:AS57"/>
    <mergeCell ref="AT57:BH59"/>
    <mergeCell ref="A58:P58"/>
    <mergeCell ref="A59:P59"/>
    <mergeCell ref="A55:P55"/>
    <mergeCell ref="X55:AL55"/>
    <mergeCell ref="AT55:BH55"/>
    <mergeCell ref="C45:AD48"/>
    <mergeCell ref="AF46:AG46"/>
    <mergeCell ref="AH46:BJ48"/>
    <mergeCell ref="A49:B49"/>
    <mergeCell ref="C49:AD49"/>
    <mergeCell ref="A51:BJ51"/>
    <mergeCell ref="A42:B42"/>
    <mergeCell ref="C42:AD42"/>
    <mergeCell ref="AF42:BJ42"/>
    <mergeCell ref="A43:B43"/>
    <mergeCell ref="C43:AD44"/>
    <mergeCell ref="AF44:AG44"/>
    <mergeCell ref="AH44:BJ45"/>
    <mergeCell ref="A45:B45"/>
    <mergeCell ref="A53:P53"/>
    <mergeCell ref="Q53:AL53"/>
    <mergeCell ref="AM53:BH53"/>
    <mergeCell ref="A33:B33"/>
    <mergeCell ref="C33:AD36"/>
    <mergeCell ref="AF34:AG34"/>
    <mergeCell ref="AH34:BJ36"/>
    <mergeCell ref="A37:B37"/>
    <mergeCell ref="C37:AD38"/>
    <mergeCell ref="AF37:AG37"/>
    <mergeCell ref="AH37:BJ39"/>
    <mergeCell ref="A39:B39"/>
    <mergeCell ref="C39:AD41"/>
    <mergeCell ref="AF40:AG40"/>
    <mergeCell ref="AH40:BJ40"/>
    <mergeCell ref="AF29:AG29"/>
    <mergeCell ref="AH29:BJ30"/>
    <mergeCell ref="A30:AD30"/>
    <mergeCell ref="A32:B32"/>
    <mergeCell ref="C32:AD32"/>
    <mergeCell ref="AF32:BJ32"/>
    <mergeCell ref="AH19:BJ20"/>
    <mergeCell ref="AF22:BJ22"/>
    <mergeCell ref="A23:B23"/>
    <mergeCell ref="C23:AD25"/>
    <mergeCell ref="AF24:AG24"/>
    <mergeCell ref="AH24:BJ26"/>
    <mergeCell ref="A26:B26"/>
    <mergeCell ref="C26:AD28"/>
    <mergeCell ref="AF27:AG27"/>
    <mergeCell ref="AH27:BJ28"/>
    <mergeCell ref="A5:AD11"/>
    <mergeCell ref="AF5:AG5"/>
    <mergeCell ref="AH5:BJ5"/>
    <mergeCell ref="AF6:AG6"/>
    <mergeCell ref="AH6:BJ7"/>
    <mergeCell ref="AF8:AG8"/>
    <mergeCell ref="AH8:BJ8"/>
    <mergeCell ref="AF10:BJ10"/>
    <mergeCell ref="A12:AD12"/>
    <mergeCell ref="AF12:AG12"/>
    <mergeCell ref="AH12:BJ14"/>
    <mergeCell ref="A14:B14"/>
    <mergeCell ref="C14:AD17"/>
    <mergeCell ref="AF15:AG15"/>
    <mergeCell ref="AH15:BJ18"/>
    <mergeCell ref="A18:B18"/>
    <mergeCell ref="C18:AD22"/>
    <mergeCell ref="AF19:AG19"/>
    <mergeCell ref="A1:AD1"/>
    <mergeCell ref="AF1:AG1"/>
    <mergeCell ref="AH1:BI1"/>
    <mergeCell ref="AF2:AG2"/>
    <mergeCell ref="AH2:BI3"/>
    <mergeCell ref="A3:T3"/>
    <mergeCell ref="U3:AD3"/>
    <mergeCell ref="AF4:AG4"/>
    <mergeCell ref="AH4:BJ4"/>
  </mergeCells>
  <pageMargins left="0.45" right="0.28000000000000003" top="0.54" bottom="0.12" header="0.55000000000000004" footer="0.12"/>
  <pageSetup scale="88"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GEV1">
    <tabColor theme="3" tint="0.39997558519241921"/>
  </sheetPr>
  <dimension ref="A1:R65"/>
  <sheetViews>
    <sheetView view="pageBreakPreview" zoomScaleNormal="95" zoomScaleSheetLayoutView="100" workbookViewId="0">
      <selection activeCell="A49" sqref="A49:H49"/>
    </sheetView>
  </sheetViews>
  <sheetFormatPr defaultRowHeight="12" x14ac:dyDescent="0.2"/>
  <cols>
    <col min="1" max="1" width="6.5703125" style="36" customWidth="1"/>
    <col min="2" max="2" width="22.28515625" style="36" customWidth="1"/>
    <col min="3" max="3" width="23.140625" style="36" customWidth="1"/>
    <col min="4" max="4" width="10.28515625" style="36" customWidth="1"/>
    <col min="5" max="5" width="9.28515625" style="36" customWidth="1"/>
    <col min="6" max="7" width="9.85546875" style="36" customWidth="1"/>
    <col min="8" max="8" width="10.7109375" style="36" customWidth="1"/>
    <col min="9" max="9" width="9.140625" style="316"/>
    <col min="10" max="16384" width="9.140625" style="36"/>
  </cols>
  <sheetData>
    <row r="1" spans="1:9" ht="18" customHeight="1" x14ac:dyDescent="0.2">
      <c r="A1" s="774" t="str">
        <f>START_DATE_KREDIT_SOZLE&amp;" tarixli "&amp;LD_NUM&amp;" saylı girov müqaviləsinə"</f>
        <v>«31» İyul 2015-ci il tarixli LD/15212/00143 saylı girov müqaviləsinə</v>
      </c>
      <c r="B1" s="774"/>
      <c r="C1" s="774"/>
      <c r="D1" s="774"/>
      <c r="E1" s="774"/>
      <c r="F1" s="774"/>
      <c r="G1" s="774"/>
      <c r="H1" s="774"/>
    </row>
    <row r="2" spans="1:9" ht="3" customHeight="1" x14ac:dyDescent="0.2">
      <c r="A2" s="775"/>
      <c r="B2" s="775"/>
      <c r="C2" s="776"/>
      <c r="D2" s="776"/>
      <c r="E2" s="776"/>
      <c r="F2" s="776"/>
      <c r="G2" s="776"/>
      <c r="H2" s="776"/>
    </row>
    <row r="3" spans="1:9" ht="12" customHeight="1" x14ac:dyDescent="0.2">
      <c r="A3" s="777" t="s">
        <v>410</v>
      </c>
      <c r="B3" s="777"/>
      <c r="C3" s="777"/>
      <c r="D3" s="777"/>
      <c r="E3" s="777"/>
      <c r="F3" s="777"/>
      <c r="G3" s="777"/>
      <c r="H3" s="777"/>
    </row>
    <row r="4" spans="1:9" ht="3" customHeight="1" x14ac:dyDescent="0.2">
      <c r="A4" s="185"/>
      <c r="B4" s="185"/>
      <c r="C4" s="186"/>
      <c r="D4" s="186"/>
      <c r="E4" s="186"/>
      <c r="F4" s="186"/>
      <c r="G4" s="186"/>
      <c r="H4" s="186"/>
    </row>
    <row r="5" spans="1:9" hidden="1" x14ac:dyDescent="0.2">
      <c r="A5" s="777" t="s">
        <v>421</v>
      </c>
      <c r="B5" s="777"/>
      <c r="C5" s="777"/>
      <c r="D5" s="776"/>
      <c r="E5" s="776"/>
      <c r="F5" s="776"/>
      <c r="G5" s="776"/>
      <c r="H5" s="776"/>
    </row>
    <row r="6" spans="1:9" ht="5.25" hidden="1" customHeight="1" x14ac:dyDescent="0.2">
      <c r="A6" s="187"/>
      <c r="B6" s="187"/>
      <c r="C6" s="187"/>
      <c r="D6" s="187"/>
      <c r="E6" s="187"/>
      <c r="F6" s="187"/>
      <c r="G6" s="187"/>
      <c r="H6" s="187"/>
    </row>
    <row r="7" spans="1:9" ht="24" hidden="1" x14ac:dyDescent="0.2">
      <c r="A7" s="188" t="s">
        <v>212</v>
      </c>
      <c r="B7" s="779" t="s">
        <v>2</v>
      </c>
      <c r="C7" s="780"/>
      <c r="D7" s="188" t="s">
        <v>398</v>
      </c>
      <c r="E7" s="189" t="s">
        <v>397</v>
      </c>
      <c r="F7" s="188" t="s">
        <v>396</v>
      </c>
      <c r="G7" s="189" t="s">
        <v>395</v>
      </c>
      <c r="H7" s="188" t="s">
        <v>401</v>
      </c>
    </row>
    <row r="8" spans="1:9" hidden="1" x14ac:dyDescent="0.2">
      <c r="A8" s="190" t="str">
        <f>IF(OR(B8=0,B8=""),"",1)</f>
        <v/>
      </c>
      <c r="B8" s="781" t="str">
        <f>IF(OR(T.Data!C55=0,T.Data!C55=""),"",T.Data!C55&amp;" "&amp;T.Data!F55)</f>
        <v/>
      </c>
      <c r="C8" s="782"/>
      <c r="D8" s="191" t="str">
        <f>IF(OR(T.Data!C55=0,T.Data!C55=""),"",T.Data!I55)</f>
        <v/>
      </c>
      <c r="E8" s="192" t="str">
        <f>IF(OR(B8=0,B8=""),"",T.Data!J55)</f>
        <v/>
      </c>
      <c r="F8" s="191" t="str">
        <f>IF(OR(B8=0,B8=""),"",T.Data!K55)</f>
        <v/>
      </c>
      <c r="G8" s="191" t="str">
        <f>IF(OR(B8=0,B8=""),"",T.Data!L55)</f>
        <v/>
      </c>
      <c r="H8" s="191" t="str">
        <f>IF(OR(B8=0,B8=""),"",T.Data!N55)</f>
        <v/>
      </c>
      <c r="I8" s="316" t="str">
        <f>T.Data!Q55</f>
        <v/>
      </c>
    </row>
    <row r="9" spans="1:9" hidden="1" x14ac:dyDescent="0.2">
      <c r="A9" s="190" t="str">
        <f>IF(OR(B9=0,B9=""),"",2)</f>
        <v/>
      </c>
      <c r="B9" s="781" t="str">
        <f>IF(OR(T.Data!C56=0,T.Data!C56=""),"",T.Data!C56&amp;" "&amp;T.Data!F56)</f>
        <v/>
      </c>
      <c r="C9" s="782"/>
      <c r="D9" s="191" t="str">
        <f>IF(OR(T.Data!C56=0,T.Data!C56=""),"",T.Data!I56)</f>
        <v/>
      </c>
      <c r="E9" s="192" t="str">
        <f>IF(OR(B9=0,B9=""),"",T.Data!J56)</f>
        <v/>
      </c>
      <c r="F9" s="191" t="str">
        <f>IF(OR(B9=0,B9=""),"",T.Data!K56)</f>
        <v/>
      </c>
      <c r="G9" s="191" t="str">
        <f>IF(OR(B9=0,B9=""),"",T.Data!L56)</f>
        <v/>
      </c>
      <c r="H9" s="191" t="str">
        <f>IF(OR(B9=0,B9=""),"",T.Data!N56)</f>
        <v/>
      </c>
      <c r="I9" s="316" t="str">
        <f>T.Data!Q56</f>
        <v/>
      </c>
    </row>
    <row r="10" spans="1:9" hidden="1" x14ac:dyDescent="0.2">
      <c r="A10" s="190" t="str">
        <f>IF(OR(B10=0,B10=""),"",3)</f>
        <v/>
      </c>
      <c r="B10" s="781" t="str">
        <f>IF(OR(T.Data!C57=0,T.Data!C57=""),"",T.Data!C57&amp;" "&amp;T.Data!F57)</f>
        <v/>
      </c>
      <c r="C10" s="782"/>
      <c r="D10" s="191" t="str">
        <f>IF(OR(T.Data!C57=0,T.Data!C57=""),"",T.Data!I57)</f>
        <v/>
      </c>
      <c r="E10" s="192" t="str">
        <f>IF(OR(B10=0,B10=""),"",T.Data!J57)</f>
        <v/>
      </c>
      <c r="F10" s="191" t="str">
        <f>IF(OR(B10=0,B10=""),"",T.Data!K57)</f>
        <v/>
      </c>
      <c r="G10" s="191" t="str">
        <f>IF(OR(B10=0,B10=""),"",T.Data!L57)</f>
        <v/>
      </c>
      <c r="H10" s="191" t="str">
        <f>IF(OR(B10=0,B10=""),"",T.Data!N57)</f>
        <v/>
      </c>
      <c r="I10" s="316" t="str">
        <f>T.Data!Q57</f>
        <v/>
      </c>
    </row>
    <row r="11" spans="1:9" hidden="1" x14ac:dyDescent="0.2">
      <c r="A11" s="190" t="str">
        <f>IF(OR(B11=0,B11=""),"",4)</f>
        <v/>
      </c>
      <c r="B11" s="781" t="str">
        <f>IF(OR(T.Data!C58=0,T.Data!C58=""),"",T.Data!C58&amp;" "&amp;T.Data!F58)</f>
        <v/>
      </c>
      <c r="C11" s="782"/>
      <c r="D11" s="191" t="str">
        <f>IF(OR(T.Data!C58=0,T.Data!C58=""),"",T.Data!I58)</f>
        <v/>
      </c>
      <c r="E11" s="192" t="str">
        <f>IF(OR(B11=0,B11=""),"",T.Data!J58)</f>
        <v/>
      </c>
      <c r="F11" s="191" t="str">
        <f>IF(OR(B11=0,B11=""),"",T.Data!K58)</f>
        <v/>
      </c>
      <c r="G11" s="191" t="str">
        <f>IF(OR(B11=0,B11=""),"",T.Data!L58)</f>
        <v/>
      </c>
      <c r="H11" s="191" t="str">
        <f>IF(OR(B11=0,B11=""),"",T.Data!N58)</f>
        <v/>
      </c>
      <c r="I11" s="316" t="str">
        <f>T.Data!Q58</f>
        <v/>
      </c>
    </row>
    <row r="12" spans="1:9" hidden="1" x14ac:dyDescent="0.2">
      <c r="A12" s="190" t="str">
        <f>IF(OR(B12=0,B12=""),"",5)</f>
        <v/>
      </c>
      <c r="B12" s="781" t="str">
        <f>IF(OR(T.Data!C59=0,T.Data!C59=""),"",T.Data!C59&amp;" "&amp;T.Data!F59)</f>
        <v/>
      </c>
      <c r="C12" s="782"/>
      <c r="D12" s="191" t="str">
        <f>IF(OR(T.Data!C59=0,T.Data!C59=""),"",T.Data!I59)</f>
        <v/>
      </c>
      <c r="E12" s="192" t="str">
        <f>IF(OR(B12=0,B12=""),"",T.Data!J59)</f>
        <v/>
      </c>
      <c r="F12" s="191" t="str">
        <f>IF(OR(B12=0,B12=""),"",T.Data!K59)</f>
        <v/>
      </c>
      <c r="G12" s="191" t="str">
        <f>IF(OR(B12=0,B12=""),"",T.Data!L59)</f>
        <v/>
      </c>
      <c r="H12" s="191" t="str">
        <f>IF(OR(B12=0,B12=""),"",T.Data!N59)</f>
        <v/>
      </c>
      <c r="I12" s="316" t="str">
        <f>T.Data!Q59</f>
        <v/>
      </c>
    </row>
    <row r="13" spans="1:9" hidden="1" x14ac:dyDescent="0.2">
      <c r="A13" s="190" t="str">
        <f>IF(OR(B13=0,B13=""),"",6)</f>
        <v/>
      </c>
      <c r="B13" s="781" t="str">
        <f>IF(OR(T.Data!C60=0,T.Data!C60=""),"",T.Data!C60&amp;" "&amp;T.Data!F60)</f>
        <v/>
      </c>
      <c r="C13" s="782"/>
      <c r="D13" s="191" t="str">
        <f>IF(OR(T.Data!C60=0,T.Data!C60=""),"",T.Data!I60)</f>
        <v/>
      </c>
      <c r="E13" s="192" t="str">
        <f>IF(OR(B13=0,B13=""),"",T.Data!J60)</f>
        <v/>
      </c>
      <c r="F13" s="191" t="str">
        <f>IF(OR(B13=0,B13=""),"",T.Data!K60)</f>
        <v/>
      </c>
      <c r="G13" s="191" t="str">
        <f>IF(OR(B13=0,B13=""),"",T.Data!L60)</f>
        <v/>
      </c>
      <c r="H13" s="191" t="str">
        <f>IF(OR(B13=0,B13=""),"",T.Data!N60)</f>
        <v/>
      </c>
      <c r="I13" s="316" t="str">
        <f>T.Data!Q60</f>
        <v/>
      </c>
    </row>
    <row r="14" spans="1:9" hidden="1" x14ac:dyDescent="0.2">
      <c r="A14" s="190" t="str">
        <f>IF(OR(B14=0,B14=""),"",7)</f>
        <v/>
      </c>
      <c r="B14" s="781" t="str">
        <f>IF(OR(T.Data!C61=0,T.Data!C61=""),"",T.Data!C61&amp;" "&amp;T.Data!F61)</f>
        <v/>
      </c>
      <c r="C14" s="782"/>
      <c r="D14" s="191" t="str">
        <f>IF(OR(T.Data!C61=0,T.Data!C61=""),"",T.Data!I61)</f>
        <v/>
      </c>
      <c r="E14" s="192" t="str">
        <f>IF(OR(B14=0,B14=""),"",T.Data!J61)</f>
        <v/>
      </c>
      <c r="F14" s="191" t="str">
        <f>IF(OR(B14=0,B14=""),"",T.Data!K61)</f>
        <v/>
      </c>
      <c r="G14" s="191" t="str">
        <f>IF(OR(B14=0,B14=""),"",T.Data!L61)</f>
        <v/>
      </c>
      <c r="H14" s="191" t="str">
        <f>IF(OR(B14=0,B14=""),"",T.Data!N61)</f>
        <v/>
      </c>
      <c r="I14" s="316" t="str">
        <f>T.Data!Q61</f>
        <v/>
      </c>
    </row>
    <row r="15" spans="1:9" hidden="1" x14ac:dyDescent="0.2">
      <c r="A15" s="190" t="str">
        <f>IF(OR(B15=0,B15=""),"",8)</f>
        <v/>
      </c>
      <c r="B15" s="781" t="str">
        <f>IF(OR(T.Data!C62=0,T.Data!C62=""),"",T.Data!C62&amp;" "&amp;T.Data!F62)</f>
        <v/>
      </c>
      <c r="C15" s="782"/>
      <c r="D15" s="191" t="str">
        <f>IF(OR(T.Data!C62=0,T.Data!C62=""),"",T.Data!I62)</f>
        <v/>
      </c>
      <c r="E15" s="192" t="str">
        <f>IF(OR(B15=0,B15=""),"",T.Data!J62)</f>
        <v/>
      </c>
      <c r="F15" s="191" t="str">
        <f>IF(OR(B15=0,B15=""),"",T.Data!K62)</f>
        <v/>
      </c>
      <c r="G15" s="191" t="str">
        <f>IF(OR(B15=0,B15=""),"",T.Data!L62)</f>
        <v/>
      </c>
      <c r="H15" s="191" t="str">
        <f>IF(OR(B15=0,B15=""),"",T.Data!N62)</f>
        <v/>
      </c>
      <c r="I15" s="316" t="str">
        <f>T.Data!Q62</f>
        <v/>
      </c>
    </row>
    <row r="16" spans="1:9" hidden="1" x14ac:dyDescent="0.2">
      <c r="A16" s="190" t="str">
        <f>IF(OR(B16=0,B16=""),"",9)</f>
        <v/>
      </c>
      <c r="B16" s="781" t="str">
        <f>IF(OR(T.Data!C63=0,T.Data!C63=""),"",T.Data!C63&amp;" "&amp;T.Data!F63)</f>
        <v/>
      </c>
      <c r="C16" s="782"/>
      <c r="D16" s="191" t="str">
        <f>IF(OR(T.Data!C63=0,T.Data!C63=""),"",T.Data!I63)</f>
        <v/>
      </c>
      <c r="E16" s="192" t="str">
        <f>IF(OR(B16=0,B16=""),"",T.Data!J63)</f>
        <v/>
      </c>
      <c r="F16" s="191" t="str">
        <f>IF(OR(B16=0,B16=""),"",T.Data!K63)</f>
        <v/>
      </c>
      <c r="G16" s="191" t="str">
        <f>IF(OR(B16=0,B16=""),"",T.Data!L63)</f>
        <v/>
      </c>
      <c r="H16" s="191" t="str">
        <f>IF(OR(B16=0,B16=""),"",T.Data!N63)</f>
        <v/>
      </c>
      <c r="I16" s="316" t="str">
        <f>T.Data!Q63</f>
        <v/>
      </c>
    </row>
    <row r="17" spans="1:9" hidden="1" x14ac:dyDescent="0.2">
      <c r="A17" s="190" t="str">
        <f>IF(OR(B17=0,B17=""),"",10)</f>
        <v/>
      </c>
      <c r="B17" s="781" t="str">
        <f>IF(OR(T.Data!C64=0,T.Data!C64=""),"",T.Data!C64&amp;" "&amp;T.Data!F64)</f>
        <v/>
      </c>
      <c r="C17" s="782"/>
      <c r="D17" s="191" t="str">
        <f>IF(OR(T.Data!C64=0,T.Data!C64=""),"",T.Data!I64)</f>
        <v/>
      </c>
      <c r="E17" s="192" t="str">
        <f>IF(OR(B17=0,B17=""),"",T.Data!J64)</f>
        <v/>
      </c>
      <c r="F17" s="191" t="str">
        <f>IF(OR(B17=0,B17=""),"",T.Data!K64)</f>
        <v/>
      </c>
      <c r="G17" s="191" t="str">
        <f>IF(OR(B17=0,B17=""),"",T.Data!L64)</f>
        <v/>
      </c>
      <c r="H17" s="191" t="str">
        <f>IF(OR(B17=0,B17=""),"",T.Data!N64)</f>
        <v/>
      </c>
      <c r="I17" s="316" t="str">
        <f>T.Data!Q64</f>
        <v/>
      </c>
    </row>
    <row r="18" spans="1:9" hidden="1" x14ac:dyDescent="0.2">
      <c r="A18" s="791" t="s">
        <v>393</v>
      </c>
      <c r="B18" s="792"/>
      <c r="C18" s="792"/>
      <c r="D18" s="792"/>
      <c r="E18" s="792"/>
      <c r="F18" s="792"/>
      <c r="G18" s="793"/>
      <c r="H18" s="190">
        <f>SUM(H8:H17)</f>
        <v>0</v>
      </c>
    </row>
    <row r="19" spans="1:9" ht="7.5" hidden="1" customHeight="1" x14ac:dyDescent="0.2">
      <c r="A19" s="789"/>
      <c r="B19" s="789"/>
      <c r="C19" s="789"/>
      <c r="D19" s="789"/>
      <c r="E19" s="789"/>
      <c r="F19" s="789"/>
      <c r="G19" s="789"/>
      <c r="H19" s="789"/>
    </row>
    <row r="20" spans="1:9" ht="26.25" hidden="1" customHeight="1" x14ac:dyDescent="0.2">
      <c r="A20" s="784" t="str">
        <f>"Mən "&amp;SURNAME_KREDITOR&amp;" "&amp;NAME_KREDITOR&amp;" "&amp;FATHERNAME_KREDITOR&amp;" "&amp;G_KREDITOR&amp;" bildirirəm ki, siyahıda göstərilən qızıl-zinət əşyaları həqiqətən mənim şəxsi əmlakımdır və bu əmlakı girov kimi BOKT ''Vijn Fond Azərkredit'' MMC-yə təhvil verirəm.  Razılığımı imzamla təsdiq edirəm. İmza:____________"</f>
        <v>Mən Həsənov Kənan Asdan qızı bildirirəm ki, siyahıda göstərilən qızıl-zinət əşyaları həqiqətən mənim şəxsi əmlakımdır və bu əmlakı girov kimi BOKT ''Vijn Fond Azərkredit'' MMC-yə təhvil verirəm.  Razılığımı imzamla təsdiq edirəm. İmza:____________</v>
      </c>
      <c r="B20" s="784"/>
      <c r="C20" s="784"/>
      <c r="D20" s="784"/>
      <c r="E20" s="784"/>
      <c r="F20" s="784"/>
      <c r="G20" s="784"/>
      <c r="H20" s="784"/>
    </row>
    <row r="21" spans="1:9" hidden="1" x14ac:dyDescent="0.2">
      <c r="A21" s="783" t="str">
        <f>"Mən "&amp;SURNAME_BM&amp;" "&amp;NAME_BM&amp;" "&amp;FATHERNAME_BM&amp;" "&amp;G_BM&amp;" bildirirəm ki, birgə mülkiyyətimizdə olan və yuxarıda adları qeyd edilən  qızıl-zinət əşyalarını  BOKT ''Vijn Fond Azərkredit'' MMC-də girov qoyulmasına etiraz etmirəm. Razılığımı imzamla təsdiq edirəm. imza:____________"</f>
        <v>Mən     bildirirəm ki, birgə mülkiyyətimizdə olan və yuxarıda adları qeyd edilən  qızıl-zinət əşyalarını  BOKT ''Vijn Fond Azərkredit'' MMC-də girov qoyulmasına etiraz etmirəm. Razılığımı imzamla təsdiq edirəm. imza:____________</v>
      </c>
      <c r="B21" s="783"/>
      <c r="C21" s="783"/>
      <c r="D21" s="783"/>
      <c r="E21" s="783"/>
      <c r="F21" s="783"/>
      <c r="G21" s="783"/>
      <c r="H21" s="783"/>
    </row>
    <row r="22" spans="1:9" ht="30" hidden="1" customHeight="1" x14ac:dyDescent="0.2">
      <c r="A22" s="783" t="str">
        <f>"Mən "&amp;SURNAME_ZERGER&amp;" "&amp;NAME_ZERGER&amp;" "&amp;FATHERNAME_ZERGER&amp;" "&amp;G_ZERGER&amp;" qiymətləndirmə üzrə mütəxəssis qismində dəvət  edilərək yuxarıda adları qeyd edilmiş qızıl-zinət əşyalarının dəyərini tərəflərin iştirakı ilə qiymətləndirdim və bunu öz imzamla təsdiq edirəm.   imza:____________"</f>
        <v>Mən Rəhimli Rahim Əziz oğlu qiymətləndirmə üzrə mütəxəssis qismində dəvət  edilərək yuxarıda adları qeyd edilmiş qızıl-zinət əşyalarının dəyərini tərəflərin iştirakı ilə qiymətləndirdim və bunu öz imzamla təsdiq edirəm.   imza:____________</v>
      </c>
      <c r="B22" s="783"/>
      <c r="C22" s="783"/>
      <c r="D22" s="783"/>
      <c r="E22" s="783"/>
      <c r="F22" s="783"/>
      <c r="G22" s="783"/>
      <c r="H22" s="783"/>
    </row>
    <row r="23" spans="1:9" ht="26.25" hidden="1" customHeight="1" x14ac:dyDescent="0.2">
      <c r="A23" s="783" t="str">
        <f>"Girovqoyan tərəfindən təhvil verilən qızıl-zinət əşyaları Girov saxlayan tərəfindən qəbul edilərək "&amp;ADDRESS_BANK&amp;"nda  saxlanacaqdır."</f>
        <v>Girovqoyan tərəfindən təhvil verilən qızıl-zinət əşyaları Girov saxlayan tərəfindən qəbul edilərək Azərbaycan Beynəlxalq Bankı ASC-nin İmişli filialında  saxlanacaqdır.</v>
      </c>
      <c r="B23" s="783"/>
      <c r="C23" s="783"/>
      <c r="D23" s="783"/>
      <c r="E23" s="783"/>
      <c r="F23" s="783"/>
      <c r="G23" s="783"/>
      <c r="H23" s="783"/>
    </row>
    <row r="24" spans="1:9" ht="15" customHeight="1" x14ac:dyDescent="0.2">
      <c r="A24" s="777" t="str">
        <f>"Girov qoyulan "&amp;T.Data!J69&amp;"nın  spesifikasiyası."</f>
        <v>Girov qoyulan ev əşyalarının  spesifikasiyası.</v>
      </c>
      <c r="B24" s="777"/>
      <c r="C24" s="777"/>
      <c r="D24" s="777"/>
      <c r="E24" s="777"/>
      <c r="F24" s="777"/>
      <c r="G24" s="777"/>
      <c r="H24" s="777"/>
    </row>
    <row r="25" spans="1:9" ht="3" customHeight="1" x14ac:dyDescent="0.2">
      <c r="A25" s="778"/>
      <c r="B25" s="778"/>
      <c r="C25" s="778"/>
      <c r="D25" s="778"/>
      <c r="E25" s="778"/>
      <c r="F25" s="778"/>
      <c r="G25" s="778"/>
      <c r="H25" s="778"/>
    </row>
    <row r="26" spans="1:9" ht="26.25" customHeight="1" x14ac:dyDescent="0.2">
      <c r="A26" s="188" t="s">
        <v>212</v>
      </c>
      <c r="B26" s="779" t="s">
        <v>2</v>
      </c>
      <c r="C26" s="790"/>
      <c r="D26" s="188" t="s">
        <v>398</v>
      </c>
      <c r="E26" s="189" t="s">
        <v>404</v>
      </c>
      <c r="F26" s="188" t="s">
        <v>403</v>
      </c>
      <c r="G26" s="189" t="s">
        <v>402</v>
      </c>
      <c r="H26" s="188" t="s">
        <v>401</v>
      </c>
    </row>
    <row r="27" spans="1:9" ht="12" customHeight="1" x14ac:dyDescent="0.2">
      <c r="A27" s="190">
        <f>IF(OR(B27=0,B27=""),"",1)</f>
        <v>1</v>
      </c>
      <c r="B27" s="781" t="str">
        <f>IF(OR(T.Data!C71=0,T.Data!C71=""),"",T.Data!C71&amp;" "&amp;T.Data!F71)</f>
        <v>Tv Samsunq-102 ekran</v>
      </c>
      <c r="C27" s="788"/>
      <c r="D27" s="191" t="str">
        <f>IF(OR(B27=0,B27="")," ",T.Data!I71)</f>
        <v>1</v>
      </c>
      <c r="E27" s="192" t="str">
        <f>IF(OR(B27=0,B27="")," ",T.Data!J71)</f>
        <v>yaxşı</v>
      </c>
      <c r="F27" s="191" t="str">
        <f>IF(OR(B27=0,B27="")," ",T.Data!K71)</f>
        <v>qara</v>
      </c>
      <c r="G27" s="191">
        <f>IF(OR(B27=0,B27="")," ",T.Data!L71)</f>
        <v>800</v>
      </c>
      <c r="H27" s="191">
        <f>IF(OR(B27=0,B27="")," ",T.Data!N71)</f>
        <v>550</v>
      </c>
      <c r="I27" s="316">
        <f>T.Data!Q71</f>
        <v>550</v>
      </c>
    </row>
    <row r="28" spans="1:9" ht="12" customHeight="1" x14ac:dyDescent="0.2">
      <c r="A28" s="190">
        <f>IF(OR(B28=0,B28=""),"",2)</f>
        <v>2</v>
      </c>
      <c r="B28" s="781" t="str">
        <f>IF(OR(T.Data!C72=0,T.Data!C72=""),"",T.Data!C72&amp;" "&amp;T.Data!F72)</f>
        <v>Kondisioner Vestel</v>
      </c>
      <c r="C28" s="788"/>
      <c r="D28" s="191" t="str">
        <f>IF(OR(B28=0,B28="")," ",T.Data!I72)</f>
        <v>1</v>
      </c>
      <c r="E28" s="192" t="str">
        <f>IF(OR(B28=0,B28="")," ",T.Data!J72)</f>
        <v>yaxşı</v>
      </c>
      <c r="F28" s="191" t="str">
        <f>IF(OR(B28=0,B28="")," ",T.Data!K72)</f>
        <v>ağ</v>
      </c>
      <c r="G28" s="191">
        <f>IF(OR(B28=0,B28="")," ",T.Data!L72)</f>
        <v>600</v>
      </c>
      <c r="H28" s="191">
        <f>IF(OR(B28=0,B28="")," ",T.Data!N72)</f>
        <v>400</v>
      </c>
      <c r="I28" s="316">
        <f>T.Data!Q72</f>
        <v>400</v>
      </c>
    </row>
    <row r="29" spans="1:9" ht="12" customHeight="1" x14ac:dyDescent="0.2">
      <c r="A29" s="190">
        <f>IF(OR(B29=0,B29=""),"",3)</f>
        <v>3</v>
      </c>
      <c r="B29" s="781" t="str">
        <f>IF(OR(T.Data!C73=0,T.Data!C73=""),"",T.Data!C73&amp;" "&amp;T.Data!F73)</f>
        <v>Kompyüter  Asus</v>
      </c>
      <c r="C29" s="788"/>
      <c r="D29" s="191" t="str">
        <f>IF(OR(B29=0,B29="")," ",T.Data!I73)</f>
        <v>1</v>
      </c>
      <c r="E29" s="192" t="str">
        <f>IF(OR(B29=0,B29="")," ",T.Data!J73)</f>
        <v>yaxşı</v>
      </c>
      <c r="F29" s="191" t="str">
        <f>IF(OR(B29=0,B29="")," ",T.Data!K73)</f>
        <v>ağ</v>
      </c>
      <c r="G29" s="191">
        <f>IF(OR(B29=0,B29="")," ",T.Data!L73)</f>
        <v>300</v>
      </c>
      <c r="H29" s="191">
        <f>IF(OR(B29=0,B29="")," ",T.Data!N73)</f>
        <v>200</v>
      </c>
      <c r="I29" s="316">
        <f>T.Data!Q73</f>
        <v>200</v>
      </c>
    </row>
    <row r="30" spans="1:9" ht="12" customHeight="1" x14ac:dyDescent="0.2">
      <c r="A30" s="190">
        <f>IF(OR(B30=0,B30=""),"",4)</f>
        <v>4</v>
      </c>
      <c r="B30" s="781" t="str">
        <f>IF(OR(T.Data!C74=0,T.Data!C74=""),"",T.Data!C74&amp;" "&amp;T.Data!F74)</f>
        <v>Paltaryuyan Bosh</v>
      </c>
      <c r="C30" s="788"/>
      <c r="D30" s="191" t="str">
        <f>IF(OR(B30=0,B30="")," ",T.Data!I74)</f>
        <v>1</v>
      </c>
      <c r="E30" s="192" t="str">
        <f>IF(OR(B30=0,B30="")," ",T.Data!J74)</f>
        <v>yaxşı</v>
      </c>
      <c r="F30" s="191" t="str">
        <f>IF(OR(B30=0,B30="")," ",T.Data!K74)</f>
        <v>qara</v>
      </c>
      <c r="G30" s="191">
        <f>IF(OR(B30=0,B30="")," ",T.Data!L74)</f>
        <v>700</v>
      </c>
      <c r="H30" s="191">
        <f>IF(OR(B30=0,B30="")," ",T.Data!N74)</f>
        <v>490</v>
      </c>
      <c r="I30" s="316">
        <f>T.Data!Q74</f>
        <v>490</v>
      </c>
    </row>
    <row r="31" spans="1:9" ht="12" customHeight="1" x14ac:dyDescent="0.2">
      <c r="A31" s="190">
        <f>IF(OR(B31=0,B31=""),"",5)</f>
        <v>5</v>
      </c>
      <c r="B31" s="781" t="str">
        <f>IF(OR(T.Data!C75=0,T.Data!C75=""),"",T.Data!C75&amp;" "&amp;T.Data!F75)</f>
        <v>mebel (dəst)  Yataq</v>
      </c>
      <c r="C31" s="788"/>
      <c r="D31" s="191" t="str">
        <f>IF(OR(B31=0,B31="")," ",T.Data!I75)</f>
        <v>1</v>
      </c>
      <c r="E31" s="192" t="str">
        <f>IF(OR(B31=0,B31="")," ",T.Data!J75)</f>
        <v>yaxşı</v>
      </c>
      <c r="F31" s="191" t="str">
        <f>IF(OR(B31=0,B31="")," ",T.Data!K75)</f>
        <v>qəhvəyi</v>
      </c>
      <c r="G31" s="191">
        <f>IF(OR(B31=0,B31="")," ",T.Data!L75)</f>
        <v>1500</v>
      </c>
      <c r="H31" s="191">
        <f>IF(OR(B31=0,B31="")," ",T.Data!N75)</f>
        <v>1050</v>
      </c>
      <c r="I31" s="316">
        <f>T.Data!Q75</f>
        <v>1050</v>
      </c>
    </row>
    <row r="32" spans="1:9" ht="12" customHeight="1" x14ac:dyDescent="0.2">
      <c r="A32" s="190">
        <f>IF(OR(B32=0,B32=""),"",6)</f>
        <v>6</v>
      </c>
      <c r="B32" s="781" t="str">
        <f>IF(OR(T.Data!C76=0,T.Data!C76=""),"",T.Data!C76&amp;" "&amp;T.Data!F76)</f>
        <v>Pianino Belorus</v>
      </c>
      <c r="C32" s="788"/>
      <c r="D32" s="191" t="str">
        <f>IF(OR(B32=0,B32="")," ",T.Data!I76)</f>
        <v>1</v>
      </c>
      <c r="E32" s="192" t="str">
        <f>IF(OR(B32=0,B32="")," ",T.Data!J76)</f>
        <v>yaxşı</v>
      </c>
      <c r="F32" s="191" t="str">
        <f>IF(OR(B32=0,B32="")," ",T.Data!K76)</f>
        <v>qəhvəyi</v>
      </c>
      <c r="G32" s="191">
        <f>IF(OR(B32=0,B32="")," ",T.Data!L76)</f>
        <v>1000</v>
      </c>
      <c r="H32" s="191">
        <f>IF(OR(B32=0,B32="")," ",T.Data!N76)</f>
        <v>700</v>
      </c>
      <c r="I32" s="316">
        <f>T.Data!Q76</f>
        <v>700</v>
      </c>
    </row>
    <row r="33" spans="1:9" ht="12" customHeight="1" x14ac:dyDescent="0.2">
      <c r="A33" s="190">
        <f>IF(OR(B33=0,B33=""),"",7)</f>
        <v>7</v>
      </c>
      <c r="B33" s="781" t="str">
        <f>IF(OR(T.Data!C77=0,T.Data!C77=""),"",T.Data!C77&amp;" "&amp;T.Data!F77)</f>
        <v>mebel (dəst)  Divan-kreslo</v>
      </c>
      <c r="C33" s="788"/>
      <c r="D33" s="191" t="str">
        <f>IF(OR(B33=0,B33="")," ",T.Data!I77)</f>
        <v>1</v>
      </c>
      <c r="E33" s="192" t="str">
        <f>IF(OR(B33=0,B33="")," ",T.Data!J77)</f>
        <v>yaxşı</v>
      </c>
      <c r="F33" s="191" t="str">
        <f>IF(OR(B33=0,B33="")," ",T.Data!K77)</f>
        <v>qəhvəyi</v>
      </c>
      <c r="G33" s="191">
        <f>IF(OR(B33=0,B33="")," ",T.Data!L77)</f>
        <v>700</v>
      </c>
      <c r="H33" s="191">
        <f>IF(OR(B33=0,B33="")," ",T.Data!N77)</f>
        <v>490</v>
      </c>
      <c r="I33" s="316">
        <f>T.Data!Q77</f>
        <v>490</v>
      </c>
    </row>
    <row r="34" spans="1:9" ht="12" customHeight="1" x14ac:dyDescent="0.2">
      <c r="A34" s="190">
        <f>IF(OR(B34=0,B34=""),"",8)</f>
        <v>8</v>
      </c>
      <c r="B34" s="781" t="str">
        <f>IF(OR(T.Data!C78=0,T.Data!C78=""),"",T.Data!C78&amp;" "&amp;T.Data!F78)</f>
        <v xml:space="preserve">Televizor altı </v>
      </c>
      <c r="C34" s="788"/>
      <c r="D34" s="191" t="str">
        <f>IF(OR(B34=0,B34="")," ",T.Data!I78)</f>
        <v>1</v>
      </c>
      <c r="E34" s="192" t="str">
        <f>IF(OR(B34=0,B34="")," ",T.Data!J78)</f>
        <v>yaxşı</v>
      </c>
      <c r="F34" s="191" t="str">
        <f>IF(OR(B34=0,B34="")," ",T.Data!K78)</f>
        <v>qara</v>
      </c>
      <c r="G34" s="191">
        <f>IF(OR(B34=0,B34="")," ",T.Data!L78)</f>
        <v>500</v>
      </c>
      <c r="H34" s="191">
        <f>IF(OR(B34=0,B34="")," ",T.Data!N78)</f>
        <v>350</v>
      </c>
      <c r="I34" s="316">
        <f>T.Data!Q78</f>
        <v>350</v>
      </c>
    </row>
    <row r="35" spans="1:9" ht="12" customHeight="1" x14ac:dyDescent="0.2">
      <c r="A35" s="190">
        <f>IF(OR(B35=0,B35=""),"",9)</f>
        <v>9</v>
      </c>
      <c r="B35" s="781" t="str">
        <f>IF(OR(T.Data!C79=0,T.Data!C79=""),"",T.Data!C79&amp;" "&amp;T.Data!F79)</f>
        <v xml:space="preserve">Xalça </v>
      </c>
      <c r="C35" s="788"/>
      <c r="D35" s="191" t="str">
        <f>IF(OR(B35=0,B35="")," ",T.Data!I79)</f>
        <v>6</v>
      </c>
      <c r="E35" s="192" t="str">
        <f>IF(OR(B35=0,B35="")," ",T.Data!J79)</f>
        <v>yaxşı</v>
      </c>
      <c r="F35" s="191" t="str">
        <f>IF(OR(B35=0,B35="")," ",T.Data!K79)</f>
        <v>qarışıq</v>
      </c>
      <c r="G35" s="191">
        <f>IF(OR(B35=0,B35="")," ",T.Data!L79)</f>
        <v>1000</v>
      </c>
      <c r="H35" s="191">
        <f>IF(OR(B35=0,B35="")," ",T.Data!N79)</f>
        <v>700</v>
      </c>
      <c r="I35" s="316">
        <f>T.Data!Q79</f>
        <v>700</v>
      </c>
    </row>
    <row r="36" spans="1:9" ht="12" customHeight="1" x14ac:dyDescent="0.2">
      <c r="A36" s="190">
        <f>IF(OR(B36=0,B36=""),"",10)</f>
        <v>10</v>
      </c>
      <c r="B36" s="781" t="str">
        <f>IF(OR(T.Data!C80=0,T.Data!C80=""),"",T.Data!C80&amp;" "&amp;T.Data!F80)</f>
        <v>Rəqəmsal antena Super max</v>
      </c>
      <c r="C36" s="788"/>
      <c r="D36" s="191" t="str">
        <f>IF(OR(B36=0,B36="")," ",T.Data!I80)</f>
        <v>1</v>
      </c>
      <c r="E36" s="192" t="str">
        <f>IF(OR(B36=0,B36="")," ",T.Data!J80)</f>
        <v>yaxşı</v>
      </c>
      <c r="F36" s="191" t="str">
        <f>IF(OR(B36=0,B36="")," ",T.Data!K80)</f>
        <v>qara</v>
      </c>
      <c r="G36" s="191">
        <f>IF(OR(B36=0,B36="")," ",T.Data!L80)</f>
        <v>150</v>
      </c>
      <c r="H36" s="191">
        <f>IF(OR(B36=0,B36="")," ",T.Data!N80)</f>
        <v>100</v>
      </c>
      <c r="I36" s="316">
        <f>T.Data!Q80</f>
        <v>100</v>
      </c>
    </row>
    <row r="37" spans="1:9" ht="12" customHeight="1" x14ac:dyDescent="0.2">
      <c r="A37" s="190" t="str">
        <f>IF(OR(B37=0,B37=""),"",11)</f>
        <v/>
      </c>
      <c r="B37" s="781" t="str">
        <f>IF(OR(T.Data!C81=0,T.Data!C81=""),"",T.Data!C81&amp;" "&amp;T.Data!F81)</f>
        <v/>
      </c>
      <c r="C37" s="788"/>
      <c r="D37" s="191" t="str">
        <f>IF(OR(B37=0,B37="")," ",T.Data!I81)</f>
        <v xml:space="preserve"> </v>
      </c>
      <c r="E37" s="192" t="str">
        <f>IF(OR(B37=0,B37="")," ",T.Data!J81)</f>
        <v xml:space="preserve"> </v>
      </c>
      <c r="F37" s="191" t="str">
        <f>IF(OR(B37=0,B37="")," ",T.Data!K81)</f>
        <v xml:space="preserve"> </v>
      </c>
      <c r="G37" s="191" t="str">
        <f>IF(OR(B37=0,B37="")," ",T.Data!L81)</f>
        <v xml:space="preserve"> </v>
      </c>
      <c r="H37" s="191" t="str">
        <f>IF(OR(B37=0,B37="")," ",T.Data!N81)</f>
        <v xml:space="preserve"> </v>
      </c>
      <c r="I37" s="316" t="str">
        <f>T.Data!Q81</f>
        <v/>
      </c>
    </row>
    <row r="38" spans="1:9" ht="12" customHeight="1" x14ac:dyDescent="0.2">
      <c r="A38" s="190" t="str">
        <f>IF(OR(B38=0,B38=""),"",12)</f>
        <v/>
      </c>
      <c r="B38" s="781" t="str">
        <f>IF(OR(T.Data!C82=0,T.Data!C82=""),"",T.Data!C82&amp;" "&amp;T.Data!F82)</f>
        <v/>
      </c>
      <c r="C38" s="788"/>
      <c r="D38" s="191" t="str">
        <f>IF(OR(B38=0,B38="")," ",T.Data!I82)</f>
        <v xml:space="preserve"> </v>
      </c>
      <c r="E38" s="192" t="str">
        <f>IF(OR(B38=0,B38="")," ",T.Data!J82)</f>
        <v xml:space="preserve"> </v>
      </c>
      <c r="F38" s="191" t="str">
        <f>IF(OR(B38=0,B38="")," ",T.Data!K82)</f>
        <v xml:space="preserve"> </v>
      </c>
      <c r="G38" s="191" t="str">
        <f>IF(OR(B38=0,B38="")," ",T.Data!L82)</f>
        <v xml:space="preserve"> </v>
      </c>
      <c r="H38" s="191" t="str">
        <f>IF(OR(B38=0,B38="")," ",T.Data!N82)</f>
        <v xml:space="preserve"> </v>
      </c>
      <c r="I38" s="316" t="str">
        <f>T.Data!Q82</f>
        <v/>
      </c>
    </row>
    <row r="39" spans="1:9" ht="12" customHeight="1" x14ac:dyDescent="0.2">
      <c r="A39" s="190" t="str">
        <f>IF(OR(B39=0,B39=""),"",13)</f>
        <v/>
      </c>
      <c r="B39" s="781" t="str">
        <f>IF(OR(T.Data!C83=0,T.Data!C83=""),"",T.Data!C83&amp;" "&amp;T.Data!F83)</f>
        <v/>
      </c>
      <c r="C39" s="788"/>
      <c r="D39" s="191" t="str">
        <f>IF(OR(B39=0,B39="")," ",T.Data!I83)</f>
        <v xml:space="preserve"> </v>
      </c>
      <c r="E39" s="192" t="str">
        <f>IF(OR(B39=0,B39="")," ",T.Data!J83)</f>
        <v xml:space="preserve"> </v>
      </c>
      <c r="F39" s="191" t="str">
        <f>IF(OR(B39=0,B39="")," ",T.Data!K83)</f>
        <v xml:space="preserve"> </v>
      </c>
      <c r="G39" s="191" t="str">
        <f>IF(OR(B39=0,B39="")," ",T.Data!L83)</f>
        <v xml:space="preserve"> </v>
      </c>
      <c r="H39" s="191" t="str">
        <f>IF(OR(B39=0,B39="")," ",T.Data!N83)</f>
        <v xml:space="preserve"> </v>
      </c>
      <c r="I39" s="316" t="str">
        <f>T.Data!Q83</f>
        <v/>
      </c>
    </row>
    <row r="40" spans="1:9" ht="12" customHeight="1" x14ac:dyDescent="0.2">
      <c r="A40" s="190" t="str">
        <f>IF(OR(B40=0,B40=""),"",14)</f>
        <v/>
      </c>
      <c r="B40" s="781" t="str">
        <f>IF(OR(T.Data!C84=0,T.Data!C84=""),"",T.Data!C84&amp;" "&amp;T.Data!F84)</f>
        <v/>
      </c>
      <c r="C40" s="788"/>
      <c r="D40" s="191" t="str">
        <f>IF(OR(B40=0,B40="")," ",T.Data!I84)</f>
        <v xml:space="preserve"> </v>
      </c>
      <c r="E40" s="192" t="str">
        <f>IF(OR(B40=0,B40="")," ",T.Data!J84)</f>
        <v xml:space="preserve"> </v>
      </c>
      <c r="F40" s="191" t="str">
        <f>IF(OR(B40=0,B40="")," ",T.Data!K84)</f>
        <v xml:space="preserve"> </v>
      </c>
      <c r="G40" s="191" t="str">
        <f>IF(OR(B40=0,B40="")," ",T.Data!L84)</f>
        <v xml:space="preserve"> </v>
      </c>
      <c r="H40" s="191" t="str">
        <f>IF(OR(B40=0,B40="")," ",T.Data!N84)</f>
        <v xml:space="preserve"> </v>
      </c>
      <c r="I40" s="316" t="str">
        <f>T.Data!Q84</f>
        <v/>
      </c>
    </row>
    <row r="41" spans="1:9" ht="12" customHeight="1" x14ac:dyDescent="0.2">
      <c r="A41" s="190" t="str">
        <f>IF(OR(B41=0,B41=""),"",15)</f>
        <v/>
      </c>
      <c r="B41" s="781" t="str">
        <f>IF(OR(T.Data!C85=0,T.Data!C85=""),"",T.Data!C85&amp;" "&amp;T.Data!F85)</f>
        <v/>
      </c>
      <c r="C41" s="788"/>
      <c r="D41" s="191" t="str">
        <f>IF(OR(B41=0,B41="")," ",T.Data!I85)</f>
        <v xml:space="preserve"> </v>
      </c>
      <c r="E41" s="192" t="str">
        <f>IF(OR(B41=0,B41="")," ",T.Data!J85)</f>
        <v xml:space="preserve"> </v>
      </c>
      <c r="F41" s="191" t="str">
        <f>IF(OR(B41=0,B41="")," ",T.Data!K85)</f>
        <v xml:space="preserve"> </v>
      </c>
      <c r="G41" s="191" t="str">
        <f>IF(OR(B41=0,B41="")," ",T.Data!L85)</f>
        <v xml:space="preserve"> </v>
      </c>
      <c r="H41" s="191" t="str">
        <f>IF(OR(B41=0,B41="")," ",T.Data!N85)</f>
        <v xml:space="preserve"> </v>
      </c>
      <c r="I41" s="316" t="str">
        <f>T.Data!Q85</f>
        <v/>
      </c>
    </row>
    <row r="42" spans="1:9" ht="12" customHeight="1" x14ac:dyDescent="0.2">
      <c r="A42" s="190" t="str">
        <f>IF(OR(B42=0,B42=""),"",16)</f>
        <v/>
      </c>
      <c r="B42" s="781" t="str">
        <f>IF(OR(T.Data!C86=0,T.Data!C86=""),"",T.Data!C86&amp;" "&amp;T.Data!F86)</f>
        <v/>
      </c>
      <c r="C42" s="788"/>
      <c r="D42" s="191" t="str">
        <f>IF(OR(B42=0,B42="")," ",T.Data!I86)</f>
        <v xml:space="preserve"> </v>
      </c>
      <c r="E42" s="192" t="str">
        <f>IF(OR(B42=0,B42="")," ",T.Data!J86)</f>
        <v xml:space="preserve"> </v>
      </c>
      <c r="F42" s="191" t="str">
        <f>IF(OR(B42=0,B42="")," ",T.Data!K86)</f>
        <v xml:space="preserve"> </v>
      </c>
      <c r="G42" s="191" t="str">
        <f>IF(OR(B42=0,B42="")," ",T.Data!L86)</f>
        <v xml:space="preserve"> </v>
      </c>
      <c r="H42" s="191" t="str">
        <f>IF(OR(B42=0,B42="")," ",T.Data!N86)</f>
        <v xml:space="preserve"> </v>
      </c>
      <c r="I42" s="316" t="str">
        <f>T.Data!Q86</f>
        <v/>
      </c>
    </row>
    <row r="43" spans="1:9" ht="12" customHeight="1" x14ac:dyDescent="0.2">
      <c r="A43" s="190" t="str">
        <f>IF(OR(B43=0,B43=""),"",17)</f>
        <v/>
      </c>
      <c r="B43" s="781" t="str">
        <f>IF(OR(T.Data!C87=0,T.Data!C87=""),"",T.Data!C87&amp;" "&amp;T.Data!F87)</f>
        <v/>
      </c>
      <c r="C43" s="788"/>
      <c r="D43" s="191" t="str">
        <f>IF(OR(B43=0,B43="")," ",T.Data!I87)</f>
        <v xml:space="preserve"> </v>
      </c>
      <c r="E43" s="192" t="str">
        <f>IF(OR(B43=0,B43="")," ",T.Data!J87)</f>
        <v xml:space="preserve"> </v>
      </c>
      <c r="F43" s="191" t="str">
        <f>IF(OR(B43=0,B43="")," ",T.Data!K87)</f>
        <v xml:space="preserve"> </v>
      </c>
      <c r="G43" s="191" t="str">
        <f>IF(OR(B43=0,B43="")," ",T.Data!L87)</f>
        <v xml:space="preserve"> </v>
      </c>
      <c r="H43" s="191" t="str">
        <f>IF(OR(B43=0,B43="")," ",T.Data!N87)</f>
        <v xml:space="preserve"> </v>
      </c>
      <c r="I43" s="316" t="str">
        <f>T.Data!Q87</f>
        <v/>
      </c>
    </row>
    <row r="44" spans="1:9" ht="12" customHeight="1" x14ac:dyDescent="0.2">
      <c r="A44" s="190" t="str">
        <f>IF(OR(B44=0,B44=""),"",18)</f>
        <v/>
      </c>
      <c r="B44" s="781" t="str">
        <f>IF(OR(T.Data!C88=0,T.Data!C88=""),"",T.Data!C88&amp;" "&amp;T.Data!F88)</f>
        <v/>
      </c>
      <c r="C44" s="788"/>
      <c r="D44" s="191" t="str">
        <f>IF(OR(B44=0,B44="")," ",T.Data!I88)</f>
        <v xml:space="preserve"> </v>
      </c>
      <c r="E44" s="192" t="str">
        <f>IF(OR(B44=0,B44="")," ",T.Data!J88)</f>
        <v xml:space="preserve"> </v>
      </c>
      <c r="F44" s="191" t="str">
        <f>IF(OR(B44=0,B44="")," ",T.Data!K88)</f>
        <v xml:space="preserve"> </v>
      </c>
      <c r="G44" s="191" t="str">
        <f>IF(OR(B44=0,B44="")," ",T.Data!L88)</f>
        <v xml:space="preserve"> </v>
      </c>
      <c r="H44" s="191" t="str">
        <f>IF(OR(B44=0,B44="")," ",T.Data!N88)</f>
        <v xml:space="preserve"> </v>
      </c>
      <c r="I44" s="316" t="str">
        <f>T.Data!Q88</f>
        <v/>
      </c>
    </row>
    <row r="45" spans="1:9" ht="12" customHeight="1" x14ac:dyDescent="0.2">
      <c r="A45" s="190" t="str">
        <f>IF(OR(B45=0,B45=""),"",19)</f>
        <v/>
      </c>
      <c r="B45" s="781" t="str">
        <f>IF(OR(T.Data!C89=0,T.Data!C89=""),"",T.Data!C89&amp;" "&amp;T.Data!F89)</f>
        <v/>
      </c>
      <c r="C45" s="788"/>
      <c r="D45" s="191" t="str">
        <f>IF(OR(B45=0,B45="")," ",T.Data!I89)</f>
        <v xml:space="preserve"> </v>
      </c>
      <c r="E45" s="192" t="str">
        <f>IF(OR(B45=0,B45="")," ",T.Data!J89)</f>
        <v xml:space="preserve"> </v>
      </c>
      <c r="F45" s="191" t="str">
        <f>IF(OR(B45=0,B45="")," ",T.Data!K89)</f>
        <v xml:space="preserve"> </v>
      </c>
      <c r="G45" s="191" t="str">
        <f>IF(OR(B45=0,B45="")," ",T.Data!L89)</f>
        <v xml:space="preserve"> </v>
      </c>
      <c r="H45" s="191" t="str">
        <f>IF(OR(B45=0,B45="")," ",T.Data!N89)</f>
        <v xml:space="preserve"> </v>
      </c>
      <c r="I45" s="316" t="str">
        <f>T.Data!Q89</f>
        <v/>
      </c>
    </row>
    <row r="46" spans="1:9" ht="12" customHeight="1" x14ac:dyDescent="0.2">
      <c r="A46" s="190" t="str">
        <f>IF(OR(B46=0,B46=""),"",20)</f>
        <v/>
      </c>
      <c r="B46" s="781" t="str">
        <f>IF(OR(T.Data!C90=0,T.Data!C90=""),"",T.Data!C90&amp;" "&amp;T.Data!F90)</f>
        <v/>
      </c>
      <c r="C46" s="788"/>
      <c r="D46" s="191" t="str">
        <f>IF(OR(B46=0,B46="")," ",T.Data!I90)</f>
        <v xml:space="preserve"> </v>
      </c>
      <c r="E46" s="192" t="str">
        <f>IF(OR(B46=0,B46="")," ",T.Data!J90)</f>
        <v xml:space="preserve"> </v>
      </c>
      <c r="F46" s="191" t="str">
        <f>IF(OR(B46=0,B46="")," ",T.Data!K90)</f>
        <v xml:space="preserve"> </v>
      </c>
      <c r="G46" s="191" t="str">
        <f>IF(OR(B46=0,B46="")," ",T.Data!L90)</f>
        <v xml:space="preserve"> </v>
      </c>
      <c r="H46" s="191" t="str">
        <f>IF(OR(B46=0,B46="")," ",T.Data!N90)</f>
        <v xml:space="preserve"> </v>
      </c>
      <c r="I46" s="316" t="str">
        <f>T.Data!Q90</f>
        <v/>
      </c>
    </row>
    <row r="47" spans="1:9" ht="12" customHeight="1" x14ac:dyDescent="0.2">
      <c r="A47" s="791" t="s">
        <v>393</v>
      </c>
      <c r="B47" s="792"/>
      <c r="C47" s="792"/>
      <c r="D47" s="792"/>
      <c r="E47" s="792"/>
      <c r="F47" s="792"/>
      <c r="G47" s="793"/>
      <c r="H47" s="190">
        <f>SUM(H27:H46)</f>
        <v>5030</v>
      </c>
    </row>
    <row r="48" spans="1:9" ht="4.5" customHeight="1" x14ac:dyDescent="0.2">
      <c r="A48" s="789"/>
      <c r="B48" s="789"/>
      <c r="C48" s="789"/>
      <c r="D48" s="789"/>
      <c r="E48" s="789"/>
      <c r="F48" s="789"/>
      <c r="G48" s="789"/>
      <c r="H48" s="789"/>
    </row>
    <row r="49" spans="1:18" ht="37.5" customHeight="1" x14ac:dyDescent="0.2">
      <c r="A49" s="784" t="str">
        <f>"Mən "&amp;SURNAME_KREDITOR&amp;" "&amp;NAME_KREDITOR&amp;" "&amp;FATHERNAME_KREDITOR&amp;" "&amp;G_KREDITOR&amp;"  bildirirəm ki, siyahıda göstərilən "&amp;T.Data!J69&amp;" həqiqətən mənim şəxsi əmlakımdır və bu əmlakı girov kimi BOKT ''Vijn Fond Azərkredit'' MMC-yə təqdim edirəm.  Söz verirəm ki,  BOKT "&amp;"''VF Azərkreditə''"&amp;" MMC-yə kredit borcumu tam ödəyənədək bu siyahıdakı "&amp;T.Data!J69&amp;"n heç birini satmayacağam, hədiyyə və girova qoymayacağam. "</f>
        <v xml:space="preserve">Mən Həsənov Kənan Asdan qızı  bildirirəm ki, siyahıda göstərilən ev əşyaları həqiqətən mənim şəxsi əmlakımdır və bu əmlakı girov kimi BOKT ''Vijn Fond Azərkredit'' MMC-yə təqdim edirəm.  Söz verirəm ki,  BOKT ''VF Azərkreditə'' MMC-yə kredit borcumu tam ödəyənədək bu siyahıdakı ev əşyaların heç birini satmayacağam, hədiyyə və girova qoymayacağam. </v>
      </c>
      <c r="B49" s="784"/>
      <c r="C49" s="784"/>
      <c r="D49" s="784"/>
      <c r="E49" s="784"/>
      <c r="F49" s="784"/>
      <c r="G49" s="784"/>
      <c r="H49" s="784"/>
    </row>
    <row r="50" spans="1:18" ht="29.25" hidden="1" customHeight="1" x14ac:dyDescent="0.2">
      <c r="A50" s="783" t="str">
        <f>"Mən "&amp;SURNAME_BM&amp;" "&amp;NAME_BM&amp;" "&amp;FATHERNAME_BM&amp;" "&amp;G_BM&amp;" bildirirəm ki, birgə mülkiyyətimizdə olan və yuxarıda adları qeyd edilən ev "&amp;T.Data!J69&amp;"nın BOKT ''Vijn Fond Azərkredit'' MMC-də girov qoyulmasına etiraz etmirəm. Razılığımı imzamla təsdiq edirəm. imza:____________"</f>
        <v>Mən     bildirirəm ki, birgə mülkiyyətimizdə olan və yuxarıda adları qeyd edilən ev ev əşyalarının BOKT ''Vijn Fond Azərkredit'' MMC-də girov qoyulmasına etiraz etmirəm. Razılığımı imzamla təsdiq edirəm. imza:____________</v>
      </c>
      <c r="B50" s="783"/>
      <c r="C50" s="783"/>
      <c r="D50" s="783"/>
      <c r="E50" s="783"/>
      <c r="F50" s="783"/>
      <c r="G50" s="783"/>
      <c r="H50" s="783"/>
    </row>
    <row r="51" spans="1:18" ht="38.25" customHeight="1" x14ac:dyDescent="0.2">
      <c r="A51" s="783" t="str">
        <f>"Mən "&amp;SURNAME_KM&amp;" "&amp;NAME_KM&amp;" "&amp;FATHERNAME_KM&amp;" "&amp;G_KM&amp;" BOKT ''Vijn Fond Azərkredit'' MMC-nin  "&amp;POSITION_KM&amp;" yuxarıda adları qeyd edilən "&amp;T.Data!J69&amp;"na baxış keçirtdim, onların dəyərini real bazar qiymətini nəzərə alaraq qiymətləndirdim və bunu öz imzamla təsdiq edirəm.   imza:____________"</f>
        <v>Mən Əhmədov  Məhəmməd  Nizam  oğlu BOKT ''Vijn Fond Azərkredit'' MMC-nin  Baş kredit mütəxəssisi yuxarıda adları qeyd edilən ev əşyalarına baxış keçirtdim, onların dəyərini real bazar qiymətini nəzərə alaraq qiymətləndirdim və bunu öz imzamla təsdiq edirəm.   imza:____________</v>
      </c>
      <c r="B51" s="783"/>
      <c r="C51" s="783"/>
      <c r="D51" s="783"/>
      <c r="E51" s="783"/>
      <c r="F51" s="783"/>
      <c r="G51" s="783"/>
      <c r="H51" s="783"/>
    </row>
    <row r="52" spans="1:18" ht="20.25" customHeight="1" x14ac:dyDescent="0.2">
      <c r="A52" s="783" t="str">
        <f>"Girovqoyan tərəfindən girov qoyulan "&amp;T.Data!J69&amp;" Girov qoyanın "&amp;ADDRESS_KREDITOR_NOW&amp;" ünvanında saxlanacaqdır."</f>
        <v>Girovqoyan tərəfindən girov qoyulan ev əşyaları Girov qoyanın Mingəçevir şəh., H.Əliyev PR., ev. 76/1, m. 22  ünvanında saxlanacaqdır.</v>
      </c>
      <c r="B52" s="783"/>
      <c r="C52" s="783"/>
      <c r="D52" s="783"/>
      <c r="E52" s="783"/>
      <c r="F52" s="783"/>
      <c r="G52" s="783"/>
      <c r="H52" s="783"/>
    </row>
    <row r="53" spans="1:18" ht="4.5" customHeight="1" x14ac:dyDescent="0.2">
      <c r="A53" s="193"/>
      <c r="B53" s="193"/>
      <c r="C53" s="193"/>
      <c r="D53" s="193"/>
      <c r="E53" s="193"/>
      <c r="F53" s="193"/>
      <c r="G53" s="193"/>
      <c r="H53" s="193"/>
    </row>
    <row r="54" spans="1:18" ht="18" customHeight="1" x14ac:dyDescent="0.2">
      <c r="A54" s="785" t="s">
        <v>869</v>
      </c>
      <c r="B54" s="786"/>
      <c r="C54" s="786"/>
      <c r="D54" s="785" t="s">
        <v>870</v>
      </c>
      <c r="E54" s="786"/>
      <c r="F54" s="786"/>
      <c r="G54" s="786"/>
      <c r="H54" s="787"/>
    </row>
    <row r="55" spans="1:18" ht="13.5" customHeight="1" x14ac:dyDescent="0.2">
      <c r="A55" s="194"/>
      <c r="B55" s="187"/>
      <c r="C55" s="195"/>
      <c r="D55" s="196"/>
      <c r="E55" s="197"/>
      <c r="F55" s="795" t="str">
        <f>SURNAME_KREDITOR&amp;" "&amp;NAME_KREDITOR&amp;" "&amp;FATHERNAME_KREDITOR&amp;" "&amp;G_KREDITOR</f>
        <v>Həsənov Kənan Asdan qızı</v>
      </c>
      <c r="G55" s="795"/>
      <c r="H55" s="796"/>
    </row>
    <row r="56" spans="1:18" ht="11.25" customHeight="1" x14ac:dyDescent="0.2">
      <c r="A56" s="797" t="str">
        <f>"BOKT «Vijn Fond Azərkredit» MMC, "&amp;NAME_BRANCH&amp;""</f>
        <v>BOKT «Vijn Fond Azərkredit» MMC, Ağcabədi  Filialının</v>
      </c>
      <c r="B56" s="798"/>
      <c r="C56" s="798"/>
      <c r="D56" s="799" t="str">
        <f>IF(OR(F56=0,F56=""),"","Şəxsiyyət vəsiqəsi: ")</f>
        <v xml:space="preserve">Şəxsiyyət vəsiqəsi: </v>
      </c>
      <c r="E56" s="800"/>
      <c r="F56" s="801" t="str">
        <f>IF(OR(SHV_SN_KREDITOR=0,SHV_D_KREDITOR=0,SHV_R_KREDITOR=0,SHV_SN_KREDITOR="",SHV_D_KREDITOR="",SHV_R_KREDITOR=""),"",SHV_SN_KREDITOR&amp;"  "&amp;T.Data!G21&amp;" "&amp;SHV_R_KREDITOR&amp;" tərəfindən verilmişdir.")</f>
        <v>AZE № 14577224  «27» May 2014-cü il Mingəçevir ŞPŞ tərəfindən verilmişdir.</v>
      </c>
      <c r="G56" s="801"/>
      <c r="H56" s="802"/>
      <c r="J56" s="39"/>
      <c r="K56" s="37"/>
      <c r="L56" s="37"/>
      <c r="M56" s="37"/>
      <c r="N56" s="37"/>
      <c r="O56" s="37"/>
      <c r="P56" s="37"/>
      <c r="Q56" s="37"/>
      <c r="R56" s="37"/>
    </row>
    <row r="57" spans="1:18" ht="11.25" customHeight="1" x14ac:dyDescent="0.2">
      <c r="A57" s="334"/>
      <c r="B57" s="335"/>
      <c r="C57" s="335"/>
      <c r="D57" s="225"/>
      <c r="E57" s="226"/>
      <c r="F57" s="801"/>
      <c r="G57" s="801"/>
      <c r="H57" s="802"/>
      <c r="J57" s="39"/>
      <c r="K57" s="37"/>
      <c r="L57" s="37"/>
      <c r="M57" s="37"/>
      <c r="N57" s="37"/>
      <c r="O57" s="37"/>
      <c r="P57" s="37"/>
      <c r="Q57" s="37"/>
      <c r="R57" s="37"/>
    </row>
    <row r="58" spans="1:18" x14ac:dyDescent="0.2">
      <c r="A58" s="803" t="str">
        <f>POSITION_MENEGER_BRANCH&amp;" "&amp;SURNAME_MENEGER_BRANCH&amp;" "&amp;NAME_MENEGER_BRANCH&amp;" "&amp;FATHERNAME_MENEGER_BRANCH&amp;" "&amp;G_MENEGER_BRANCH</f>
        <v>kredit meneceri Əhmədov  Bəhruz  Tofiq  oğlu</v>
      </c>
      <c r="B58" s="804"/>
      <c r="C58" s="805"/>
      <c r="D58" s="198"/>
      <c r="E58" s="199"/>
      <c r="F58" s="801"/>
      <c r="G58" s="801"/>
      <c r="H58" s="802"/>
      <c r="J58" s="39"/>
      <c r="K58" s="37"/>
      <c r="L58" s="37"/>
      <c r="M58" s="37"/>
      <c r="N58" s="37"/>
      <c r="O58" s="37"/>
      <c r="P58" s="37"/>
      <c r="Q58" s="37"/>
      <c r="R58" s="37"/>
    </row>
    <row r="59" spans="1:18" ht="11.25" customHeight="1" x14ac:dyDescent="0.2">
      <c r="A59" s="194"/>
      <c r="B59" s="187"/>
      <c r="C59" s="187"/>
      <c r="D59" s="806" t="str">
        <f>IF(OR(F59=0,F59=""),"","Ünvan:")</f>
        <v>Ünvan:</v>
      </c>
      <c r="E59" s="807"/>
      <c r="F59" s="809" t="str">
        <f>ADDRESS_KREDITOR</f>
        <v xml:space="preserve">Mingəçevir şəh., H.Əliyev PR., ev. 76/1, m. 22 </v>
      </c>
      <c r="G59" s="809"/>
      <c r="H59" s="810"/>
      <c r="J59" s="39"/>
      <c r="K59" s="37"/>
      <c r="L59" s="37"/>
      <c r="M59" s="40"/>
      <c r="N59" s="37"/>
      <c r="O59" s="40"/>
      <c r="P59" s="37"/>
      <c r="Q59" s="37"/>
      <c r="R59" s="37"/>
    </row>
    <row r="60" spans="1:18" ht="12" customHeight="1" x14ac:dyDescent="0.2">
      <c r="A60" s="200" t="str">
        <f>IF(OR(B60=0,B60=""),"","Ünvan:")</f>
        <v>Ünvan:</v>
      </c>
      <c r="B60" s="808" t="str">
        <f>NAME_REGION&amp;", "&amp;ADDRESS_REGION</f>
        <v>Ağcabədi şəhəri, İ.Qayıbov 2</v>
      </c>
      <c r="C60" s="808"/>
      <c r="D60" s="201"/>
      <c r="E60" s="202"/>
      <c r="F60" s="809"/>
      <c r="G60" s="809"/>
      <c r="H60" s="810"/>
      <c r="J60" s="39"/>
      <c r="K60" s="39"/>
      <c r="L60" s="38"/>
      <c r="M60" s="38"/>
      <c r="N60" s="38"/>
      <c r="O60" s="38"/>
      <c r="P60" s="38"/>
      <c r="Q60" s="37"/>
      <c r="R60" s="37"/>
    </row>
    <row r="61" spans="1:18" ht="10.5" customHeight="1" x14ac:dyDescent="0.2">
      <c r="A61" s="203" t="str">
        <f>IF(OR(B61=0,B61=""),"","Telefon:")</f>
        <v>Telefon:</v>
      </c>
      <c r="B61" s="168" t="str">
        <f>IF(OR(NUM_BRANCH=0,NUM_BRANCH=""),"",NUM_BRANCH)</f>
        <v>(+994 24) 274 13 23</v>
      </c>
      <c r="C61" s="204"/>
      <c r="D61" s="201"/>
      <c r="E61" s="202"/>
      <c r="F61" s="809"/>
      <c r="G61" s="809"/>
      <c r="H61" s="810"/>
      <c r="J61" s="39"/>
      <c r="K61" s="39"/>
      <c r="L61" s="38"/>
      <c r="M61" s="38"/>
      <c r="N61" s="38"/>
      <c r="O61" s="38"/>
      <c r="P61" s="38"/>
      <c r="Q61" s="37"/>
      <c r="R61" s="37"/>
    </row>
    <row r="62" spans="1:18" x14ac:dyDescent="0.2">
      <c r="A62" s="203" t="str">
        <f>IF(OR(B62=0,B62=""),"","Faks:")</f>
        <v>Faks:</v>
      </c>
      <c r="B62" s="168" t="str">
        <f>IF(OR(FAX_BRANCH=0,FAX_BRANCH=""),"",FAX_BRANCH)</f>
        <v>(+994 24) 274 20 24</v>
      </c>
      <c r="C62" s="204"/>
      <c r="D62" s="806" t="str">
        <f>IF(OR(F62=0,F62=""),"","Telefon:")</f>
        <v>Telefon:</v>
      </c>
      <c r="E62" s="807"/>
      <c r="F62" s="811" t="str">
        <f>IF(OR(NUM_1_KREDITOR=0,NUM_1_KREDITOR=""),"",NUM_1_KREDITOR&amp;"; ")&amp;IF(OR(NUM_2_KREDITOR=0,NUM_2_KREDITOR=""),"",NUM_2_KREDITOR&amp;"; ")</f>
        <v xml:space="preserve">055-915-96-56; </v>
      </c>
      <c r="G62" s="811"/>
      <c r="H62" s="812"/>
      <c r="J62" s="39"/>
      <c r="K62" s="39"/>
      <c r="L62" s="38"/>
      <c r="M62" s="38"/>
      <c r="N62" s="38"/>
      <c r="O62" s="38"/>
      <c r="P62" s="38"/>
      <c r="Q62" s="37"/>
      <c r="R62" s="37"/>
    </row>
    <row r="63" spans="1:18" ht="12" customHeight="1" x14ac:dyDescent="0.2">
      <c r="A63" s="194"/>
      <c r="B63" s="202"/>
      <c r="C63" s="202"/>
      <c r="D63" s="194"/>
      <c r="E63" s="187"/>
      <c r="F63" s="187"/>
      <c r="G63" s="187"/>
      <c r="H63" s="205"/>
      <c r="J63" s="37"/>
      <c r="K63" s="37"/>
      <c r="L63" s="37"/>
      <c r="M63" s="37"/>
      <c r="N63" s="37"/>
      <c r="O63" s="37"/>
      <c r="P63" s="37"/>
      <c r="Q63" s="37"/>
      <c r="R63" s="37"/>
    </row>
    <row r="64" spans="1:18" ht="15" customHeight="1" x14ac:dyDescent="0.2">
      <c r="A64" s="206" t="s">
        <v>97</v>
      </c>
      <c r="B64" s="207"/>
      <c r="C64" s="208"/>
      <c r="D64" s="206" t="s">
        <v>97</v>
      </c>
      <c r="E64" s="794"/>
      <c r="F64" s="794"/>
      <c r="G64" s="794"/>
      <c r="H64" s="205"/>
    </row>
    <row r="65" spans="1:8" ht="9" customHeight="1" x14ac:dyDescent="0.2">
      <c r="A65" s="209"/>
      <c r="B65" s="210"/>
      <c r="C65" s="211"/>
      <c r="D65" s="212"/>
      <c r="E65" s="207"/>
      <c r="F65" s="207"/>
      <c r="G65" s="207"/>
      <c r="H65" s="213"/>
    </row>
  </sheetData>
  <mergeCells count="63">
    <mergeCell ref="B28:C28"/>
    <mergeCell ref="B29:C29"/>
    <mergeCell ref="B30:C30"/>
    <mergeCell ref="B31:C31"/>
    <mergeCell ref="B45:C45"/>
    <mergeCell ref="E64:G64"/>
    <mergeCell ref="F55:H55"/>
    <mergeCell ref="A56:C56"/>
    <mergeCell ref="D56:E56"/>
    <mergeCell ref="F56:H58"/>
    <mergeCell ref="A58:C58"/>
    <mergeCell ref="D59:E59"/>
    <mergeCell ref="B60:C60"/>
    <mergeCell ref="F59:H61"/>
    <mergeCell ref="D62:E62"/>
    <mergeCell ref="F62:H62"/>
    <mergeCell ref="B14:C14"/>
    <mergeCell ref="B15:C15"/>
    <mergeCell ref="B16:C16"/>
    <mergeCell ref="B17:C17"/>
    <mergeCell ref="A18:G18"/>
    <mergeCell ref="A23:H23"/>
    <mergeCell ref="A19:H19"/>
    <mergeCell ref="A49:H49"/>
    <mergeCell ref="A50:H50"/>
    <mergeCell ref="A51:H51"/>
    <mergeCell ref="B43:C43"/>
    <mergeCell ref="B36:C36"/>
    <mergeCell ref="B27:C27"/>
    <mergeCell ref="B26:C26"/>
    <mergeCell ref="B46:C46"/>
    <mergeCell ref="A47:G47"/>
    <mergeCell ref="B32:C32"/>
    <mergeCell ref="B33:C33"/>
    <mergeCell ref="B34:C34"/>
    <mergeCell ref="B35:C35"/>
    <mergeCell ref="B37:C37"/>
    <mergeCell ref="A54:C54"/>
    <mergeCell ref="D54:H54"/>
    <mergeCell ref="B38:C38"/>
    <mergeCell ref="B39:C39"/>
    <mergeCell ref="B40:C40"/>
    <mergeCell ref="A52:H52"/>
    <mergeCell ref="A48:H48"/>
    <mergeCell ref="B41:C41"/>
    <mergeCell ref="B42:C42"/>
    <mergeCell ref="B44:C44"/>
    <mergeCell ref="A1:H1"/>
    <mergeCell ref="A2:H2"/>
    <mergeCell ref="A3:H3"/>
    <mergeCell ref="A24:H24"/>
    <mergeCell ref="A25:H25"/>
    <mergeCell ref="B7:C7"/>
    <mergeCell ref="B8:C8"/>
    <mergeCell ref="B9:C9"/>
    <mergeCell ref="B10:C10"/>
    <mergeCell ref="B11:C11"/>
    <mergeCell ref="A5:H5"/>
    <mergeCell ref="A21:H21"/>
    <mergeCell ref="A22:H22"/>
    <mergeCell ref="B12:C12"/>
    <mergeCell ref="B13:C13"/>
    <mergeCell ref="A20:H20"/>
  </mergeCells>
  <pageMargins left="0.68" right="0.36" top="0.59" bottom="0.32" header="0.57999999999999996" footer="0.31496062992125984"/>
  <pageSetup paperSize="9" scale="92"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39997558519241921"/>
  </sheetPr>
  <dimension ref="A1:S189"/>
  <sheetViews>
    <sheetView showGridLines="0" showRowColHeaders="0" view="pageBreakPreview" zoomScaleNormal="100" zoomScaleSheetLayoutView="100" workbookViewId="0">
      <selection activeCell="O16" sqref="O16"/>
    </sheetView>
  </sheetViews>
  <sheetFormatPr defaultRowHeight="11.25" x14ac:dyDescent="0.2"/>
  <cols>
    <col min="1" max="1" width="10.7109375" style="262" customWidth="1"/>
    <col min="2" max="2" width="6" style="262" customWidth="1"/>
    <col min="3" max="3" width="7.7109375" style="262" customWidth="1"/>
    <col min="4" max="4" width="7" style="262" customWidth="1"/>
    <col min="5" max="5" width="11.7109375" style="262" customWidth="1"/>
    <col min="6" max="6" width="8.85546875" style="262" customWidth="1"/>
    <col min="7" max="7" width="8.42578125" style="262" customWidth="1"/>
    <col min="8" max="8" width="7.7109375" style="262" customWidth="1"/>
    <col min="9" max="9" width="8.5703125" style="262" customWidth="1"/>
    <col min="10" max="10" width="10.85546875" style="262" customWidth="1"/>
    <col min="11" max="11" width="4.28515625" style="263" customWidth="1"/>
    <col min="12" max="12" width="23.7109375" style="262" customWidth="1"/>
    <col min="13" max="13" width="31.7109375" style="262" customWidth="1"/>
    <col min="14" max="14" width="14.85546875" style="262" customWidth="1"/>
    <col min="15" max="15" width="20.140625" style="262" customWidth="1"/>
    <col min="16" max="16" width="12" style="262" customWidth="1"/>
    <col min="17" max="17" width="16.28515625" style="439" customWidth="1"/>
    <col min="18" max="18" width="9.28515625" style="262" customWidth="1"/>
    <col min="19" max="19" width="9.140625" style="262" customWidth="1"/>
    <col min="20" max="16384" width="9.140625" style="262"/>
  </cols>
  <sheetData>
    <row r="1" spans="1:19" x14ac:dyDescent="0.2">
      <c r="A1" s="844" t="str">
        <f>START_DATE_KREDIT_SOZLE&amp;" tarixli "&amp;LD_NUM&amp;" saylı kredit müqaviləsinə"</f>
        <v>«31» İyul 2015-ci il tarixli LD/15212/00143 saylı kredit müqaviləsinə</v>
      </c>
      <c r="B1" s="844"/>
      <c r="C1" s="844"/>
      <c r="D1" s="844"/>
      <c r="E1" s="844"/>
      <c r="F1" s="844"/>
      <c r="G1" s="844"/>
      <c r="H1" s="844"/>
      <c r="I1" s="844"/>
      <c r="J1" s="844"/>
    </row>
    <row r="2" spans="1:19" ht="3.75" customHeight="1" x14ac:dyDescent="0.2">
      <c r="A2" s="264"/>
      <c r="B2" s="264"/>
      <c r="C2" s="264"/>
      <c r="D2" s="265"/>
      <c r="E2" s="266"/>
      <c r="F2" s="266"/>
      <c r="G2" s="266"/>
      <c r="H2" s="266"/>
      <c r="I2" s="266"/>
      <c r="J2" s="266"/>
    </row>
    <row r="3" spans="1:19" x14ac:dyDescent="0.2">
      <c r="A3" s="844" t="s">
        <v>410</v>
      </c>
      <c r="B3" s="844"/>
      <c r="C3" s="844"/>
      <c r="D3" s="844"/>
      <c r="E3" s="844"/>
      <c r="F3" s="844"/>
      <c r="G3" s="844"/>
      <c r="H3" s="844"/>
      <c r="I3" s="844"/>
      <c r="J3" s="844"/>
    </row>
    <row r="4" spans="1:19" ht="4.5" customHeight="1" x14ac:dyDescent="0.2">
      <c r="A4" s="267"/>
      <c r="B4" s="267"/>
      <c r="C4" s="267"/>
      <c r="D4" s="267"/>
      <c r="E4" s="265"/>
      <c r="F4" s="267"/>
      <c r="G4" s="267"/>
      <c r="H4" s="267"/>
      <c r="I4" s="267"/>
      <c r="J4" s="267"/>
    </row>
    <row r="5" spans="1:19" x14ac:dyDescent="0.2">
      <c r="A5" s="845" t="s">
        <v>221</v>
      </c>
      <c r="B5" s="845"/>
      <c r="C5" s="845"/>
      <c r="D5" s="845"/>
      <c r="E5" s="845"/>
      <c r="F5" s="845"/>
      <c r="G5" s="845"/>
      <c r="H5" s="845"/>
      <c r="I5" s="845"/>
      <c r="J5" s="845"/>
    </row>
    <row r="6" spans="1:19" ht="6.75" customHeight="1" x14ac:dyDescent="0.2">
      <c r="A6" s="267"/>
      <c r="B6" s="267"/>
      <c r="C6" s="267"/>
      <c r="D6" s="267"/>
      <c r="E6" s="267"/>
      <c r="F6" s="267"/>
      <c r="G6" s="267"/>
      <c r="H6" s="267"/>
      <c r="I6" s="267"/>
      <c r="J6" s="267"/>
    </row>
    <row r="7" spans="1:19" x14ac:dyDescent="0.2">
      <c r="A7" s="846" t="str">
        <f>NAME_REGION</f>
        <v>Ağcabədi şəhəri</v>
      </c>
      <c r="B7" s="846"/>
      <c r="C7" s="265"/>
      <c r="D7" s="265"/>
      <c r="E7" s="265"/>
      <c r="F7" s="265"/>
      <c r="G7" s="265"/>
      <c r="H7" s="265"/>
      <c r="I7" s="267"/>
      <c r="J7" s="268">
        <f>START_DATE_KREDIT</f>
        <v>42216</v>
      </c>
    </row>
    <row r="8" spans="1:19" x14ac:dyDescent="0.2">
      <c r="A8" s="267"/>
      <c r="B8" s="265"/>
      <c r="C8" s="265"/>
      <c r="D8" s="265"/>
      <c r="E8" s="265"/>
      <c r="F8" s="265"/>
      <c r="G8" s="265"/>
      <c r="H8" s="265"/>
      <c r="I8" s="267"/>
      <c r="J8" s="267"/>
    </row>
    <row r="9" spans="1:19" ht="11.25" customHeight="1" x14ac:dyDescent="0.2">
      <c r="A9" s="269" t="s">
        <v>464</v>
      </c>
      <c r="B9" s="270" t="str">
        <f>SURNAME_KREDITOR&amp;" "&amp;NAME_KREDITOR&amp;" "&amp;FATHERNAME_KREDITOR&amp;" "&amp;G_KREDITOR</f>
        <v>Həsənov Kənan Asdan qızı</v>
      </c>
      <c r="C9" s="270"/>
      <c r="D9" s="265"/>
      <c r="F9" s="856" t="str">
        <f>"«Borc alan» kreditin ödənilməsi üzrə öhdəliyi vaxtlı-vaxtında yerinə yetirmədiyi və kreditdən istifadəyə görə faizləri və krediti ödəmədiyi təqdirdə gecikdirilmiş  əsas məbləğin 1(bir) faizi mə"&amp;"bləğində dəbbə pulunu (cərimə) hər yubanma günü üçün «Borc verən»in  xeyrinə ödəməyə borcludur."</f>
        <v>«Borc alan» kreditin ödənilməsi üzrə öhdəliyi vaxtlı-vaxtında yerinə yetirmədiyi və kreditdən istifadəyə görə faizləri və krediti ödəmədiyi təqdirdə gecikdirilmiş  əsas məbləğin 1(bir) faizi məbləğində dəbbə pulunu (cərimə) hər yubanma günü üçün «Borc verən»in  xeyrinə ödəməyə borcludur.</v>
      </c>
      <c r="G9" s="856"/>
      <c r="H9" s="856"/>
      <c r="I9" s="856"/>
      <c r="J9" s="856"/>
    </row>
    <row r="10" spans="1:19" x14ac:dyDescent="0.2">
      <c r="A10" s="265"/>
      <c r="B10" s="265"/>
      <c r="C10" s="265"/>
      <c r="D10" s="267"/>
      <c r="E10" s="228"/>
      <c r="F10" s="856"/>
      <c r="G10" s="856"/>
      <c r="H10" s="856"/>
      <c r="I10" s="856"/>
      <c r="J10" s="856"/>
    </row>
    <row r="11" spans="1:19" x14ac:dyDescent="0.2">
      <c r="A11" s="847" t="str">
        <f>"Kreditin məhsulu:"</f>
        <v>Kreditin məhsulu:</v>
      </c>
      <c r="B11" s="847"/>
      <c r="C11" s="265"/>
      <c r="D11" s="265"/>
      <c r="E11" s="265"/>
      <c r="F11" s="856"/>
      <c r="G11" s="856"/>
      <c r="H11" s="856"/>
      <c r="I11" s="856"/>
      <c r="J11" s="856"/>
      <c r="N11" s="272"/>
      <c r="O11" s="272"/>
    </row>
    <row r="12" spans="1:19" x14ac:dyDescent="0.2">
      <c r="A12" s="850" t="str">
        <f>M16</f>
        <v>P13 - Aile krediti (AZM)</v>
      </c>
      <c r="B12" s="850"/>
      <c r="C12" s="850"/>
      <c r="D12" s="850"/>
      <c r="E12" s="850"/>
      <c r="F12" s="856"/>
      <c r="G12" s="856"/>
      <c r="H12" s="856"/>
      <c r="I12" s="856"/>
      <c r="J12" s="856"/>
      <c r="M12" s="272"/>
      <c r="N12" s="272"/>
      <c r="O12" s="272"/>
    </row>
    <row r="13" spans="1:19" x14ac:dyDescent="0.2">
      <c r="A13" s="273" t="s">
        <v>214</v>
      </c>
      <c r="B13" s="849" t="str">
        <f>O14</f>
        <v>TT7BU</v>
      </c>
      <c r="C13" s="849"/>
      <c r="D13" s="271"/>
      <c r="E13" s="228"/>
      <c r="F13" s="228"/>
      <c r="G13" s="228"/>
      <c r="H13" s="228"/>
      <c r="I13" s="228"/>
      <c r="J13" s="228"/>
      <c r="L13" s="262" t="s">
        <v>825</v>
      </c>
      <c r="M13" s="272" t="s">
        <v>881</v>
      </c>
      <c r="N13" s="272" t="s">
        <v>826</v>
      </c>
      <c r="O13" s="272" t="s">
        <v>882</v>
      </c>
      <c r="P13" s="272"/>
      <c r="Q13" s="272"/>
      <c r="R13" s="272"/>
      <c r="S13" s="272"/>
    </row>
    <row r="14" spans="1:19" x14ac:dyDescent="0.2">
      <c r="A14" s="269" t="s">
        <v>220</v>
      </c>
      <c r="B14" s="846" t="str">
        <f>GOTURDUYU_MEBLEQ&amp;" "&amp;PUL_VAHIDI&amp;" ( "&amp;GOTURDUYU_MEBLEQ_SOZLE&amp;" "&amp;PUL_VAHIDI_SOZLE&amp;") "</f>
        <v xml:space="preserve">1000.00 AZN ( bir min  manat) </v>
      </c>
      <c r="C14" s="846"/>
      <c r="D14" s="846"/>
      <c r="E14" s="846"/>
      <c r="F14" s="228"/>
      <c r="G14" s="228"/>
      <c r="H14" s="269" t="s">
        <v>219</v>
      </c>
      <c r="I14" s="857" t="str">
        <f>TEXT(IFF,"0.00")&amp;"% ("&amp;IFF_SOZLE&amp;" faiz)"</f>
        <v>0.60% (sıfır faiz)</v>
      </c>
      <c r="J14" s="857"/>
      <c r="L14" s="262" t="s">
        <v>827</v>
      </c>
      <c r="M14" s="272" t="s">
        <v>883</v>
      </c>
      <c r="N14" s="272" t="s">
        <v>828</v>
      </c>
      <c r="O14" s="272" t="s">
        <v>884</v>
      </c>
      <c r="P14" s="272"/>
      <c r="Q14" s="272"/>
      <c r="R14" s="272"/>
      <c r="S14" s="272"/>
    </row>
    <row r="15" spans="1:19" x14ac:dyDescent="0.2">
      <c r="A15" s="269" t="s">
        <v>218</v>
      </c>
      <c r="B15" s="846" t="str">
        <f>MONTH_KREDIT&amp;" ("&amp;LEFT(MONTH_KREDIT_SOZLE,LEN(MONTH_KREDIT_SOZLE)-1)&amp;") ay"</f>
        <v>10 (on) ay</v>
      </c>
      <c r="C15" s="846"/>
      <c r="D15" s="846"/>
      <c r="F15" s="274"/>
      <c r="G15" s="275"/>
      <c r="I15" s="857"/>
      <c r="J15" s="857"/>
      <c r="L15" s="262" t="s">
        <v>829</v>
      </c>
      <c r="M15" s="272" t="s">
        <v>885</v>
      </c>
      <c r="N15" s="272" t="s">
        <v>830</v>
      </c>
      <c r="O15" s="272" t="s">
        <v>21</v>
      </c>
      <c r="P15" s="272"/>
      <c r="Q15" s="272"/>
      <c r="R15" s="272"/>
      <c r="S15" s="272"/>
    </row>
    <row r="16" spans="1:19" x14ac:dyDescent="0.2">
      <c r="A16" s="273" t="s">
        <v>217</v>
      </c>
      <c r="B16" s="850" t="str">
        <f>O19</f>
        <v>2639289</v>
      </c>
      <c r="C16" s="849"/>
      <c r="E16" s="276"/>
      <c r="F16" s="265"/>
      <c r="G16" s="273"/>
      <c r="H16" s="269" t="s">
        <v>27</v>
      </c>
      <c r="I16" s="266" t="str">
        <f>IF(OR(GUZEST_KREDIT=0,GUZEST_KREDIT=""),"0 ("&amp;GUZEST_KREDIT_SOZLE&amp;") ay ",GUZEST_KREDIT&amp;" ay ("&amp;GUZEST_KREDIT_SOZLE&amp;")")</f>
        <v xml:space="preserve">0 (sıfır) ay </v>
      </c>
      <c r="J16" s="276"/>
      <c r="L16" s="262" t="s">
        <v>831</v>
      </c>
      <c r="M16" s="272" t="s">
        <v>886</v>
      </c>
      <c r="N16" s="272" t="s">
        <v>832</v>
      </c>
      <c r="O16" s="272" t="s">
        <v>887</v>
      </c>
      <c r="P16" s="272"/>
      <c r="Q16" s="272"/>
      <c r="R16" s="272"/>
      <c r="S16" s="272"/>
    </row>
    <row r="17" spans="1:19" x14ac:dyDescent="0.2">
      <c r="A17" s="269" t="s">
        <v>215</v>
      </c>
      <c r="B17" s="849" t="str">
        <f>SURNAME_KM&amp;" "&amp;NAME_KM&amp;" "&amp;FATHERNAME_KM&amp;" "&amp;G_KM</f>
        <v>Əhmədov  Məhəmməd  Nizam  oğlu</v>
      </c>
      <c r="C17" s="849"/>
      <c r="D17" s="849"/>
      <c r="E17" s="849"/>
      <c r="F17" s="265"/>
      <c r="G17" s="848" t="s">
        <v>216</v>
      </c>
      <c r="H17" s="848"/>
      <c r="I17" s="849" t="str">
        <f>M14</f>
        <v>316274 F/R : 1</v>
      </c>
      <c r="J17" s="849"/>
      <c r="L17" s="262" t="s">
        <v>833</v>
      </c>
      <c r="M17" s="272" t="s">
        <v>888</v>
      </c>
      <c r="N17" s="272" t="s">
        <v>834</v>
      </c>
      <c r="O17" s="272" t="s">
        <v>936</v>
      </c>
      <c r="P17" s="272"/>
      <c r="Q17" s="272"/>
      <c r="R17" s="272"/>
      <c r="S17" s="272"/>
    </row>
    <row r="18" spans="1:19" x14ac:dyDescent="0.2">
      <c r="F18" s="265"/>
      <c r="G18" s="851" t="s">
        <v>582</v>
      </c>
      <c r="H18" s="851"/>
      <c r="I18" s="308" t="str">
        <f>KH&amp;"% ("&amp;KH_SOZLE&amp;" faiz)"</f>
        <v>1% (bir  faiz)</v>
      </c>
      <c r="L18" s="262" t="s">
        <v>835</v>
      </c>
      <c r="M18" s="272" t="s">
        <v>851</v>
      </c>
      <c r="N18" s="272" t="s">
        <v>836</v>
      </c>
      <c r="O18" s="272" t="s">
        <v>889</v>
      </c>
      <c r="P18" s="272"/>
      <c r="Q18" s="272"/>
      <c r="R18" s="272"/>
      <c r="S18" s="272"/>
    </row>
    <row r="19" spans="1:19" x14ac:dyDescent="0.2">
      <c r="A19" s="277"/>
      <c r="B19" s="277"/>
      <c r="C19" s="277"/>
      <c r="D19" s="277"/>
      <c r="E19" s="277"/>
      <c r="F19" s="265"/>
      <c r="G19" s="265"/>
      <c r="H19" s="277"/>
      <c r="I19" s="265"/>
      <c r="J19" s="277"/>
      <c r="M19" s="272"/>
      <c r="N19" s="272" t="s">
        <v>837</v>
      </c>
      <c r="O19" s="272" t="s">
        <v>890</v>
      </c>
      <c r="P19" s="272"/>
      <c r="Q19" s="272"/>
      <c r="R19" s="272"/>
      <c r="S19" s="272"/>
    </row>
    <row r="20" spans="1:19" ht="21" x14ac:dyDescent="0.2">
      <c r="A20" s="385" t="s">
        <v>213</v>
      </c>
      <c r="B20" s="385" t="s">
        <v>212</v>
      </c>
      <c r="C20" s="852" t="s">
        <v>211</v>
      </c>
      <c r="D20" s="853"/>
      <c r="E20" s="385" t="s">
        <v>210</v>
      </c>
      <c r="F20" s="385" t="s">
        <v>209</v>
      </c>
      <c r="G20" s="385" t="s">
        <v>25</v>
      </c>
      <c r="H20" s="385" t="s">
        <v>651</v>
      </c>
      <c r="I20" s="385" t="s">
        <v>208</v>
      </c>
      <c r="J20" s="385" t="s">
        <v>207</v>
      </c>
      <c r="K20" s="263">
        <f>A22-A21</f>
        <v>31</v>
      </c>
      <c r="L20" s="262" t="s">
        <v>838</v>
      </c>
      <c r="M20" s="272" t="s">
        <v>839</v>
      </c>
      <c r="N20" s="272" t="s">
        <v>229</v>
      </c>
      <c r="O20" s="272" t="s">
        <v>840</v>
      </c>
      <c r="P20" s="272"/>
      <c r="Q20" s="272"/>
      <c r="R20" s="272"/>
      <c r="S20" s="272"/>
    </row>
    <row r="21" spans="1:19" x14ac:dyDescent="0.2">
      <c r="A21" s="278">
        <f>IF(OR(L22="",L22="C E M I"),IF(L22="C E M I","CƏMİ",""),L22)</f>
        <v>42216</v>
      </c>
      <c r="B21" s="384">
        <f>IF(A21="","",0)</f>
        <v>0</v>
      </c>
      <c r="C21" s="854" t="str">
        <f>IF(A22="","","Ssudanın verilməsi")</f>
        <v>Ssudanın verilməsi</v>
      </c>
      <c r="D21" s="855"/>
      <c r="E21" s="438"/>
      <c r="F21" s="438"/>
      <c r="G21" s="438">
        <f>VALUE(IF(OR(P22="",P22="========="),0,SUBSTITUTE(P22,",","")))</f>
        <v>10</v>
      </c>
      <c r="H21" s="438"/>
      <c r="I21" s="438"/>
      <c r="J21" s="438">
        <f>VALUE(IF(OR(S22="",S22="========="),0,SUBSTITUTE(S22,",","")))</f>
        <v>1000</v>
      </c>
      <c r="K21" s="263">
        <v>0</v>
      </c>
      <c r="L21" s="262" t="s">
        <v>213</v>
      </c>
      <c r="M21" s="272" t="s">
        <v>841</v>
      </c>
      <c r="N21" s="272" t="s">
        <v>842</v>
      </c>
      <c r="O21" s="272" t="s">
        <v>843</v>
      </c>
      <c r="P21" s="272" t="s">
        <v>844</v>
      </c>
      <c r="Q21" s="272" t="s">
        <v>845</v>
      </c>
      <c r="R21" s="272" t="s">
        <v>846</v>
      </c>
      <c r="S21" s="272" t="s">
        <v>847</v>
      </c>
    </row>
    <row r="22" spans="1:19" x14ac:dyDescent="0.2">
      <c r="A22" s="278">
        <f t="shared" ref="A22:A85" si="0">IF(OR(L23="",L23="C E M I"),IF(L23="C E M I","CƏMİ",""),L23)</f>
        <v>42247</v>
      </c>
      <c r="B22" s="384">
        <f>IF(A22="","",IF(B21="","",B21+1))</f>
        <v>1</v>
      </c>
      <c r="C22" s="813" t="str">
        <f>IF(OR(A22="",A22="CƏMİ"),"","kredit ödənişi")</f>
        <v>kredit ödənişi</v>
      </c>
      <c r="D22" s="814"/>
      <c r="E22" s="438">
        <f t="shared" ref="E22:E86" si="1">VALUE(IF(OR(N23="",N23="========="),-1,SUBSTITUTE(N23,",","")))</f>
        <v>100</v>
      </c>
      <c r="F22" s="438">
        <f>VALUE(IF(OR(O23="",O23="========="),0,SUBSTITUTE(O23,",","")))</f>
        <v>22.17</v>
      </c>
      <c r="G22" s="438">
        <f t="shared" ref="G22:G94" si="2">VALUE(IF(OR(P23="",P23="========="),0,SUBSTITUTE(P23,",","")))</f>
        <v>0</v>
      </c>
      <c r="H22" s="438">
        <f t="shared" ref="H22:H94" si="3">VALUE(IF(OR(Q23="",Q23="========="),0,SUBSTITUTE(Q23,",","")))</f>
        <v>0</v>
      </c>
      <c r="I22" s="438">
        <f t="shared" ref="I22:I94" si="4">VALUE(IF(OR(R23="",R23="========="),0,SUBSTITUTE(R23,",","")))</f>
        <v>122.17</v>
      </c>
      <c r="J22" s="438">
        <f t="shared" ref="J22:J94" si="5">VALUE(IF(OR(S23="",S23="========="),0,SUBSTITUTE(S23,",","")))</f>
        <v>900</v>
      </c>
      <c r="K22" s="263">
        <v>1</v>
      </c>
      <c r="L22" s="262">
        <v>42216</v>
      </c>
      <c r="M22" s="272" t="s">
        <v>851</v>
      </c>
      <c r="N22" s="272"/>
      <c r="O22" s="272"/>
      <c r="P22" s="272" t="s">
        <v>891</v>
      </c>
      <c r="Q22" s="272" t="s">
        <v>848</v>
      </c>
      <c r="R22" s="272"/>
      <c r="S22" s="272" t="s">
        <v>851</v>
      </c>
    </row>
    <row r="23" spans="1:19" x14ac:dyDescent="0.2">
      <c r="A23" s="278">
        <f t="shared" si="0"/>
        <v>42277</v>
      </c>
      <c r="B23" s="384">
        <f t="shared" ref="B23:B86" si="6">IF(A23="","",IF(B22="","",B22+1))</f>
        <v>2</v>
      </c>
      <c r="C23" s="813" t="str">
        <f t="shared" ref="C23:C86" si="7">IF(OR(A23="",A23="CƏMİ"),"","kredit ödənişi")</f>
        <v>kredit ödənişi</v>
      </c>
      <c r="D23" s="814"/>
      <c r="E23" s="438">
        <f t="shared" si="1"/>
        <v>100</v>
      </c>
      <c r="F23" s="438">
        <f t="shared" ref="F23:F86" si="8">VALUE(IF(OR(O24="",O24="========="),0,SUBSTITUTE(O24,",","")))</f>
        <v>19.95</v>
      </c>
      <c r="G23" s="438">
        <f t="shared" si="2"/>
        <v>0</v>
      </c>
      <c r="H23" s="438">
        <f t="shared" si="3"/>
        <v>0</v>
      </c>
      <c r="I23" s="438">
        <f t="shared" si="4"/>
        <v>119.95</v>
      </c>
      <c r="J23" s="438">
        <f t="shared" si="5"/>
        <v>800</v>
      </c>
      <c r="K23" s="263">
        <v>2</v>
      </c>
      <c r="L23" s="262">
        <v>42247</v>
      </c>
      <c r="M23" s="272" t="s">
        <v>848</v>
      </c>
      <c r="N23" s="272" t="s">
        <v>892</v>
      </c>
      <c r="O23" s="272" t="s">
        <v>893</v>
      </c>
      <c r="P23" s="272" t="s">
        <v>848</v>
      </c>
      <c r="Q23" s="272" t="s">
        <v>848</v>
      </c>
      <c r="R23" s="272" t="s">
        <v>894</v>
      </c>
      <c r="S23" s="272" t="s">
        <v>895</v>
      </c>
    </row>
    <row r="24" spans="1:19" x14ac:dyDescent="0.2">
      <c r="A24" s="278">
        <f t="shared" si="0"/>
        <v>42307</v>
      </c>
      <c r="B24" s="384">
        <f t="shared" si="6"/>
        <v>3</v>
      </c>
      <c r="C24" s="813" t="str">
        <f t="shared" si="7"/>
        <v>kredit ödənişi</v>
      </c>
      <c r="D24" s="814"/>
      <c r="E24" s="438">
        <f t="shared" si="1"/>
        <v>100</v>
      </c>
      <c r="F24" s="438">
        <f t="shared" si="8"/>
        <v>17.73</v>
      </c>
      <c r="G24" s="438">
        <f t="shared" si="2"/>
        <v>0</v>
      </c>
      <c r="H24" s="438">
        <f t="shared" si="3"/>
        <v>0</v>
      </c>
      <c r="I24" s="438">
        <f t="shared" si="4"/>
        <v>117.73</v>
      </c>
      <c r="J24" s="438">
        <f t="shared" si="5"/>
        <v>700</v>
      </c>
      <c r="K24" s="263">
        <v>3</v>
      </c>
      <c r="L24" s="262">
        <v>42277</v>
      </c>
      <c r="M24" s="272" t="s">
        <v>848</v>
      </c>
      <c r="N24" s="272" t="s">
        <v>892</v>
      </c>
      <c r="O24" s="272" t="s">
        <v>896</v>
      </c>
      <c r="P24" s="272" t="s">
        <v>848</v>
      </c>
      <c r="Q24" s="272" t="s">
        <v>848</v>
      </c>
      <c r="R24" s="272" t="s">
        <v>897</v>
      </c>
      <c r="S24" s="272" t="s">
        <v>898</v>
      </c>
    </row>
    <row r="25" spans="1:19" x14ac:dyDescent="0.2">
      <c r="A25" s="278">
        <f t="shared" si="0"/>
        <v>42338</v>
      </c>
      <c r="B25" s="384">
        <f t="shared" si="6"/>
        <v>4</v>
      </c>
      <c r="C25" s="813" t="str">
        <f t="shared" si="7"/>
        <v>kredit ödənişi</v>
      </c>
      <c r="D25" s="814"/>
      <c r="E25" s="438">
        <f t="shared" si="1"/>
        <v>100</v>
      </c>
      <c r="F25" s="438">
        <f t="shared" si="8"/>
        <v>15.52</v>
      </c>
      <c r="G25" s="438">
        <f t="shared" si="2"/>
        <v>0</v>
      </c>
      <c r="H25" s="438">
        <f t="shared" si="3"/>
        <v>0</v>
      </c>
      <c r="I25" s="438">
        <f t="shared" si="4"/>
        <v>115.52</v>
      </c>
      <c r="J25" s="438">
        <f t="shared" si="5"/>
        <v>600</v>
      </c>
      <c r="K25" s="263">
        <v>4</v>
      </c>
      <c r="L25" s="262">
        <v>42307</v>
      </c>
      <c r="M25" s="272" t="s">
        <v>848</v>
      </c>
      <c r="N25" s="272" t="s">
        <v>892</v>
      </c>
      <c r="O25" s="272" t="s">
        <v>899</v>
      </c>
      <c r="P25" s="272" t="s">
        <v>848</v>
      </c>
      <c r="Q25" s="272" t="s">
        <v>848</v>
      </c>
      <c r="R25" s="272" t="s">
        <v>900</v>
      </c>
      <c r="S25" s="272" t="s">
        <v>901</v>
      </c>
    </row>
    <row r="26" spans="1:19" x14ac:dyDescent="0.2">
      <c r="A26" s="278">
        <f t="shared" si="0"/>
        <v>42368</v>
      </c>
      <c r="B26" s="384">
        <f t="shared" si="6"/>
        <v>5</v>
      </c>
      <c r="C26" s="813" t="str">
        <f t="shared" si="7"/>
        <v>kredit ödənişi</v>
      </c>
      <c r="D26" s="814"/>
      <c r="E26" s="438">
        <f t="shared" si="1"/>
        <v>100</v>
      </c>
      <c r="F26" s="438">
        <f t="shared" si="8"/>
        <v>13.3</v>
      </c>
      <c r="G26" s="438">
        <f t="shared" si="2"/>
        <v>0</v>
      </c>
      <c r="H26" s="438">
        <f t="shared" si="3"/>
        <v>0</v>
      </c>
      <c r="I26" s="438">
        <f t="shared" si="4"/>
        <v>113.3</v>
      </c>
      <c r="J26" s="438">
        <f t="shared" si="5"/>
        <v>500</v>
      </c>
      <c r="K26" s="263">
        <v>5</v>
      </c>
      <c r="L26" s="262">
        <v>42338</v>
      </c>
      <c r="M26" s="272" t="s">
        <v>848</v>
      </c>
      <c r="N26" s="272" t="s">
        <v>892</v>
      </c>
      <c r="O26" s="272" t="s">
        <v>902</v>
      </c>
      <c r="P26" s="272" t="s">
        <v>848</v>
      </c>
      <c r="Q26" s="272" t="s">
        <v>848</v>
      </c>
      <c r="R26" s="272" t="s">
        <v>903</v>
      </c>
      <c r="S26" s="272" t="s">
        <v>904</v>
      </c>
    </row>
    <row r="27" spans="1:19" x14ac:dyDescent="0.2">
      <c r="A27" s="278">
        <f t="shared" si="0"/>
        <v>42398</v>
      </c>
      <c r="B27" s="384">
        <f t="shared" si="6"/>
        <v>6</v>
      </c>
      <c r="C27" s="813" t="str">
        <f t="shared" si="7"/>
        <v>kredit ödənişi</v>
      </c>
      <c r="D27" s="814"/>
      <c r="E27" s="438">
        <f t="shared" si="1"/>
        <v>100</v>
      </c>
      <c r="F27" s="438">
        <f t="shared" si="8"/>
        <v>10.71</v>
      </c>
      <c r="G27" s="438">
        <f t="shared" si="2"/>
        <v>0</v>
      </c>
      <c r="H27" s="438">
        <f t="shared" si="3"/>
        <v>0</v>
      </c>
      <c r="I27" s="438">
        <f t="shared" si="4"/>
        <v>110.71</v>
      </c>
      <c r="J27" s="438">
        <f t="shared" si="5"/>
        <v>400</v>
      </c>
      <c r="K27" s="263">
        <v>6</v>
      </c>
      <c r="L27" s="262">
        <v>42368</v>
      </c>
      <c r="M27" s="272" t="s">
        <v>848</v>
      </c>
      <c r="N27" s="272" t="s">
        <v>892</v>
      </c>
      <c r="O27" s="272" t="s">
        <v>905</v>
      </c>
      <c r="P27" s="272" t="s">
        <v>848</v>
      </c>
      <c r="Q27" s="272" t="s">
        <v>848</v>
      </c>
      <c r="R27" s="272" t="s">
        <v>906</v>
      </c>
      <c r="S27" s="272" t="s">
        <v>907</v>
      </c>
    </row>
    <row r="28" spans="1:19" x14ac:dyDescent="0.2">
      <c r="A28" s="278">
        <f t="shared" si="0"/>
        <v>42429</v>
      </c>
      <c r="B28" s="384">
        <f t="shared" si="6"/>
        <v>7</v>
      </c>
      <c r="C28" s="813" t="str">
        <f t="shared" si="7"/>
        <v>kredit ödənişi</v>
      </c>
      <c r="D28" s="814"/>
      <c r="E28" s="438">
        <f t="shared" si="1"/>
        <v>100</v>
      </c>
      <c r="F28" s="438">
        <f t="shared" si="8"/>
        <v>8.8699999999999992</v>
      </c>
      <c r="G28" s="438">
        <f t="shared" si="2"/>
        <v>0</v>
      </c>
      <c r="H28" s="438">
        <f t="shared" si="3"/>
        <v>0</v>
      </c>
      <c r="I28" s="438">
        <f t="shared" si="4"/>
        <v>108.87</v>
      </c>
      <c r="J28" s="438">
        <f t="shared" si="5"/>
        <v>300</v>
      </c>
      <c r="K28" s="263">
        <v>7</v>
      </c>
      <c r="L28" s="262">
        <v>42398</v>
      </c>
      <c r="M28" s="272" t="s">
        <v>848</v>
      </c>
      <c r="N28" s="272" t="s">
        <v>892</v>
      </c>
      <c r="O28" s="272" t="s">
        <v>908</v>
      </c>
      <c r="P28" s="272" t="s">
        <v>848</v>
      </c>
      <c r="Q28" s="272" t="s">
        <v>848</v>
      </c>
      <c r="R28" s="272" t="s">
        <v>909</v>
      </c>
      <c r="S28" s="272" t="s">
        <v>910</v>
      </c>
    </row>
    <row r="29" spans="1:19" x14ac:dyDescent="0.2">
      <c r="A29" s="278">
        <f t="shared" si="0"/>
        <v>42460</v>
      </c>
      <c r="B29" s="384">
        <f t="shared" si="6"/>
        <v>8</v>
      </c>
      <c r="C29" s="813" t="str">
        <f t="shared" si="7"/>
        <v>kredit ödənişi</v>
      </c>
      <c r="D29" s="814"/>
      <c r="E29" s="438">
        <f t="shared" si="1"/>
        <v>100</v>
      </c>
      <c r="F29" s="438">
        <f t="shared" si="8"/>
        <v>6.87</v>
      </c>
      <c r="G29" s="438">
        <f t="shared" si="2"/>
        <v>0</v>
      </c>
      <c r="H29" s="438">
        <f t="shared" si="3"/>
        <v>0</v>
      </c>
      <c r="I29" s="438">
        <f t="shared" si="4"/>
        <v>106.87</v>
      </c>
      <c r="J29" s="438">
        <f t="shared" si="5"/>
        <v>200</v>
      </c>
      <c r="K29" s="263">
        <v>8</v>
      </c>
      <c r="L29" s="262">
        <v>42429</v>
      </c>
      <c r="M29" s="272" t="s">
        <v>848</v>
      </c>
      <c r="N29" s="272" t="s">
        <v>892</v>
      </c>
      <c r="O29" s="272" t="s">
        <v>911</v>
      </c>
      <c r="P29" s="272" t="s">
        <v>848</v>
      </c>
      <c r="Q29" s="272" t="s">
        <v>848</v>
      </c>
      <c r="R29" s="272" t="s">
        <v>912</v>
      </c>
      <c r="S29" s="272" t="s">
        <v>913</v>
      </c>
    </row>
    <row r="30" spans="1:19" x14ac:dyDescent="0.2">
      <c r="A30" s="278">
        <f t="shared" si="0"/>
        <v>42489</v>
      </c>
      <c r="B30" s="384">
        <f t="shared" si="6"/>
        <v>9</v>
      </c>
      <c r="C30" s="813" t="str">
        <f t="shared" si="7"/>
        <v>kredit ödənişi</v>
      </c>
      <c r="D30" s="814"/>
      <c r="E30" s="438">
        <f t="shared" si="1"/>
        <v>100</v>
      </c>
      <c r="F30" s="438">
        <f t="shared" si="8"/>
        <v>4.29</v>
      </c>
      <c r="G30" s="438">
        <f t="shared" si="2"/>
        <v>0</v>
      </c>
      <c r="H30" s="438">
        <f t="shared" si="3"/>
        <v>0</v>
      </c>
      <c r="I30" s="438">
        <f t="shared" si="4"/>
        <v>104.29</v>
      </c>
      <c r="J30" s="438">
        <f t="shared" si="5"/>
        <v>100</v>
      </c>
      <c r="K30" s="263">
        <v>9</v>
      </c>
      <c r="L30" s="262">
        <v>42460</v>
      </c>
      <c r="M30" s="272" t="s">
        <v>848</v>
      </c>
      <c r="N30" s="272" t="s">
        <v>892</v>
      </c>
      <c r="O30" s="272" t="s">
        <v>914</v>
      </c>
      <c r="P30" s="272" t="s">
        <v>848</v>
      </c>
      <c r="Q30" s="272" t="s">
        <v>848</v>
      </c>
      <c r="R30" s="272" t="s">
        <v>915</v>
      </c>
      <c r="S30" s="272" t="s">
        <v>916</v>
      </c>
    </row>
    <row r="31" spans="1:19" x14ac:dyDescent="0.2">
      <c r="A31" s="278">
        <f t="shared" si="0"/>
        <v>42521</v>
      </c>
      <c r="B31" s="384">
        <f t="shared" si="6"/>
        <v>10</v>
      </c>
      <c r="C31" s="813" t="str">
        <f t="shared" si="7"/>
        <v>kredit ödənişi</v>
      </c>
      <c r="D31" s="814"/>
      <c r="E31" s="438">
        <f t="shared" si="1"/>
        <v>100</v>
      </c>
      <c r="F31" s="438">
        <f t="shared" si="8"/>
        <v>2.29</v>
      </c>
      <c r="G31" s="438">
        <f t="shared" si="2"/>
        <v>0</v>
      </c>
      <c r="H31" s="438">
        <f t="shared" si="3"/>
        <v>0</v>
      </c>
      <c r="I31" s="438">
        <f t="shared" si="4"/>
        <v>102.29</v>
      </c>
      <c r="J31" s="438">
        <f t="shared" si="5"/>
        <v>0</v>
      </c>
      <c r="K31" s="263">
        <v>10</v>
      </c>
      <c r="L31" s="262">
        <v>42489</v>
      </c>
      <c r="M31" s="272" t="s">
        <v>848</v>
      </c>
      <c r="N31" s="272" t="s">
        <v>892</v>
      </c>
      <c r="O31" s="272" t="s">
        <v>917</v>
      </c>
      <c r="P31" s="272" t="s">
        <v>848</v>
      </c>
      <c r="Q31" s="272" t="s">
        <v>848</v>
      </c>
      <c r="R31" s="272" t="s">
        <v>918</v>
      </c>
      <c r="S31" s="272" t="s">
        <v>892</v>
      </c>
    </row>
    <row r="32" spans="1:19" hidden="1" x14ac:dyDescent="0.2">
      <c r="A32" s="278" t="str">
        <f t="shared" si="0"/>
        <v/>
      </c>
      <c r="B32" s="384" t="str">
        <f t="shared" si="6"/>
        <v/>
      </c>
      <c r="C32" s="813" t="str">
        <f t="shared" si="7"/>
        <v/>
      </c>
      <c r="D32" s="814"/>
      <c r="E32" s="438">
        <f t="shared" si="1"/>
        <v>-1</v>
      </c>
      <c r="F32" s="438">
        <f t="shared" si="8"/>
        <v>0</v>
      </c>
      <c r="G32" s="438">
        <f t="shared" si="2"/>
        <v>0</v>
      </c>
      <c r="H32" s="438">
        <f t="shared" si="3"/>
        <v>0</v>
      </c>
      <c r="I32" s="438">
        <f t="shared" si="4"/>
        <v>0</v>
      </c>
      <c r="J32" s="438">
        <f t="shared" si="5"/>
        <v>0</v>
      </c>
      <c r="K32" s="263">
        <v>11</v>
      </c>
      <c r="L32" s="262">
        <v>42521</v>
      </c>
      <c r="M32" s="272" t="s">
        <v>848</v>
      </c>
      <c r="N32" s="272" t="s">
        <v>892</v>
      </c>
      <c r="O32" s="272" t="s">
        <v>919</v>
      </c>
      <c r="P32" s="272" t="s">
        <v>848</v>
      </c>
      <c r="Q32" s="272" t="s">
        <v>848</v>
      </c>
      <c r="R32" s="272" t="s">
        <v>920</v>
      </c>
      <c r="S32" s="272" t="s">
        <v>848</v>
      </c>
    </row>
    <row r="33" spans="1:19" hidden="1" x14ac:dyDescent="0.2">
      <c r="A33" s="278" t="str">
        <f t="shared" si="0"/>
        <v/>
      </c>
      <c r="B33" s="384" t="str">
        <f t="shared" si="6"/>
        <v/>
      </c>
      <c r="C33" s="813" t="str">
        <f t="shared" si="7"/>
        <v/>
      </c>
      <c r="D33" s="814"/>
      <c r="E33" s="438">
        <f t="shared" si="1"/>
        <v>-1</v>
      </c>
      <c r="F33" s="438">
        <f t="shared" si="8"/>
        <v>0</v>
      </c>
      <c r="G33" s="438">
        <f t="shared" si="2"/>
        <v>0</v>
      </c>
      <c r="H33" s="438">
        <f t="shared" si="3"/>
        <v>0</v>
      </c>
      <c r="I33" s="438">
        <f t="shared" si="4"/>
        <v>0</v>
      </c>
      <c r="J33" s="438">
        <f t="shared" si="5"/>
        <v>0</v>
      </c>
      <c r="K33" s="263">
        <v>12</v>
      </c>
      <c r="M33" s="272"/>
      <c r="N33" s="272"/>
      <c r="O33" s="272"/>
      <c r="P33" s="272"/>
      <c r="Q33" s="272"/>
      <c r="R33" s="272"/>
      <c r="S33" s="272"/>
    </row>
    <row r="34" spans="1:19" x14ac:dyDescent="0.2">
      <c r="A34" s="278" t="str">
        <f t="shared" si="0"/>
        <v>CƏMİ</v>
      </c>
      <c r="B34" s="384" t="str">
        <f t="shared" si="6"/>
        <v/>
      </c>
      <c r="C34" s="813" t="str">
        <f t="shared" si="7"/>
        <v/>
      </c>
      <c r="D34" s="814"/>
      <c r="E34" s="438">
        <f t="shared" si="1"/>
        <v>1000</v>
      </c>
      <c r="F34" s="438">
        <f t="shared" si="8"/>
        <v>121.7</v>
      </c>
      <c r="G34" s="438">
        <f t="shared" si="2"/>
        <v>10</v>
      </c>
      <c r="H34" s="438">
        <f t="shared" si="3"/>
        <v>0</v>
      </c>
      <c r="I34" s="438">
        <f t="shared" si="4"/>
        <v>1131.7</v>
      </c>
      <c r="J34" s="438">
        <f t="shared" si="5"/>
        <v>0</v>
      </c>
      <c r="K34" s="263">
        <v>13</v>
      </c>
      <c r="M34" s="272"/>
      <c r="N34" s="272" t="s">
        <v>849</v>
      </c>
      <c r="O34" s="272" t="s">
        <v>849</v>
      </c>
      <c r="P34" s="272" t="s">
        <v>849</v>
      </c>
      <c r="Q34" s="272" t="s">
        <v>849</v>
      </c>
      <c r="R34" s="272" t="s">
        <v>849</v>
      </c>
      <c r="S34" s="272"/>
    </row>
    <row r="35" spans="1:19" hidden="1" x14ac:dyDescent="0.2">
      <c r="A35" s="278" t="str">
        <f t="shared" si="0"/>
        <v/>
      </c>
      <c r="B35" s="384" t="str">
        <f t="shared" si="6"/>
        <v/>
      </c>
      <c r="C35" s="813" t="str">
        <f t="shared" si="7"/>
        <v/>
      </c>
      <c r="D35" s="814"/>
      <c r="E35" s="438">
        <f t="shared" si="1"/>
        <v>-1</v>
      </c>
      <c r="F35" s="438">
        <f t="shared" si="8"/>
        <v>0</v>
      </c>
      <c r="G35" s="438">
        <f t="shared" si="2"/>
        <v>0</v>
      </c>
      <c r="H35" s="438">
        <f t="shared" si="3"/>
        <v>0</v>
      </c>
      <c r="I35" s="438">
        <f t="shared" si="4"/>
        <v>0</v>
      </c>
      <c r="J35" s="438">
        <f t="shared" si="5"/>
        <v>0</v>
      </c>
      <c r="K35" s="263">
        <v>14</v>
      </c>
      <c r="L35" s="262" t="s">
        <v>850</v>
      </c>
      <c r="M35" s="272"/>
      <c r="N35" s="272" t="s">
        <v>851</v>
      </c>
      <c r="O35" s="272" t="s">
        <v>921</v>
      </c>
      <c r="P35" s="272" t="s">
        <v>891</v>
      </c>
      <c r="Q35" s="272" t="s">
        <v>848</v>
      </c>
      <c r="R35" s="272" t="s">
        <v>922</v>
      </c>
      <c r="S35" s="272"/>
    </row>
    <row r="36" spans="1:19" hidden="1" x14ac:dyDescent="0.2">
      <c r="A36" s="278" t="str">
        <f t="shared" si="0"/>
        <v/>
      </c>
      <c r="B36" s="384" t="str">
        <f t="shared" si="6"/>
        <v/>
      </c>
      <c r="C36" s="813" t="str">
        <f t="shared" si="7"/>
        <v/>
      </c>
      <c r="D36" s="814"/>
      <c r="E36" s="438">
        <f t="shared" si="1"/>
        <v>-1</v>
      </c>
      <c r="F36" s="438">
        <f t="shared" si="8"/>
        <v>0</v>
      </c>
      <c r="G36" s="438">
        <f t="shared" si="2"/>
        <v>0</v>
      </c>
      <c r="H36" s="438">
        <f t="shared" si="3"/>
        <v>0</v>
      </c>
      <c r="I36" s="438">
        <f t="shared" si="4"/>
        <v>0</v>
      </c>
      <c r="J36" s="438">
        <f t="shared" si="5"/>
        <v>0</v>
      </c>
      <c r="K36" s="263">
        <v>15</v>
      </c>
      <c r="M36" s="272"/>
      <c r="N36" s="272" t="s">
        <v>849</v>
      </c>
      <c r="O36" s="272" t="s">
        <v>849</v>
      </c>
      <c r="P36" s="272" t="s">
        <v>849</v>
      </c>
      <c r="Q36" s="272" t="s">
        <v>849</v>
      </c>
      <c r="R36" s="272" t="s">
        <v>849</v>
      </c>
      <c r="S36" s="272"/>
    </row>
    <row r="37" spans="1:19" hidden="1" x14ac:dyDescent="0.2">
      <c r="A37" s="278" t="str">
        <f t="shared" si="0"/>
        <v/>
      </c>
      <c r="B37" s="384" t="str">
        <f t="shared" si="6"/>
        <v/>
      </c>
      <c r="C37" s="813" t="str">
        <f t="shared" si="7"/>
        <v/>
      </c>
      <c r="D37" s="814"/>
      <c r="E37" s="438">
        <f t="shared" si="1"/>
        <v>-1</v>
      </c>
      <c r="F37" s="438">
        <f t="shared" si="8"/>
        <v>0</v>
      </c>
      <c r="G37" s="438">
        <f t="shared" si="2"/>
        <v>0</v>
      </c>
      <c r="H37" s="438">
        <f t="shared" si="3"/>
        <v>0</v>
      </c>
      <c r="I37" s="438">
        <f t="shared" si="4"/>
        <v>0</v>
      </c>
      <c r="J37" s="438">
        <f t="shared" si="5"/>
        <v>0</v>
      </c>
      <c r="K37" s="263">
        <v>16</v>
      </c>
      <c r="M37" s="272"/>
      <c r="N37" s="272"/>
      <c r="O37" s="272"/>
      <c r="P37" s="272"/>
      <c r="Q37" s="272"/>
      <c r="R37" s="272"/>
      <c r="S37" s="272"/>
    </row>
    <row r="38" spans="1:19" hidden="1" x14ac:dyDescent="0.2">
      <c r="A38" s="278" t="str">
        <f t="shared" si="0"/>
        <v/>
      </c>
      <c r="B38" s="384" t="str">
        <f t="shared" si="6"/>
        <v/>
      </c>
      <c r="C38" s="813" t="str">
        <f t="shared" si="7"/>
        <v/>
      </c>
      <c r="D38" s="814"/>
      <c r="E38" s="438">
        <f t="shared" si="1"/>
        <v>-1</v>
      </c>
      <c r="F38" s="438">
        <f t="shared" si="8"/>
        <v>0</v>
      </c>
      <c r="G38" s="438">
        <f t="shared" si="2"/>
        <v>0</v>
      </c>
      <c r="H38" s="438">
        <f t="shared" si="3"/>
        <v>0</v>
      </c>
      <c r="I38" s="438">
        <f t="shared" si="4"/>
        <v>0</v>
      </c>
      <c r="J38" s="438">
        <f t="shared" si="5"/>
        <v>0</v>
      </c>
      <c r="K38" s="263">
        <v>17</v>
      </c>
      <c r="M38" s="272"/>
      <c r="N38" s="272"/>
      <c r="O38" s="272"/>
      <c r="P38" s="272"/>
      <c r="Q38" s="272"/>
      <c r="R38" s="272"/>
      <c r="S38" s="272"/>
    </row>
    <row r="39" spans="1:19" hidden="1" x14ac:dyDescent="0.2">
      <c r="A39" s="278" t="str">
        <f t="shared" si="0"/>
        <v/>
      </c>
      <c r="B39" s="384" t="str">
        <f t="shared" si="6"/>
        <v/>
      </c>
      <c r="C39" s="813" t="str">
        <f t="shared" si="7"/>
        <v/>
      </c>
      <c r="D39" s="814"/>
      <c r="E39" s="438">
        <f t="shared" si="1"/>
        <v>-1</v>
      </c>
      <c r="F39" s="438">
        <f t="shared" si="8"/>
        <v>0</v>
      </c>
      <c r="G39" s="438">
        <f t="shared" si="2"/>
        <v>0</v>
      </c>
      <c r="H39" s="438">
        <f t="shared" si="3"/>
        <v>0</v>
      </c>
      <c r="I39" s="438">
        <f t="shared" si="4"/>
        <v>0</v>
      </c>
      <c r="J39" s="438">
        <f t="shared" si="5"/>
        <v>0</v>
      </c>
      <c r="K39" s="263">
        <v>18</v>
      </c>
      <c r="M39" s="272"/>
      <c r="N39" s="272"/>
      <c r="O39" s="272"/>
      <c r="P39" s="272"/>
      <c r="Q39" s="272"/>
      <c r="R39" s="272"/>
      <c r="S39" s="272"/>
    </row>
    <row r="40" spans="1:19" hidden="1" x14ac:dyDescent="0.2">
      <c r="A40" s="278" t="str">
        <f t="shared" si="0"/>
        <v/>
      </c>
      <c r="B40" s="384" t="str">
        <f t="shared" si="6"/>
        <v/>
      </c>
      <c r="C40" s="813" t="str">
        <f t="shared" si="7"/>
        <v/>
      </c>
      <c r="D40" s="814"/>
      <c r="E40" s="438">
        <f t="shared" si="1"/>
        <v>-1</v>
      </c>
      <c r="F40" s="438">
        <f t="shared" si="8"/>
        <v>0</v>
      </c>
      <c r="G40" s="438">
        <f t="shared" si="2"/>
        <v>0</v>
      </c>
      <c r="H40" s="438">
        <f t="shared" si="3"/>
        <v>0</v>
      </c>
      <c r="I40" s="438">
        <f t="shared" si="4"/>
        <v>0</v>
      </c>
      <c r="J40" s="438">
        <f t="shared" si="5"/>
        <v>0</v>
      </c>
      <c r="K40" s="263">
        <v>19</v>
      </c>
      <c r="M40" s="272"/>
      <c r="N40" s="272"/>
      <c r="O40" s="272"/>
      <c r="P40" s="272"/>
      <c r="Q40" s="272"/>
      <c r="R40" s="272"/>
      <c r="S40" s="272"/>
    </row>
    <row r="41" spans="1:19" hidden="1" x14ac:dyDescent="0.2">
      <c r="A41" s="278" t="str">
        <f t="shared" si="0"/>
        <v/>
      </c>
      <c r="B41" s="384" t="str">
        <f t="shared" si="6"/>
        <v/>
      </c>
      <c r="C41" s="813" t="str">
        <f t="shared" si="7"/>
        <v/>
      </c>
      <c r="D41" s="814"/>
      <c r="E41" s="438">
        <f t="shared" si="1"/>
        <v>-1</v>
      </c>
      <c r="F41" s="438">
        <f t="shared" si="8"/>
        <v>0</v>
      </c>
      <c r="G41" s="438">
        <f t="shared" si="2"/>
        <v>0</v>
      </c>
      <c r="H41" s="438">
        <f t="shared" si="3"/>
        <v>0</v>
      </c>
      <c r="I41" s="438">
        <f t="shared" si="4"/>
        <v>0</v>
      </c>
      <c r="J41" s="438">
        <f t="shared" si="5"/>
        <v>0</v>
      </c>
      <c r="K41" s="263">
        <v>20</v>
      </c>
      <c r="M41" s="272"/>
      <c r="N41" s="272"/>
      <c r="O41" s="272"/>
      <c r="P41" s="272"/>
      <c r="Q41" s="272"/>
      <c r="R41" s="272"/>
      <c r="S41" s="272"/>
    </row>
    <row r="42" spans="1:19" hidden="1" x14ac:dyDescent="0.2">
      <c r="A42" s="278" t="str">
        <f t="shared" si="0"/>
        <v/>
      </c>
      <c r="B42" s="384" t="str">
        <f t="shared" si="6"/>
        <v/>
      </c>
      <c r="C42" s="813" t="str">
        <f t="shared" si="7"/>
        <v/>
      </c>
      <c r="D42" s="814"/>
      <c r="E42" s="438">
        <f t="shared" si="1"/>
        <v>-1</v>
      </c>
      <c r="F42" s="438">
        <f t="shared" si="8"/>
        <v>0</v>
      </c>
      <c r="G42" s="438">
        <f t="shared" si="2"/>
        <v>0</v>
      </c>
      <c r="H42" s="438">
        <f t="shared" si="3"/>
        <v>0</v>
      </c>
      <c r="I42" s="438">
        <f t="shared" si="4"/>
        <v>0</v>
      </c>
      <c r="J42" s="438">
        <f t="shared" si="5"/>
        <v>0</v>
      </c>
      <c r="K42" s="263">
        <v>21</v>
      </c>
      <c r="M42" s="272"/>
      <c r="N42" s="272"/>
      <c r="O42" s="272"/>
      <c r="P42" s="272"/>
      <c r="Q42" s="272"/>
      <c r="R42" s="272"/>
      <c r="S42" s="272"/>
    </row>
    <row r="43" spans="1:19" hidden="1" x14ac:dyDescent="0.2">
      <c r="A43" s="278" t="str">
        <f t="shared" si="0"/>
        <v/>
      </c>
      <c r="B43" s="384" t="str">
        <f t="shared" si="6"/>
        <v/>
      </c>
      <c r="C43" s="813" t="str">
        <f t="shared" si="7"/>
        <v/>
      </c>
      <c r="D43" s="814"/>
      <c r="E43" s="438">
        <f t="shared" si="1"/>
        <v>-1</v>
      </c>
      <c r="F43" s="438">
        <f t="shared" si="8"/>
        <v>0</v>
      </c>
      <c r="G43" s="438">
        <f t="shared" si="2"/>
        <v>0</v>
      </c>
      <c r="H43" s="438">
        <f t="shared" si="3"/>
        <v>0</v>
      </c>
      <c r="I43" s="438">
        <f t="shared" si="4"/>
        <v>0</v>
      </c>
      <c r="J43" s="438">
        <f t="shared" si="5"/>
        <v>0</v>
      </c>
      <c r="K43" s="263">
        <v>22</v>
      </c>
      <c r="M43" s="272"/>
      <c r="N43" s="272"/>
      <c r="O43" s="272"/>
      <c r="P43" s="272"/>
      <c r="Q43" s="272"/>
      <c r="R43" s="272"/>
      <c r="S43" s="272"/>
    </row>
    <row r="44" spans="1:19" hidden="1" x14ac:dyDescent="0.2">
      <c r="A44" s="278" t="str">
        <f t="shared" si="0"/>
        <v/>
      </c>
      <c r="B44" s="384" t="str">
        <f t="shared" si="6"/>
        <v/>
      </c>
      <c r="C44" s="813" t="str">
        <f t="shared" si="7"/>
        <v/>
      </c>
      <c r="D44" s="814"/>
      <c r="E44" s="438">
        <f t="shared" si="1"/>
        <v>-1</v>
      </c>
      <c r="F44" s="438">
        <f t="shared" si="8"/>
        <v>0</v>
      </c>
      <c r="G44" s="438">
        <f t="shared" si="2"/>
        <v>0</v>
      </c>
      <c r="H44" s="438">
        <f t="shared" si="3"/>
        <v>0</v>
      </c>
      <c r="I44" s="438">
        <f t="shared" si="4"/>
        <v>0</v>
      </c>
      <c r="J44" s="438">
        <f t="shared" si="5"/>
        <v>0</v>
      </c>
      <c r="K44" s="263">
        <v>23</v>
      </c>
      <c r="M44" s="272"/>
      <c r="N44" s="272"/>
      <c r="O44" s="272"/>
      <c r="P44" s="272"/>
      <c r="Q44" s="272"/>
      <c r="R44" s="272"/>
      <c r="S44" s="272"/>
    </row>
    <row r="45" spans="1:19" hidden="1" x14ac:dyDescent="0.2">
      <c r="A45" s="278" t="str">
        <f t="shared" si="0"/>
        <v/>
      </c>
      <c r="B45" s="384" t="str">
        <f t="shared" si="6"/>
        <v/>
      </c>
      <c r="C45" s="813" t="str">
        <f t="shared" si="7"/>
        <v/>
      </c>
      <c r="D45" s="814"/>
      <c r="E45" s="438">
        <f t="shared" si="1"/>
        <v>-1</v>
      </c>
      <c r="F45" s="438">
        <f t="shared" si="8"/>
        <v>0</v>
      </c>
      <c r="G45" s="438">
        <f t="shared" si="2"/>
        <v>0</v>
      </c>
      <c r="H45" s="438">
        <f t="shared" si="3"/>
        <v>0</v>
      </c>
      <c r="I45" s="438">
        <f t="shared" si="4"/>
        <v>0</v>
      </c>
      <c r="J45" s="438">
        <f t="shared" si="5"/>
        <v>0</v>
      </c>
      <c r="K45" s="263">
        <v>24</v>
      </c>
      <c r="M45" s="272"/>
      <c r="N45" s="272"/>
      <c r="O45" s="272"/>
      <c r="P45" s="272"/>
      <c r="Q45" s="272"/>
      <c r="R45" s="272"/>
      <c r="S45" s="272"/>
    </row>
    <row r="46" spans="1:19" hidden="1" x14ac:dyDescent="0.2">
      <c r="A46" s="278" t="str">
        <f t="shared" si="0"/>
        <v/>
      </c>
      <c r="B46" s="384" t="str">
        <f t="shared" si="6"/>
        <v/>
      </c>
      <c r="C46" s="813" t="str">
        <f t="shared" si="7"/>
        <v/>
      </c>
      <c r="D46" s="814"/>
      <c r="E46" s="438">
        <f t="shared" si="1"/>
        <v>-1</v>
      </c>
      <c r="F46" s="438">
        <f t="shared" si="8"/>
        <v>0</v>
      </c>
      <c r="G46" s="438">
        <f t="shared" si="2"/>
        <v>0</v>
      </c>
      <c r="H46" s="438">
        <f t="shared" si="3"/>
        <v>0</v>
      </c>
      <c r="I46" s="438">
        <f t="shared" si="4"/>
        <v>0</v>
      </c>
      <c r="J46" s="438">
        <f t="shared" si="5"/>
        <v>0</v>
      </c>
      <c r="K46" s="263">
        <v>25</v>
      </c>
      <c r="M46" s="272"/>
      <c r="N46" s="272"/>
      <c r="O46" s="272"/>
      <c r="P46" s="272"/>
      <c r="Q46" s="272"/>
      <c r="R46" s="272"/>
      <c r="S46" s="272"/>
    </row>
    <row r="47" spans="1:19" hidden="1" x14ac:dyDescent="0.2">
      <c r="A47" s="278" t="str">
        <f t="shared" si="0"/>
        <v/>
      </c>
      <c r="B47" s="384" t="str">
        <f t="shared" si="6"/>
        <v/>
      </c>
      <c r="C47" s="813" t="str">
        <f t="shared" si="7"/>
        <v/>
      </c>
      <c r="D47" s="814"/>
      <c r="E47" s="438">
        <f t="shared" si="1"/>
        <v>-1</v>
      </c>
      <c r="F47" s="438">
        <f t="shared" si="8"/>
        <v>0</v>
      </c>
      <c r="G47" s="438">
        <f t="shared" si="2"/>
        <v>0</v>
      </c>
      <c r="H47" s="438">
        <f t="shared" si="3"/>
        <v>0</v>
      </c>
      <c r="I47" s="438">
        <f t="shared" si="4"/>
        <v>0</v>
      </c>
      <c r="J47" s="438">
        <f t="shared" si="5"/>
        <v>0</v>
      </c>
      <c r="K47" s="263">
        <v>26</v>
      </c>
      <c r="M47" s="272"/>
      <c r="N47" s="272"/>
      <c r="O47" s="272"/>
      <c r="P47" s="272"/>
      <c r="Q47" s="272"/>
      <c r="R47" s="272"/>
      <c r="S47" s="272"/>
    </row>
    <row r="48" spans="1:19" hidden="1" x14ac:dyDescent="0.2">
      <c r="A48" s="278" t="str">
        <f t="shared" si="0"/>
        <v/>
      </c>
      <c r="B48" s="384" t="str">
        <f t="shared" si="6"/>
        <v/>
      </c>
      <c r="C48" s="813" t="str">
        <f t="shared" si="7"/>
        <v/>
      </c>
      <c r="D48" s="814"/>
      <c r="E48" s="438">
        <f t="shared" si="1"/>
        <v>-1</v>
      </c>
      <c r="F48" s="438">
        <f t="shared" si="8"/>
        <v>0</v>
      </c>
      <c r="G48" s="438">
        <f t="shared" si="2"/>
        <v>0</v>
      </c>
      <c r="H48" s="438">
        <f t="shared" si="3"/>
        <v>0</v>
      </c>
      <c r="I48" s="438">
        <f t="shared" si="4"/>
        <v>0</v>
      </c>
      <c r="J48" s="438">
        <f t="shared" si="5"/>
        <v>0</v>
      </c>
      <c r="K48" s="263">
        <v>27</v>
      </c>
      <c r="M48" s="272"/>
      <c r="N48" s="272"/>
      <c r="O48" s="272"/>
      <c r="P48" s="272"/>
      <c r="Q48" s="272"/>
      <c r="R48" s="272"/>
      <c r="S48" s="272"/>
    </row>
    <row r="49" spans="1:19" hidden="1" x14ac:dyDescent="0.2">
      <c r="A49" s="278" t="str">
        <f t="shared" si="0"/>
        <v/>
      </c>
      <c r="B49" s="384" t="str">
        <f t="shared" si="6"/>
        <v/>
      </c>
      <c r="C49" s="813" t="str">
        <f t="shared" si="7"/>
        <v/>
      </c>
      <c r="D49" s="814"/>
      <c r="E49" s="438">
        <f t="shared" si="1"/>
        <v>-1</v>
      </c>
      <c r="F49" s="438">
        <f t="shared" si="8"/>
        <v>0</v>
      </c>
      <c r="G49" s="438">
        <f t="shared" si="2"/>
        <v>0</v>
      </c>
      <c r="H49" s="438">
        <f t="shared" si="3"/>
        <v>0</v>
      </c>
      <c r="I49" s="438">
        <f t="shared" si="4"/>
        <v>0</v>
      </c>
      <c r="J49" s="438">
        <f t="shared" si="5"/>
        <v>0</v>
      </c>
      <c r="K49" s="263">
        <v>28</v>
      </c>
      <c r="M49" s="272"/>
      <c r="N49" s="272"/>
      <c r="O49" s="272"/>
      <c r="P49" s="272"/>
      <c r="Q49" s="272"/>
      <c r="R49" s="272"/>
      <c r="S49" s="272"/>
    </row>
    <row r="50" spans="1:19" hidden="1" x14ac:dyDescent="0.2">
      <c r="A50" s="278" t="str">
        <f t="shared" si="0"/>
        <v/>
      </c>
      <c r="B50" s="384" t="str">
        <f t="shared" si="6"/>
        <v/>
      </c>
      <c r="C50" s="813" t="str">
        <f t="shared" si="7"/>
        <v/>
      </c>
      <c r="D50" s="814"/>
      <c r="E50" s="438">
        <f t="shared" si="1"/>
        <v>-1</v>
      </c>
      <c r="F50" s="438">
        <f t="shared" si="8"/>
        <v>0</v>
      </c>
      <c r="G50" s="438">
        <f t="shared" si="2"/>
        <v>0</v>
      </c>
      <c r="H50" s="438">
        <f t="shared" si="3"/>
        <v>0</v>
      </c>
      <c r="I50" s="438">
        <f t="shared" si="4"/>
        <v>0</v>
      </c>
      <c r="J50" s="438">
        <f t="shared" si="5"/>
        <v>0</v>
      </c>
      <c r="K50" s="263">
        <v>29</v>
      </c>
      <c r="M50" s="272"/>
      <c r="N50" s="272"/>
      <c r="O50" s="272"/>
      <c r="P50" s="272"/>
      <c r="Q50" s="272"/>
      <c r="R50" s="272"/>
      <c r="S50" s="272"/>
    </row>
    <row r="51" spans="1:19" hidden="1" x14ac:dyDescent="0.2">
      <c r="A51" s="278" t="str">
        <f t="shared" si="0"/>
        <v/>
      </c>
      <c r="B51" s="384" t="str">
        <f t="shared" si="6"/>
        <v/>
      </c>
      <c r="C51" s="813" t="str">
        <f t="shared" si="7"/>
        <v/>
      </c>
      <c r="D51" s="814"/>
      <c r="E51" s="438">
        <f t="shared" si="1"/>
        <v>-1</v>
      </c>
      <c r="F51" s="438">
        <f t="shared" si="8"/>
        <v>0</v>
      </c>
      <c r="G51" s="438">
        <f t="shared" si="2"/>
        <v>0</v>
      </c>
      <c r="H51" s="438">
        <f t="shared" si="3"/>
        <v>0</v>
      </c>
      <c r="I51" s="438">
        <f t="shared" si="4"/>
        <v>0</v>
      </c>
      <c r="J51" s="438">
        <f t="shared" si="5"/>
        <v>0</v>
      </c>
      <c r="K51" s="263">
        <v>30</v>
      </c>
      <c r="M51" s="272"/>
      <c r="N51" s="272"/>
      <c r="O51" s="272"/>
      <c r="P51" s="272"/>
      <c r="Q51" s="272"/>
      <c r="R51" s="272"/>
      <c r="S51" s="272"/>
    </row>
    <row r="52" spans="1:19" hidden="1" x14ac:dyDescent="0.2">
      <c r="A52" s="278" t="str">
        <f t="shared" si="0"/>
        <v/>
      </c>
      <c r="B52" s="384" t="str">
        <f t="shared" si="6"/>
        <v/>
      </c>
      <c r="C52" s="813" t="str">
        <f t="shared" si="7"/>
        <v/>
      </c>
      <c r="D52" s="814"/>
      <c r="E52" s="438">
        <f t="shared" si="1"/>
        <v>-1</v>
      </c>
      <c r="F52" s="438">
        <f t="shared" si="8"/>
        <v>0</v>
      </c>
      <c r="G52" s="438">
        <f t="shared" si="2"/>
        <v>0</v>
      </c>
      <c r="H52" s="438">
        <f t="shared" si="3"/>
        <v>0</v>
      </c>
      <c r="I52" s="438">
        <f t="shared" si="4"/>
        <v>0</v>
      </c>
      <c r="J52" s="438">
        <f t="shared" si="5"/>
        <v>0</v>
      </c>
      <c r="K52" s="263">
        <v>31</v>
      </c>
      <c r="M52" s="272"/>
      <c r="N52" s="272"/>
      <c r="O52" s="272"/>
      <c r="P52" s="272"/>
      <c r="Q52" s="272"/>
      <c r="R52" s="272"/>
      <c r="S52" s="272"/>
    </row>
    <row r="53" spans="1:19" hidden="1" x14ac:dyDescent="0.2">
      <c r="A53" s="278" t="str">
        <f t="shared" si="0"/>
        <v/>
      </c>
      <c r="B53" s="384" t="str">
        <f t="shared" si="6"/>
        <v/>
      </c>
      <c r="C53" s="813" t="str">
        <f t="shared" si="7"/>
        <v/>
      </c>
      <c r="D53" s="814"/>
      <c r="E53" s="438">
        <f t="shared" si="1"/>
        <v>-1</v>
      </c>
      <c r="F53" s="438">
        <f t="shared" si="8"/>
        <v>0</v>
      </c>
      <c r="G53" s="438">
        <f t="shared" si="2"/>
        <v>0</v>
      </c>
      <c r="H53" s="438">
        <f t="shared" si="3"/>
        <v>0</v>
      </c>
      <c r="I53" s="438">
        <f t="shared" si="4"/>
        <v>0</v>
      </c>
      <c r="J53" s="438">
        <f t="shared" si="5"/>
        <v>0</v>
      </c>
      <c r="K53" s="263">
        <v>32</v>
      </c>
      <c r="M53" s="272"/>
      <c r="N53" s="272"/>
      <c r="O53" s="272"/>
      <c r="P53" s="272"/>
      <c r="Q53" s="272"/>
      <c r="R53" s="272"/>
      <c r="S53" s="272"/>
    </row>
    <row r="54" spans="1:19" hidden="1" x14ac:dyDescent="0.2">
      <c r="A54" s="278" t="str">
        <f t="shared" si="0"/>
        <v/>
      </c>
      <c r="B54" s="384" t="str">
        <f t="shared" si="6"/>
        <v/>
      </c>
      <c r="C54" s="813" t="str">
        <f t="shared" si="7"/>
        <v/>
      </c>
      <c r="D54" s="814"/>
      <c r="E54" s="438">
        <f t="shared" si="1"/>
        <v>-1</v>
      </c>
      <c r="F54" s="438">
        <f t="shared" si="8"/>
        <v>0</v>
      </c>
      <c r="G54" s="438">
        <f t="shared" si="2"/>
        <v>0</v>
      </c>
      <c r="H54" s="438">
        <f t="shared" si="3"/>
        <v>0</v>
      </c>
      <c r="I54" s="438">
        <f t="shared" si="4"/>
        <v>0</v>
      </c>
      <c r="J54" s="438">
        <f t="shared" si="5"/>
        <v>0</v>
      </c>
      <c r="K54" s="263">
        <v>33</v>
      </c>
      <c r="M54" s="272"/>
      <c r="N54" s="272"/>
      <c r="O54" s="272"/>
      <c r="P54" s="272"/>
      <c r="Q54" s="272"/>
      <c r="R54" s="272"/>
      <c r="S54" s="272"/>
    </row>
    <row r="55" spans="1:19" hidden="1" x14ac:dyDescent="0.2">
      <c r="A55" s="278" t="str">
        <f t="shared" si="0"/>
        <v/>
      </c>
      <c r="B55" s="384" t="str">
        <f t="shared" si="6"/>
        <v/>
      </c>
      <c r="C55" s="813" t="str">
        <f t="shared" si="7"/>
        <v/>
      </c>
      <c r="D55" s="814"/>
      <c r="E55" s="438">
        <f t="shared" si="1"/>
        <v>-1</v>
      </c>
      <c r="F55" s="438">
        <f t="shared" si="8"/>
        <v>0</v>
      </c>
      <c r="G55" s="438">
        <f t="shared" si="2"/>
        <v>0</v>
      </c>
      <c r="H55" s="438">
        <f t="shared" si="3"/>
        <v>0</v>
      </c>
      <c r="I55" s="438">
        <f t="shared" si="4"/>
        <v>0</v>
      </c>
      <c r="J55" s="438">
        <f t="shared" si="5"/>
        <v>0</v>
      </c>
      <c r="K55" s="263">
        <v>34</v>
      </c>
      <c r="M55" s="272"/>
      <c r="N55" s="272"/>
      <c r="O55" s="272"/>
      <c r="P55" s="272"/>
      <c r="Q55" s="272"/>
      <c r="R55" s="272"/>
      <c r="S55" s="272"/>
    </row>
    <row r="56" spans="1:19" hidden="1" x14ac:dyDescent="0.2">
      <c r="A56" s="278" t="str">
        <f t="shared" si="0"/>
        <v/>
      </c>
      <c r="B56" s="384" t="str">
        <f t="shared" si="6"/>
        <v/>
      </c>
      <c r="C56" s="813" t="str">
        <f t="shared" si="7"/>
        <v/>
      </c>
      <c r="D56" s="814"/>
      <c r="E56" s="438">
        <f t="shared" si="1"/>
        <v>-1</v>
      </c>
      <c r="F56" s="438">
        <f t="shared" si="8"/>
        <v>0</v>
      </c>
      <c r="G56" s="438">
        <f t="shared" si="2"/>
        <v>0</v>
      </c>
      <c r="H56" s="438">
        <f t="shared" si="3"/>
        <v>0</v>
      </c>
      <c r="I56" s="438">
        <f t="shared" si="4"/>
        <v>0</v>
      </c>
      <c r="J56" s="438">
        <f t="shared" si="5"/>
        <v>0</v>
      </c>
      <c r="K56" s="263">
        <v>35</v>
      </c>
      <c r="M56" s="272"/>
      <c r="N56" s="272"/>
      <c r="O56" s="272"/>
      <c r="P56" s="272"/>
      <c r="Q56" s="272"/>
      <c r="R56" s="272"/>
      <c r="S56" s="272"/>
    </row>
    <row r="57" spans="1:19" hidden="1" x14ac:dyDescent="0.2">
      <c r="A57" s="278" t="str">
        <f t="shared" si="0"/>
        <v/>
      </c>
      <c r="B57" s="384" t="str">
        <f t="shared" si="6"/>
        <v/>
      </c>
      <c r="C57" s="813" t="str">
        <f t="shared" si="7"/>
        <v/>
      </c>
      <c r="D57" s="814"/>
      <c r="E57" s="438">
        <f t="shared" si="1"/>
        <v>-1</v>
      </c>
      <c r="F57" s="438">
        <f t="shared" si="8"/>
        <v>0</v>
      </c>
      <c r="G57" s="438">
        <f t="shared" si="2"/>
        <v>0</v>
      </c>
      <c r="H57" s="438">
        <f t="shared" si="3"/>
        <v>0</v>
      </c>
      <c r="I57" s="438">
        <f t="shared" si="4"/>
        <v>0</v>
      </c>
      <c r="J57" s="438">
        <f t="shared" si="5"/>
        <v>0</v>
      </c>
      <c r="K57" s="263">
        <v>36</v>
      </c>
      <c r="M57" s="272"/>
      <c r="N57" s="272"/>
      <c r="O57" s="272"/>
      <c r="P57" s="272"/>
      <c r="Q57" s="272"/>
      <c r="R57" s="272"/>
      <c r="S57" s="272"/>
    </row>
    <row r="58" spans="1:19" hidden="1" x14ac:dyDescent="0.2">
      <c r="A58" s="278" t="str">
        <f t="shared" si="0"/>
        <v/>
      </c>
      <c r="B58" s="384" t="str">
        <f t="shared" si="6"/>
        <v/>
      </c>
      <c r="C58" s="813" t="str">
        <f t="shared" si="7"/>
        <v/>
      </c>
      <c r="D58" s="814"/>
      <c r="E58" s="438">
        <f t="shared" si="1"/>
        <v>-1</v>
      </c>
      <c r="F58" s="438">
        <f t="shared" si="8"/>
        <v>0</v>
      </c>
      <c r="G58" s="438">
        <f t="shared" si="2"/>
        <v>0</v>
      </c>
      <c r="H58" s="438">
        <f t="shared" si="3"/>
        <v>0</v>
      </c>
      <c r="I58" s="438">
        <f t="shared" si="4"/>
        <v>0</v>
      </c>
      <c r="J58" s="438">
        <f t="shared" si="5"/>
        <v>0</v>
      </c>
      <c r="K58" s="263">
        <v>37</v>
      </c>
      <c r="M58" s="272"/>
      <c r="N58" s="272"/>
      <c r="O58" s="272"/>
      <c r="P58" s="272"/>
      <c r="Q58" s="272"/>
      <c r="R58" s="272"/>
      <c r="S58" s="272"/>
    </row>
    <row r="59" spans="1:19" hidden="1" x14ac:dyDescent="0.2">
      <c r="A59" s="278" t="str">
        <f t="shared" si="0"/>
        <v/>
      </c>
      <c r="B59" s="384" t="str">
        <f t="shared" si="6"/>
        <v/>
      </c>
      <c r="C59" s="813" t="str">
        <f t="shared" si="7"/>
        <v/>
      </c>
      <c r="D59" s="814"/>
      <c r="E59" s="438">
        <f t="shared" si="1"/>
        <v>-1</v>
      </c>
      <c r="F59" s="438">
        <f t="shared" si="8"/>
        <v>0</v>
      </c>
      <c r="G59" s="438">
        <f t="shared" si="2"/>
        <v>0</v>
      </c>
      <c r="H59" s="438">
        <f t="shared" si="3"/>
        <v>0</v>
      </c>
      <c r="I59" s="438">
        <f t="shared" si="4"/>
        <v>0</v>
      </c>
      <c r="J59" s="438">
        <f t="shared" si="5"/>
        <v>0</v>
      </c>
      <c r="K59" s="263">
        <v>38</v>
      </c>
      <c r="M59" s="272"/>
      <c r="N59" s="272"/>
      <c r="O59" s="272"/>
      <c r="P59" s="272"/>
      <c r="Q59" s="272"/>
      <c r="R59" s="272"/>
      <c r="S59" s="272"/>
    </row>
    <row r="60" spans="1:19" hidden="1" x14ac:dyDescent="0.2">
      <c r="A60" s="278" t="str">
        <f t="shared" si="0"/>
        <v/>
      </c>
      <c r="B60" s="384" t="str">
        <f t="shared" si="6"/>
        <v/>
      </c>
      <c r="C60" s="813" t="str">
        <f t="shared" si="7"/>
        <v/>
      </c>
      <c r="D60" s="814"/>
      <c r="E60" s="438">
        <f t="shared" si="1"/>
        <v>-1</v>
      </c>
      <c r="F60" s="438">
        <f t="shared" si="8"/>
        <v>0</v>
      </c>
      <c r="G60" s="438">
        <f t="shared" si="2"/>
        <v>0</v>
      </c>
      <c r="H60" s="438">
        <f t="shared" si="3"/>
        <v>0</v>
      </c>
      <c r="I60" s="438">
        <f t="shared" si="4"/>
        <v>0</v>
      </c>
      <c r="J60" s="438">
        <f t="shared" si="5"/>
        <v>0</v>
      </c>
      <c r="K60" s="263">
        <v>39</v>
      </c>
      <c r="M60" s="272"/>
      <c r="N60" s="272"/>
      <c r="O60" s="272"/>
      <c r="P60" s="272"/>
      <c r="Q60" s="272"/>
      <c r="R60" s="272"/>
      <c r="S60" s="272"/>
    </row>
    <row r="61" spans="1:19" hidden="1" x14ac:dyDescent="0.2">
      <c r="A61" s="278" t="str">
        <f t="shared" si="0"/>
        <v/>
      </c>
      <c r="B61" s="384" t="str">
        <f t="shared" si="6"/>
        <v/>
      </c>
      <c r="C61" s="813" t="str">
        <f t="shared" si="7"/>
        <v/>
      </c>
      <c r="D61" s="814"/>
      <c r="E61" s="438">
        <f t="shared" si="1"/>
        <v>-1</v>
      </c>
      <c r="F61" s="438">
        <f t="shared" si="8"/>
        <v>0</v>
      </c>
      <c r="G61" s="438">
        <f t="shared" si="2"/>
        <v>0</v>
      </c>
      <c r="H61" s="438">
        <f t="shared" si="3"/>
        <v>0</v>
      </c>
      <c r="I61" s="438">
        <f t="shared" si="4"/>
        <v>0</v>
      </c>
      <c r="J61" s="438">
        <f t="shared" si="5"/>
        <v>0</v>
      </c>
      <c r="K61" s="263">
        <v>40</v>
      </c>
      <c r="M61" s="272"/>
      <c r="N61" s="272"/>
      <c r="O61" s="272"/>
      <c r="P61" s="272"/>
      <c r="Q61" s="272"/>
      <c r="R61" s="272"/>
      <c r="S61" s="272"/>
    </row>
    <row r="62" spans="1:19" hidden="1" x14ac:dyDescent="0.2">
      <c r="A62" s="278" t="str">
        <f t="shared" si="0"/>
        <v/>
      </c>
      <c r="B62" s="384" t="str">
        <f t="shared" si="6"/>
        <v/>
      </c>
      <c r="C62" s="813" t="str">
        <f t="shared" si="7"/>
        <v/>
      </c>
      <c r="D62" s="814"/>
      <c r="E62" s="438">
        <f t="shared" si="1"/>
        <v>-1</v>
      </c>
      <c r="F62" s="438">
        <f t="shared" si="8"/>
        <v>0</v>
      </c>
      <c r="G62" s="438">
        <f t="shared" si="2"/>
        <v>0</v>
      </c>
      <c r="H62" s="438">
        <f t="shared" si="3"/>
        <v>0</v>
      </c>
      <c r="I62" s="438">
        <f t="shared" si="4"/>
        <v>0</v>
      </c>
      <c r="J62" s="438">
        <f t="shared" si="5"/>
        <v>0</v>
      </c>
      <c r="K62" s="263">
        <v>41</v>
      </c>
      <c r="M62" s="272"/>
      <c r="N62" s="272"/>
      <c r="O62" s="272"/>
      <c r="P62" s="272"/>
      <c r="Q62" s="272"/>
      <c r="R62" s="272"/>
      <c r="S62" s="272"/>
    </row>
    <row r="63" spans="1:19" hidden="1" x14ac:dyDescent="0.2">
      <c r="A63" s="278" t="str">
        <f t="shared" si="0"/>
        <v/>
      </c>
      <c r="B63" s="384" t="str">
        <f t="shared" si="6"/>
        <v/>
      </c>
      <c r="C63" s="813" t="str">
        <f t="shared" si="7"/>
        <v/>
      </c>
      <c r="D63" s="814"/>
      <c r="E63" s="438">
        <f t="shared" si="1"/>
        <v>-1</v>
      </c>
      <c r="F63" s="438">
        <f t="shared" si="8"/>
        <v>0</v>
      </c>
      <c r="G63" s="438">
        <f t="shared" si="2"/>
        <v>0</v>
      </c>
      <c r="H63" s="438">
        <f t="shared" si="3"/>
        <v>0</v>
      </c>
      <c r="I63" s="438">
        <f t="shared" si="4"/>
        <v>0</v>
      </c>
      <c r="J63" s="438">
        <f t="shared" si="5"/>
        <v>0</v>
      </c>
      <c r="K63" s="263">
        <v>42</v>
      </c>
      <c r="M63" s="272"/>
      <c r="N63" s="272"/>
      <c r="O63" s="272"/>
      <c r="P63" s="272"/>
      <c r="Q63" s="272"/>
      <c r="R63" s="272"/>
      <c r="S63" s="272"/>
    </row>
    <row r="64" spans="1:19" hidden="1" x14ac:dyDescent="0.2">
      <c r="A64" s="278" t="str">
        <f t="shared" si="0"/>
        <v/>
      </c>
      <c r="B64" s="384" t="str">
        <f t="shared" si="6"/>
        <v/>
      </c>
      <c r="C64" s="813" t="str">
        <f t="shared" si="7"/>
        <v/>
      </c>
      <c r="D64" s="814"/>
      <c r="E64" s="438">
        <f t="shared" si="1"/>
        <v>-1</v>
      </c>
      <c r="F64" s="438">
        <f t="shared" si="8"/>
        <v>0</v>
      </c>
      <c r="G64" s="438">
        <f t="shared" si="2"/>
        <v>0</v>
      </c>
      <c r="H64" s="438">
        <f t="shared" si="3"/>
        <v>0</v>
      </c>
      <c r="I64" s="438">
        <f t="shared" si="4"/>
        <v>0</v>
      </c>
      <c r="J64" s="438">
        <f t="shared" si="5"/>
        <v>0</v>
      </c>
      <c r="K64" s="263">
        <v>43</v>
      </c>
      <c r="M64" s="272"/>
      <c r="N64" s="272"/>
      <c r="O64" s="272"/>
      <c r="P64" s="272"/>
      <c r="Q64" s="272"/>
      <c r="R64" s="272"/>
      <c r="S64" s="272"/>
    </row>
    <row r="65" spans="1:19" hidden="1" x14ac:dyDescent="0.2">
      <c r="A65" s="278" t="str">
        <f t="shared" si="0"/>
        <v/>
      </c>
      <c r="B65" s="384" t="str">
        <f t="shared" si="6"/>
        <v/>
      </c>
      <c r="C65" s="813" t="str">
        <f t="shared" si="7"/>
        <v/>
      </c>
      <c r="D65" s="814"/>
      <c r="E65" s="438">
        <f t="shared" si="1"/>
        <v>-1</v>
      </c>
      <c r="F65" s="438">
        <f t="shared" si="8"/>
        <v>0</v>
      </c>
      <c r="G65" s="438">
        <f t="shared" si="2"/>
        <v>0</v>
      </c>
      <c r="H65" s="438">
        <f t="shared" si="3"/>
        <v>0</v>
      </c>
      <c r="I65" s="438">
        <f t="shared" si="4"/>
        <v>0</v>
      </c>
      <c r="J65" s="438">
        <f t="shared" si="5"/>
        <v>0</v>
      </c>
      <c r="K65" s="263">
        <v>44</v>
      </c>
      <c r="M65" s="272"/>
      <c r="N65" s="272"/>
      <c r="O65" s="272"/>
      <c r="P65" s="272"/>
      <c r="Q65" s="272"/>
      <c r="R65" s="272"/>
      <c r="S65" s="272"/>
    </row>
    <row r="66" spans="1:19" hidden="1" x14ac:dyDescent="0.2">
      <c r="A66" s="278" t="str">
        <f t="shared" si="0"/>
        <v/>
      </c>
      <c r="B66" s="384" t="str">
        <f t="shared" si="6"/>
        <v/>
      </c>
      <c r="C66" s="813" t="str">
        <f t="shared" si="7"/>
        <v/>
      </c>
      <c r="D66" s="814"/>
      <c r="E66" s="438">
        <f t="shared" si="1"/>
        <v>-1</v>
      </c>
      <c r="F66" s="438">
        <f t="shared" si="8"/>
        <v>0</v>
      </c>
      <c r="G66" s="438">
        <f t="shared" si="2"/>
        <v>0</v>
      </c>
      <c r="H66" s="438">
        <f t="shared" si="3"/>
        <v>0</v>
      </c>
      <c r="I66" s="438">
        <f t="shared" si="4"/>
        <v>0</v>
      </c>
      <c r="J66" s="438">
        <f t="shared" si="5"/>
        <v>0</v>
      </c>
      <c r="K66" s="263">
        <v>45</v>
      </c>
      <c r="M66" s="272"/>
      <c r="N66" s="272"/>
      <c r="O66" s="272"/>
      <c r="P66" s="272"/>
      <c r="Q66" s="272"/>
      <c r="R66" s="272"/>
      <c r="S66" s="272"/>
    </row>
    <row r="67" spans="1:19" hidden="1" x14ac:dyDescent="0.2">
      <c r="A67" s="278" t="str">
        <f t="shared" si="0"/>
        <v/>
      </c>
      <c r="B67" s="384" t="str">
        <f t="shared" si="6"/>
        <v/>
      </c>
      <c r="C67" s="813" t="str">
        <f t="shared" si="7"/>
        <v/>
      </c>
      <c r="D67" s="814"/>
      <c r="E67" s="438">
        <f t="shared" si="1"/>
        <v>-1</v>
      </c>
      <c r="F67" s="438">
        <f t="shared" si="8"/>
        <v>0</v>
      </c>
      <c r="G67" s="438">
        <f t="shared" si="2"/>
        <v>0</v>
      </c>
      <c r="H67" s="438">
        <f t="shared" si="3"/>
        <v>0</v>
      </c>
      <c r="I67" s="438">
        <f t="shared" si="4"/>
        <v>0</v>
      </c>
      <c r="J67" s="438">
        <f t="shared" si="5"/>
        <v>0</v>
      </c>
      <c r="K67" s="263">
        <v>46</v>
      </c>
      <c r="M67" s="272"/>
      <c r="N67" s="272"/>
      <c r="O67" s="272"/>
      <c r="P67" s="272"/>
      <c r="Q67" s="272"/>
      <c r="R67" s="272"/>
      <c r="S67" s="272"/>
    </row>
    <row r="68" spans="1:19" hidden="1" x14ac:dyDescent="0.2">
      <c r="A68" s="278" t="str">
        <f t="shared" si="0"/>
        <v/>
      </c>
      <c r="B68" s="384" t="str">
        <f t="shared" si="6"/>
        <v/>
      </c>
      <c r="C68" s="813" t="str">
        <f t="shared" si="7"/>
        <v/>
      </c>
      <c r="D68" s="814"/>
      <c r="E68" s="438">
        <f t="shared" si="1"/>
        <v>-1</v>
      </c>
      <c r="F68" s="438">
        <f t="shared" si="8"/>
        <v>0</v>
      </c>
      <c r="G68" s="438">
        <f t="shared" si="2"/>
        <v>0</v>
      </c>
      <c r="H68" s="438">
        <f t="shared" si="3"/>
        <v>0</v>
      </c>
      <c r="I68" s="438">
        <f t="shared" si="4"/>
        <v>0</v>
      </c>
      <c r="J68" s="438">
        <f t="shared" si="5"/>
        <v>0</v>
      </c>
      <c r="K68" s="263">
        <v>47</v>
      </c>
      <c r="M68" s="272"/>
      <c r="N68" s="272"/>
      <c r="O68" s="272"/>
      <c r="P68" s="272"/>
      <c r="Q68" s="272"/>
      <c r="R68" s="272"/>
      <c r="S68" s="272"/>
    </row>
    <row r="69" spans="1:19" hidden="1" x14ac:dyDescent="0.2">
      <c r="A69" s="278" t="str">
        <f t="shared" si="0"/>
        <v/>
      </c>
      <c r="B69" s="384" t="str">
        <f t="shared" si="6"/>
        <v/>
      </c>
      <c r="C69" s="813" t="str">
        <f t="shared" si="7"/>
        <v/>
      </c>
      <c r="D69" s="814"/>
      <c r="E69" s="438">
        <f t="shared" si="1"/>
        <v>-1</v>
      </c>
      <c r="F69" s="438">
        <f t="shared" si="8"/>
        <v>0</v>
      </c>
      <c r="G69" s="438">
        <f t="shared" si="2"/>
        <v>0</v>
      </c>
      <c r="H69" s="438">
        <f t="shared" si="3"/>
        <v>0</v>
      </c>
      <c r="I69" s="438">
        <f t="shared" si="4"/>
        <v>0</v>
      </c>
      <c r="J69" s="438">
        <f t="shared" si="5"/>
        <v>0</v>
      </c>
      <c r="K69" s="263">
        <v>48</v>
      </c>
      <c r="M69" s="272"/>
      <c r="N69" s="272"/>
      <c r="O69" s="272"/>
      <c r="P69" s="272"/>
      <c r="Q69" s="272"/>
      <c r="R69" s="272"/>
      <c r="S69" s="272"/>
    </row>
    <row r="70" spans="1:19" hidden="1" x14ac:dyDescent="0.2">
      <c r="A70" s="278" t="str">
        <f t="shared" si="0"/>
        <v/>
      </c>
      <c r="B70" s="384" t="str">
        <f t="shared" si="6"/>
        <v/>
      </c>
      <c r="C70" s="813" t="str">
        <f t="shared" si="7"/>
        <v/>
      </c>
      <c r="D70" s="814"/>
      <c r="E70" s="438">
        <f t="shared" si="1"/>
        <v>-1</v>
      </c>
      <c r="F70" s="438">
        <f t="shared" si="8"/>
        <v>0</v>
      </c>
      <c r="G70" s="438">
        <f t="shared" si="2"/>
        <v>0</v>
      </c>
      <c r="H70" s="438">
        <f t="shared" si="3"/>
        <v>0</v>
      </c>
      <c r="I70" s="438">
        <f t="shared" si="4"/>
        <v>0</v>
      </c>
      <c r="J70" s="438">
        <f t="shared" si="5"/>
        <v>0</v>
      </c>
      <c r="K70" s="263">
        <v>49</v>
      </c>
      <c r="M70" s="272"/>
      <c r="N70" s="272"/>
      <c r="O70" s="272"/>
      <c r="P70" s="272"/>
      <c r="Q70" s="272"/>
      <c r="R70" s="272"/>
      <c r="S70" s="272"/>
    </row>
    <row r="71" spans="1:19" hidden="1" x14ac:dyDescent="0.2">
      <c r="A71" s="278" t="str">
        <f t="shared" si="0"/>
        <v/>
      </c>
      <c r="B71" s="384" t="str">
        <f t="shared" si="6"/>
        <v/>
      </c>
      <c r="C71" s="813" t="str">
        <f t="shared" si="7"/>
        <v/>
      </c>
      <c r="D71" s="814"/>
      <c r="E71" s="438">
        <f t="shared" si="1"/>
        <v>-1</v>
      </c>
      <c r="F71" s="438">
        <f t="shared" si="8"/>
        <v>0</v>
      </c>
      <c r="G71" s="438">
        <f t="shared" si="2"/>
        <v>0</v>
      </c>
      <c r="H71" s="438">
        <f t="shared" si="3"/>
        <v>0</v>
      </c>
      <c r="I71" s="438">
        <f t="shared" si="4"/>
        <v>0</v>
      </c>
      <c r="J71" s="438">
        <f t="shared" si="5"/>
        <v>0</v>
      </c>
      <c r="K71" s="263">
        <v>50</v>
      </c>
      <c r="M71" s="272"/>
      <c r="N71" s="272"/>
      <c r="O71" s="272"/>
      <c r="P71" s="272"/>
      <c r="Q71" s="272"/>
      <c r="R71" s="272"/>
      <c r="S71" s="272"/>
    </row>
    <row r="72" spans="1:19" hidden="1" x14ac:dyDescent="0.2">
      <c r="A72" s="278" t="str">
        <f t="shared" si="0"/>
        <v/>
      </c>
      <c r="B72" s="384" t="str">
        <f t="shared" si="6"/>
        <v/>
      </c>
      <c r="C72" s="813" t="str">
        <f t="shared" si="7"/>
        <v/>
      </c>
      <c r="D72" s="814"/>
      <c r="E72" s="438">
        <f t="shared" si="1"/>
        <v>-1</v>
      </c>
      <c r="F72" s="438">
        <f t="shared" si="8"/>
        <v>0</v>
      </c>
      <c r="G72" s="438">
        <f t="shared" si="2"/>
        <v>0</v>
      </c>
      <c r="H72" s="438">
        <f t="shared" si="3"/>
        <v>0</v>
      </c>
      <c r="I72" s="438">
        <f t="shared" si="4"/>
        <v>0</v>
      </c>
      <c r="J72" s="438">
        <f t="shared" si="5"/>
        <v>0</v>
      </c>
      <c r="K72" s="263">
        <v>51</v>
      </c>
      <c r="M72" s="272"/>
      <c r="N72" s="272"/>
      <c r="O72" s="272"/>
      <c r="P72" s="272"/>
      <c r="Q72" s="272"/>
      <c r="R72" s="272"/>
      <c r="S72" s="272"/>
    </row>
    <row r="73" spans="1:19" hidden="1" x14ac:dyDescent="0.2">
      <c r="A73" s="278" t="str">
        <f t="shared" si="0"/>
        <v/>
      </c>
      <c r="B73" s="384" t="str">
        <f t="shared" si="6"/>
        <v/>
      </c>
      <c r="C73" s="813" t="str">
        <f t="shared" si="7"/>
        <v/>
      </c>
      <c r="D73" s="814"/>
      <c r="E73" s="438">
        <f t="shared" si="1"/>
        <v>-1</v>
      </c>
      <c r="F73" s="438">
        <f t="shared" si="8"/>
        <v>0</v>
      </c>
      <c r="G73" s="438">
        <f t="shared" si="2"/>
        <v>0</v>
      </c>
      <c r="H73" s="438">
        <f t="shared" si="3"/>
        <v>0</v>
      </c>
      <c r="I73" s="438">
        <f t="shared" si="4"/>
        <v>0</v>
      </c>
      <c r="J73" s="438">
        <f t="shared" si="5"/>
        <v>0</v>
      </c>
      <c r="K73" s="263">
        <v>52</v>
      </c>
      <c r="M73" s="272"/>
      <c r="N73" s="272"/>
      <c r="O73" s="272"/>
      <c r="P73" s="272"/>
      <c r="Q73" s="272"/>
      <c r="R73" s="272"/>
      <c r="S73" s="272"/>
    </row>
    <row r="74" spans="1:19" hidden="1" x14ac:dyDescent="0.2">
      <c r="A74" s="278" t="str">
        <f t="shared" si="0"/>
        <v/>
      </c>
      <c r="B74" s="384" t="str">
        <f t="shared" si="6"/>
        <v/>
      </c>
      <c r="C74" s="813" t="str">
        <f t="shared" si="7"/>
        <v/>
      </c>
      <c r="D74" s="814"/>
      <c r="E74" s="438">
        <f t="shared" si="1"/>
        <v>-1</v>
      </c>
      <c r="F74" s="438">
        <f t="shared" si="8"/>
        <v>0</v>
      </c>
      <c r="G74" s="438">
        <f t="shared" si="2"/>
        <v>0</v>
      </c>
      <c r="H74" s="438">
        <f t="shared" si="3"/>
        <v>0</v>
      </c>
      <c r="I74" s="438">
        <f t="shared" si="4"/>
        <v>0</v>
      </c>
      <c r="J74" s="438">
        <f t="shared" si="5"/>
        <v>0</v>
      </c>
      <c r="K74" s="263">
        <v>53</v>
      </c>
      <c r="M74" s="272"/>
      <c r="N74" s="272"/>
      <c r="O74" s="272"/>
      <c r="P74" s="272"/>
      <c r="Q74" s="272"/>
      <c r="R74" s="272"/>
      <c r="S74" s="272"/>
    </row>
    <row r="75" spans="1:19" hidden="1" x14ac:dyDescent="0.2">
      <c r="A75" s="278" t="str">
        <f t="shared" si="0"/>
        <v/>
      </c>
      <c r="B75" s="384" t="str">
        <f t="shared" si="6"/>
        <v/>
      </c>
      <c r="C75" s="813" t="str">
        <f t="shared" si="7"/>
        <v/>
      </c>
      <c r="D75" s="814"/>
      <c r="E75" s="438">
        <f t="shared" si="1"/>
        <v>-1</v>
      </c>
      <c r="F75" s="438">
        <f t="shared" si="8"/>
        <v>0</v>
      </c>
      <c r="G75" s="438">
        <f t="shared" si="2"/>
        <v>0</v>
      </c>
      <c r="H75" s="438">
        <f t="shared" si="3"/>
        <v>0</v>
      </c>
      <c r="I75" s="438">
        <f t="shared" si="4"/>
        <v>0</v>
      </c>
      <c r="J75" s="438">
        <f t="shared" si="5"/>
        <v>0</v>
      </c>
      <c r="K75" s="263">
        <v>54</v>
      </c>
      <c r="M75" s="272"/>
      <c r="N75" s="272"/>
      <c r="O75" s="272"/>
      <c r="P75" s="272"/>
      <c r="Q75" s="272"/>
      <c r="R75" s="272"/>
      <c r="S75" s="272"/>
    </row>
    <row r="76" spans="1:19" hidden="1" x14ac:dyDescent="0.2">
      <c r="A76" s="278" t="str">
        <f t="shared" si="0"/>
        <v/>
      </c>
      <c r="B76" s="384" t="str">
        <f t="shared" si="6"/>
        <v/>
      </c>
      <c r="C76" s="813" t="str">
        <f t="shared" si="7"/>
        <v/>
      </c>
      <c r="D76" s="814"/>
      <c r="E76" s="438">
        <f t="shared" si="1"/>
        <v>-1</v>
      </c>
      <c r="F76" s="438">
        <f t="shared" si="8"/>
        <v>0</v>
      </c>
      <c r="G76" s="438">
        <f t="shared" si="2"/>
        <v>0</v>
      </c>
      <c r="H76" s="438">
        <f t="shared" si="3"/>
        <v>0</v>
      </c>
      <c r="I76" s="438">
        <f t="shared" si="4"/>
        <v>0</v>
      </c>
      <c r="J76" s="438">
        <f t="shared" si="5"/>
        <v>0</v>
      </c>
      <c r="K76" s="263">
        <v>55</v>
      </c>
      <c r="M76" s="272"/>
      <c r="N76" s="272"/>
      <c r="O76" s="272"/>
      <c r="P76" s="272"/>
      <c r="Q76" s="272"/>
      <c r="R76" s="272"/>
      <c r="S76" s="272"/>
    </row>
    <row r="77" spans="1:19" hidden="1" x14ac:dyDescent="0.2">
      <c r="A77" s="278" t="str">
        <f t="shared" si="0"/>
        <v/>
      </c>
      <c r="B77" s="384" t="str">
        <f t="shared" si="6"/>
        <v/>
      </c>
      <c r="C77" s="813" t="str">
        <f t="shared" si="7"/>
        <v/>
      </c>
      <c r="D77" s="814"/>
      <c r="E77" s="438">
        <f t="shared" si="1"/>
        <v>-1</v>
      </c>
      <c r="F77" s="438">
        <f t="shared" si="8"/>
        <v>0</v>
      </c>
      <c r="G77" s="438">
        <f t="shared" si="2"/>
        <v>0</v>
      </c>
      <c r="H77" s="438">
        <f t="shared" si="3"/>
        <v>0</v>
      </c>
      <c r="I77" s="438">
        <f t="shared" si="4"/>
        <v>0</v>
      </c>
      <c r="J77" s="438">
        <f t="shared" si="5"/>
        <v>0</v>
      </c>
      <c r="K77" s="263">
        <v>56</v>
      </c>
      <c r="M77" s="272"/>
      <c r="N77" s="272"/>
      <c r="O77" s="272"/>
      <c r="P77" s="272"/>
      <c r="Q77" s="272"/>
      <c r="R77" s="272"/>
      <c r="S77" s="272"/>
    </row>
    <row r="78" spans="1:19" hidden="1" x14ac:dyDescent="0.2">
      <c r="A78" s="278" t="str">
        <f t="shared" si="0"/>
        <v/>
      </c>
      <c r="B78" s="384" t="str">
        <f t="shared" si="6"/>
        <v/>
      </c>
      <c r="C78" s="813" t="str">
        <f t="shared" si="7"/>
        <v/>
      </c>
      <c r="D78" s="814"/>
      <c r="E78" s="438">
        <f t="shared" si="1"/>
        <v>-1</v>
      </c>
      <c r="F78" s="438">
        <f t="shared" si="8"/>
        <v>0</v>
      </c>
      <c r="G78" s="438">
        <f t="shared" si="2"/>
        <v>0</v>
      </c>
      <c r="H78" s="438">
        <f t="shared" si="3"/>
        <v>0</v>
      </c>
      <c r="I78" s="438">
        <f t="shared" si="4"/>
        <v>0</v>
      </c>
      <c r="J78" s="438">
        <f t="shared" si="5"/>
        <v>0</v>
      </c>
      <c r="K78" s="263">
        <v>57</v>
      </c>
      <c r="M78" s="272"/>
      <c r="N78" s="272"/>
      <c r="O78" s="272"/>
      <c r="P78" s="272"/>
      <c r="Q78" s="272"/>
      <c r="R78" s="272"/>
      <c r="S78" s="272"/>
    </row>
    <row r="79" spans="1:19" hidden="1" x14ac:dyDescent="0.2">
      <c r="A79" s="278" t="str">
        <f t="shared" si="0"/>
        <v/>
      </c>
      <c r="B79" s="384" t="str">
        <f t="shared" si="6"/>
        <v/>
      </c>
      <c r="C79" s="813" t="str">
        <f t="shared" si="7"/>
        <v/>
      </c>
      <c r="D79" s="814"/>
      <c r="E79" s="438">
        <f t="shared" si="1"/>
        <v>-1</v>
      </c>
      <c r="F79" s="438">
        <f t="shared" si="8"/>
        <v>0</v>
      </c>
      <c r="G79" s="438">
        <f t="shared" si="2"/>
        <v>0</v>
      </c>
      <c r="H79" s="438">
        <f t="shared" si="3"/>
        <v>0</v>
      </c>
      <c r="I79" s="438">
        <f t="shared" si="4"/>
        <v>0</v>
      </c>
      <c r="J79" s="438">
        <f t="shared" si="5"/>
        <v>0</v>
      </c>
      <c r="K79" s="263">
        <v>58</v>
      </c>
      <c r="M79" s="272"/>
      <c r="N79" s="272"/>
      <c r="O79" s="272"/>
      <c r="P79" s="272"/>
      <c r="Q79" s="272"/>
      <c r="R79" s="272"/>
      <c r="S79" s="272"/>
    </row>
    <row r="80" spans="1:19" hidden="1" x14ac:dyDescent="0.2">
      <c r="A80" s="278" t="str">
        <f t="shared" si="0"/>
        <v/>
      </c>
      <c r="B80" s="384" t="str">
        <f t="shared" si="6"/>
        <v/>
      </c>
      <c r="C80" s="813" t="str">
        <f t="shared" si="7"/>
        <v/>
      </c>
      <c r="D80" s="814"/>
      <c r="E80" s="438">
        <f t="shared" si="1"/>
        <v>-1</v>
      </c>
      <c r="F80" s="438">
        <f t="shared" si="8"/>
        <v>0</v>
      </c>
      <c r="G80" s="438">
        <f t="shared" si="2"/>
        <v>0</v>
      </c>
      <c r="H80" s="438">
        <f t="shared" si="3"/>
        <v>0</v>
      </c>
      <c r="I80" s="438">
        <f t="shared" si="4"/>
        <v>0</v>
      </c>
      <c r="J80" s="438">
        <f t="shared" si="5"/>
        <v>0</v>
      </c>
      <c r="K80" s="263">
        <v>59</v>
      </c>
      <c r="M80" s="272"/>
      <c r="N80" s="272"/>
      <c r="O80" s="272"/>
      <c r="P80" s="272"/>
      <c r="Q80" s="272"/>
      <c r="R80" s="272"/>
      <c r="S80" s="272"/>
    </row>
    <row r="81" spans="1:19" hidden="1" x14ac:dyDescent="0.2">
      <c r="A81" s="278" t="str">
        <f t="shared" si="0"/>
        <v/>
      </c>
      <c r="B81" s="384" t="str">
        <f t="shared" si="6"/>
        <v/>
      </c>
      <c r="C81" s="813" t="str">
        <f t="shared" si="7"/>
        <v/>
      </c>
      <c r="D81" s="814"/>
      <c r="E81" s="438">
        <f t="shared" si="1"/>
        <v>-1</v>
      </c>
      <c r="F81" s="438">
        <f t="shared" si="8"/>
        <v>0</v>
      </c>
      <c r="G81" s="438">
        <f t="shared" si="2"/>
        <v>0</v>
      </c>
      <c r="H81" s="438">
        <f t="shared" si="3"/>
        <v>0</v>
      </c>
      <c r="I81" s="438">
        <f t="shared" si="4"/>
        <v>0</v>
      </c>
      <c r="J81" s="438">
        <f t="shared" si="5"/>
        <v>0</v>
      </c>
      <c r="K81" s="263">
        <v>60</v>
      </c>
      <c r="M81" s="272"/>
      <c r="N81" s="272"/>
      <c r="O81" s="272"/>
      <c r="P81" s="272"/>
      <c r="Q81" s="272"/>
      <c r="R81" s="272"/>
      <c r="S81" s="272"/>
    </row>
    <row r="82" spans="1:19" hidden="1" x14ac:dyDescent="0.2">
      <c r="A82" s="278" t="str">
        <f t="shared" si="0"/>
        <v/>
      </c>
      <c r="B82" s="384" t="str">
        <f t="shared" si="6"/>
        <v/>
      </c>
      <c r="C82" s="813" t="str">
        <f t="shared" si="7"/>
        <v/>
      </c>
      <c r="D82" s="814"/>
      <c r="E82" s="438">
        <f t="shared" si="1"/>
        <v>-1</v>
      </c>
      <c r="F82" s="438">
        <f t="shared" si="8"/>
        <v>0</v>
      </c>
      <c r="G82" s="438">
        <f t="shared" si="2"/>
        <v>0</v>
      </c>
      <c r="H82" s="438">
        <f t="shared" si="3"/>
        <v>0</v>
      </c>
      <c r="I82" s="438">
        <f t="shared" si="4"/>
        <v>0</v>
      </c>
      <c r="J82" s="438">
        <f t="shared" si="5"/>
        <v>0</v>
      </c>
      <c r="K82" s="263">
        <v>61</v>
      </c>
      <c r="M82" s="272"/>
      <c r="N82" s="272"/>
      <c r="O82" s="272"/>
      <c r="P82" s="272"/>
      <c r="Q82" s="272"/>
      <c r="R82" s="272"/>
      <c r="S82" s="272"/>
    </row>
    <row r="83" spans="1:19" hidden="1" x14ac:dyDescent="0.2">
      <c r="A83" s="278" t="str">
        <f t="shared" si="0"/>
        <v/>
      </c>
      <c r="B83" s="384" t="str">
        <f t="shared" si="6"/>
        <v/>
      </c>
      <c r="C83" s="813" t="str">
        <f t="shared" si="7"/>
        <v/>
      </c>
      <c r="D83" s="814"/>
      <c r="E83" s="438">
        <f t="shared" si="1"/>
        <v>-1</v>
      </c>
      <c r="F83" s="438">
        <f t="shared" si="8"/>
        <v>0</v>
      </c>
      <c r="G83" s="438">
        <f t="shared" si="2"/>
        <v>0</v>
      </c>
      <c r="H83" s="438">
        <f t="shared" si="3"/>
        <v>0</v>
      </c>
      <c r="I83" s="438">
        <f t="shared" si="4"/>
        <v>0</v>
      </c>
      <c r="J83" s="438">
        <f t="shared" si="5"/>
        <v>0</v>
      </c>
      <c r="K83" s="263">
        <v>62</v>
      </c>
      <c r="M83" s="272"/>
      <c r="N83" s="272"/>
      <c r="O83" s="272"/>
      <c r="P83" s="272"/>
      <c r="Q83" s="272"/>
      <c r="R83" s="272"/>
      <c r="S83" s="272"/>
    </row>
    <row r="84" spans="1:19" hidden="1" x14ac:dyDescent="0.2">
      <c r="A84" s="278" t="str">
        <f t="shared" si="0"/>
        <v/>
      </c>
      <c r="B84" s="384" t="str">
        <f t="shared" si="6"/>
        <v/>
      </c>
      <c r="C84" s="813" t="str">
        <f t="shared" si="7"/>
        <v/>
      </c>
      <c r="D84" s="814"/>
      <c r="E84" s="438">
        <f t="shared" si="1"/>
        <v>-1</v>
      </c>
      <c r="F84" s="438">
        <f t="shared" si="8"/>
        <v>0</v>
      </c>
      <c r="G84" s="438">
        <f t="shared" si="2"/>
        <v>0</v>
      </c>
      <c r="H84" s="438">
        <f t="shared" si="3"/>
        <v>0</v>
      </c>
      <c r="I84" s="438">
        <f t="shared" si="4"/>
        <v>0</v>
      </c>
      <c r="J84" s="438">
        <f t="shared" si="5"/>
        <v>0</v>
      </c>
      <c r="K84" s="263">
        <v>63</v>
      </c>
      <c r="M84" s="272"/>
      <c r="N84" s="272"/>
      <c r="O84" s="272"/>
      <c r="P84" s="272"/>
      <c r="Q84" s="272"/>
      <c r="R84" s="272"/>
      <c r="S84" s="272"/>
    </row>
    <row r="85" spans="1:19" hidden="1" x14ac:dyDescent="0.2">
      <c r="A85" s="278" t="str">
        <f t="shared" si="0"/>
        <v/>
      </c>
      <c r="B85" s="384" t="str">
        <f t="shared" si="6"/>
        <v/>
      </c>
      <c r="C85" s="813" t="str">
        <f t="shared" si="7"/>
        <v/>
      </c>
      <c r="D85" s="814"/>
      <c r="E85" s="438">
        <f t="shared" si="1"/>
        <v>-1</v>
      </c>
      <c r="F85" s="438">
        <f t="shared" si="8"/>
        <v>0</v>
      </c>
      <c r="G85" s="438">
        <f t="shared" si="2"/>
        <v>0</v>
      </c>
      <c r="H85" s="438">
        <f t="shared" si="3"/>
        <v>0</v>
      </c>
      <c r="I85" s="438">
        <f t="shared" si="4"/>
        <v>0</v>
      </c>
      <c r="J85" s="438">
        <f t="shared" si="5"/>
        <v>0</v>
      </c>
      <c r="K85" s="263">
        <v>64</v>
      </c>
      <c r="M85" s="272"/>
      <c r="N85" s="272"/>
      <c r="O85" s="272"/>
      <c r="P85" s="272"/>
      <c r="Q85" s="272"/>
      <c r="R85" s="272"/>
      <c r="S85" s="272"/>
    </row>
    <row r="86" spans="1:19" hidden="1" x14ac:dyDescent="0.2">
      <c r="A86" s="278" t="str">
        <f t="shared" ref="A86:A94" si="9">IF(OR(L87="",L87="C E M I"),IF(L87="C E M I","CƏMİ",""),L87)</f>
        <v/>
      </c>
      <c r="B86" s="384" t="str">
        <f t="shared" si="6"/>
        <v/>
      </c>
      <c r="C86" s="813" t="str">
        <f t="shared" si="7"/>
        <v/>
      </c>
      <c r="D86" s="814"/>
      <c r="E86" s="438">
        <f t="shared" si="1"/>
        <v>-1</v>
      </c>
      <c r="F86" s="438">
        <f t="shared" si="8"/>
        <v>0</v>
      </c>
      <c r="G86" s="438">
        <f t="shared" si="2"/>
        <v>0</v>
      </c>
      <c r="H86" s="438">
        <f t="shared" si="3"/>
        <v>0</v>
      </c>
      <c r="I86" s="438">
        <f t="shared" si="4"/>
        <v>0</v>
      </c>
      <c r="J86" s="438">
        <f t="shared" si="5"/>
        <v>0</v>
      </c>
      <c r="K86" s="263">
        <v>65</v>
      </c>
      <c r="M86" s="272"/>
      <c r="N86" s="272"/>
      <c r="O86" s="272"/>
      <c r="P86" s="272"/>
      <c r="Q86" s="272"/>
      <c r="R86" s="272"/>
      <c r="S86" s="272"/>
    </row>
    <row r="87" spans="1:19" hidden="1" x14ac:dyDescent="0.2">
      <c r="A87" s="278" t="str">
        <f t="shared" si="9"/>
        <v/>
      </c>
      <c r="B87" s="384" t="str">
        <f t="shared" ref="B87:B94" si="10">IF(A87="","",IF(B86="","",B86+1))</f>
        <v/>
      </c>
      <c r="C87" s="813" t="str">
        <f t="shared" ref="C87:C94" si="11">IF(OR(A87="",A87="CƏMİ"),"","kredit ödənişi")</f>
        <v/>
      </c>
      <c r="D87" s="814"/>
      <c r="E87" s="438">
        <f t="shared" ref="E87:E94" si="12">VALUE(IF(OR(N88="",N88="========="),-1,SUBSTITUTE(N88,",","")))</f>
        <v>-1</v>
      </c>
      <c r="F87" s="438">
        <f t="shared" ref="F87:F94" si="13">VALUE(IF(OR(O88="",O88="========="),0,SUBSTITUTE(O88,",","")))</f>
        <v>0</v>
      </c>
      <c r="G87" s="438">
        <f t="shared" si="2"/>
        <v>0</v>
      </c>
      <c r="H87" s="438">
        <f t="shared" si="3"/>
        <v>0</v>
      </c>
      <c r="I87" s="438">
        <f t="shared" si="4"/>
        <v>0</v>
      </c>
      <c r="J87" s="438">
        <f t="shared" si="5"/>
        <v>0</v>
      </c>
      <c r="K87" s="263">
        <v>66</v>
      </c>
      <c r="M87" s="272"/>
      <c r="N87" s="272"/>
      <c r="O87" s="272"/>
      <c r="P87" s="272"/>
      <c r="Q87" s="272"/>
      <c r="R87" s="272"/>
      <c r="S87" s="272"/>
    </row>
    <row r="88" spans="1:19" hidden="1" x14ac:dyDescent="0.2">
      <c r="A88" s="278" t="str">
        <f t="shared" si="9"/>
        <v/>
      </c>
      <c r="B88" s="384" t="str">
        <f t="shared" si="10"/>
        <v/>
      </c>
      <c r="C88" s="813" t="str">
        <f t="shared" si="11"/>
        <v/>
      </c>
      <c r="D88" s="814"/>
      <c r="E88" s="438">
        <f t="shared" si="12"/>
        <v>-1</v>
      </c>
      <c r="F88" s="438">
        <f t="shared" si="13"/>
        <v>0</v>
      </c>
      <c r="G88" s="438">
        <f t="shared" si="2"/>
        <v>0</v>
      </c>
      <c r="H88" s="438">
        <f t="shared" si="3"/>
        <v>0</v>
      </c>
      <c r="I88" s="438">
        <f t="shared" si="4"/>
        <v>0</v>
      </c>
      <c r="J88" s="438">
        <f t="shared" si="5"/>
        <v>0</v>
      </c>
      <c r="K88" s="263">
        <v>67</v>
      </c>
      <c r="M88" s="272"/>
      <c r="N88" s="272"/>
      <c r="O88" s="272"/>
      <c r="P88" s="272"/>
      <c r="Q88" s="272"/>
      <c r="R88" s="272"/>
      <c r="S88" s="272"/>
    </row>
    <row r="89" spans="1:19" hidden="1" x14ac:dyDescent="0.2">
      <c r="A89" s="278" t="str">
        <f t="shared" si="9"/>
        <v/>
      </c>
      <c r="B89" s="384" t="str">
        <f t="shared" si="10"/>
        <v/>
      </c>
      <c r="C89" s="813" t="str">
        <f t="shared" si="11"/>
        <v/>
      </c>
      <c r="D89" s="814"/>
      <c r="E89" s="438">
        <f t="shared" si="12"/>
        <v>-1</v>
      </c>
      <c r="F89" s="438">
        <f t="shared" si="13"/>
        <v>0</v>
      </c>
      <c r="G89" s="438">
        <f t="shared" si="2"/>
        <v>0</v>
      </c>
      <c r="H89" s="438">
        <f t="shared" si="3"/>
        <v>0</v>
      </c>
      <c r="I89" s="438">
        <f t="shared" si="4"/>
        <v>0</v>
      </c>
      <c r="J89" s="438">
        <f t="shared" si="5"/>
        <v>0</v>
      </c>
      <c r="K89" s="263">
        <v>68</v>
      </c>
      <c r="M89" s="272"/>
      <c r="N89" s="272"/>
      <c r="O89" s="272"/>
      <c r="P89" s="272"/>
      <c r="Q89" s="272"/>
      <c r="R89" s="272"/>
      <c r="S89" s="272"/>
    </row>
    <row r="90" spans="1:19" hidden="1" x14ac:dyDescent="0.2">
      <c r="A90" s="278" t="str">
        <f t="shared" si="9"/>
        <v/>
      </c>
      <c r="B90" s="384" t="str">
        <f t="shared" si="10"/>
        <v/>
      </c>
      <c r="C90" s="813" t="str">
        <f t="shared" si="11"/>
        <v/>
      </c>
      <c r="D90" s="814"/>
      <c r="E90" s="438">
        <f t="shared" si="12"/>
        <v>-1</v>
      </c>
      <c r="F90" s="438">
        <f t="shared" si="13"/>
        <v>0</v>
      </c>
      <c r="G90" s="438">
        <f t="shared" si="2"/>
        <v>0</v>
      </c>
      <c r="H90" s="438">
        <f t="shared" si="3"/>
        <v>0</v>
      </c>
      <c r="I90" s="438">
        <f t="shared" si="4"/>
        <v>0</v>
      </c>
      <c r="J90" s="438">
        <f t="shared" si="5"/>
        <v>0</v>
      </c>
      <c r="K90" s="263">
        <v>69</v>
      </c>
      <c r="M90" s="272"/>
      <c r="N90" s="272"/>
      <c r="P90" s="272"/>
      <c r="Q90" s="272"/>
      <c r="R90" s="272"/>
      <c r="S90" s="272"/>
    </row>
    <row r="91" spans="1:19" hidden="1" x14ac:dyDescent="0.2">
      <c r="A91" s="278" t="str">
        <f t="shared" si="9"/>
        <v/>
      </c>
      <c r="B91" s="384" t="str">
        <f t="shared" si="10"/>
        <v/>
      </c>
      <c r="C91" s="813" t="str">
        <f t="shared" si="11"/>
        <v/>
      </c>
      <c r="D91" s="814"/>
      <c r="E91" s="438">
        <f t="shared" si="12"/>
        <v>-1</v>
      </c>
      <c r="F91" s="438">
        <f t="shared" si="13"/>
        <v>0</v>
      </c>
      <c r="G91" s="438">
        <f t="shared" si="2"/>
        <v>0</v>
      </c>
      <c r="H91" s="438">
        <f t="shared" si="3"/>
        <v>0</v>
      </c>
      <c r="I91" s="438">
        <f t="shared" si="4"/>
        <v>0</v>
      </c>
      <c r="J91" s="438">
        <f t="shared" si="5"/>
        <v>0</v>
      </c>
      <c r="K91" s="263">
        <v>70</v>
      </c>
      <c r="M91" s="272"/>
      <c r="N91" s="272"/>
      <c r="O91" s="272"/>
      <c r="P91" s="272"/>
      <c r="Q91" s="272"/>
      <c r="R91" s="272"/>
      <c r="S91" s="272"/>
    </row>
    <row r="92" spans="1:19" hidden="1" x14ac:dyDescent="0.2">
      <c r="A92" s="278" t="str">
        <f t="shared" si="9"/>
        <v/>
      </c>
      <c r="B92" s="384" t="str">
        <f t="shared" si="10"/>
        <v/>
      </c>
      <c r="C92" s="813" t="str">
        <f t="shared" si="11"/>
        <v/>
      </c>
      <c r="D92" s="814"/>
      <c r="E92" s="438">
        <f t="shared" si="12"/>
        <v>-1</v>
      </c>
      <c r="F92" s="438">
        <f t="shared" si="13"/>
        <v>0</v>
      </c>
      <c r="G92" s="438">
        <f t="shared" si="2"/>
        <v>0</v>
      </c>
      <c r="H92" s="438">
        <f t="shared" si="3"/>
        <v>0</v>
      </c>
      <c r="I92" s="438">
        <f t="shared" si="4"/>
        <v>0</v>
      </c>
      <c r="J92" s="438">
        <f t="shared" si="5"/>
        <v>0</v>
      </c>
      <c r="K92" s="263">
        <v>71</v>
      </c>
      <c r="M92" s="272"/>
      <c r="N92" s="272"/>
      <c r="O92" s="272"/>
      <c r="P92" s="272"/>
      <c r="Q92" s="272"/>
      <c r="R92" s="272"/>
      <c r="S92" s="272"/>
    </row>
    <row r="93" spans="1:19" hidden="1" x14ac:dyDescent="0.2">
      <c r="A93" s="278" t="str">
        <f t="shared" si="9"/>
        <v/>
      </c>
      <c r="B93" s="384" t="str">
        <f t="shared" si="10"/>
        <v/>
      </c>
      <c r="C93" s="813" t="str">
        <f t="shared" si="11"/>
        <v/>
      </c>
      <c r="D93" s="814"/>
      <c r="E93" s="438">
        <f t="shared" si="12"/>
        <v>-1</v>
      </c>
      <c r="F93" s="438">
        <f t="shared" si="13"/>
        <v>0</v>
      </c>
      <c r="G93" s="438">
        <f t="shared" si="2"/>
        <v>0</v>
      </c>
      <c r="H93" s="438">
        <f t="shared" si="3"/>
        <v>0</v>
      </c>
      <c r="I93" s="438">
        <f t="shared" si="4"/>
        <v>0</v>
      </c>
      <c r="J93" s="438">
        <f t="shared" si="5"/>
        <v>0</v>
      </c>
      <c r="K93" s="263">
        <v>72</v>
      </c>
      <c r="M93" s="272"/>
      <c r="N93" s="272"/>
      <c r="O93" s="272"/>
      <c r="P93" s="272"/>
      <c r="Q93" s="272"/>
      <c r="R93" s="272"/>
      <c r="S93" s="272"/>
    </row>
    <row r="94" spans="1:19" hidden="1" x14ac:dyDescent="0.2">
      <c r="A94" s="278" t="str">
        <f t="shared" si="9"/>
        <v/>
      </c>
      <c r="B94" s="384" t="str">
        <f t="shared" si="10"/>
        <v/>
      </c>
      <c r="C94" s="813" t="str">
        <f t="shared" si="11"/>
        <v/>
      </c>
      <c r="D94" s="814"/>
      <c r="E94" s="438">
        <f t="shared" si="12"/>
        <v>-1</v>
      </c>
      <c r="F94" s="438">
        <f t="shared" si="13"/>
        <v>0</v>
      </c>
      <c r="G94" s="438">
        <f t="shared" si="2"/>
        <v>0</v>
      </c>
      <c r="H94" s="438">
        <f t="shared" si="3"/>
        <v>0</v>
      </c>
      <c r="I94" s="438">
        <f t="shared" si="4"/>
        <v>0</v>
      </c>
      <c r="J94" s="438">
        <f t="shared" si="5"/>
        <v>0</v>
      </c>
      <c r="K94" s="263">
        <v>73</v>
      </c>
      <c r="M94" s="272"/>
      <c r="N94" s="272"/>
      <c r="P94" s="272"/>
      <c r="Q94" s="272"/>
      <c r="R94" s="272"/>
      <c r="S94" s="272"/>
    </row>
    <row r="95" spans="1:19" x14ac:dyDescent="0.2">
      <c r="A95" s="279"/>
      <c r="B95" s="279"/>
      <c r="C95" s="279"/>
      <c r="D95" s="279"/>
      <c r="E95" s="279"/>
      <c r="F95" s="279"/>
      <c r="G95" s="279"/>
      <c r="H95" s="279"/>
      <c r="I95" s="279"/>
      <c r="J95" s="279"/>
      <c r="K95" s="263">
        <v>74</v>
      </c>
      <c r="M95" s="272"/>
      <c r="N95" s="272"/>
      <c r="P95" s="272"/>
      <c r="Q95" s="272"/>
      <c r="R95" s="272"/>
      <c r="S95" s="272"/>
    </row>
    <row r="96" spans="1:19" x14ac:dyDescent="0.2">
      <c r="A96" s="280"/>
      <c r="B96" s="280"/>
      <c r="C96" s="280"/>
      <c r="D96" s="280"/>
      <c r="E96" s="280"/>
      <c r="F96" s="280"/>
      <c r="G96" s="280"/>
      <c r="H96" s="280"/>
      <c r="I96" s="280"/>
      <c r="J96" s="280"/>
      <c r="M96" s="272"/>
      <c r="N96" s="272"/>
      <c r="P96" s="272"/>
      <c r="Q96" s="272"/>
      <c r="R96" s="272"/>
      <c r="S96" s="272"/>
    </row>
    <row r="97" spans="1:19" x14ac:dyDescent="0.2">
      <c r="A97" s="830" t="s">
        <v>867</v>
      </c>
      <c r="B97" s="831"/>
      <c r="C97" s="831"/>
      <c r="D97" s="831"/>
      <c r="E97" s="832"/>
      <c r="F97" s="830" t="s">
        <v>861</v>
      </c>
      <c r="G97" s="831"/>
      <c r="H97" s="831"/>
      <c r="I97" s="831"/>
      <c r="J97" s="832"/>
      <c r="M97" s="272"/>
      <c r="N97" s="272"/>
      <c r="P97" s="272"/>
      <c r="Q97" s="272"/>
      <c r="R97" s="272"/>
      <c r="S97" s="272"/>
    </row>
    <row r="98" spans="1:19" x14ac:dyDescent="0.2">
      <c r="A98" s="281"/>
      <c r="B98" s="282"/>
      <c r="C98" s="282"/>
      <c r="D98" s="282"/>
      <c r="E98" s="283"/>
      <c r="F98" s="284"/>
      <c r="G98" s="284"/>
      <c r="H98" s="284"/>
      <c r="I98" s="284"/>
      <c r="J98" s="285"/>
      <c r="M98" s="272"/>
      <c r="N98" s="272"/>
      <c r="P98" s="272"/>
      <c r="Q98" s="272"/>
      <c r="R98" s="272"/>
      <c r="S98" s="272"/>
    </row>
    <row r="99" spans="1:19" x14ac:dyDescent="0.2">
      <c r="A99" s="833" t="str">
        <f>"BOKT «Vijn Fond Azərkredit» MMC,"</f>
        <v>BOKT «Vijn Fond Azərkredit» MMC,</v>
      </c>
      <c r="B99" s="834"/>
      <c r="C99" s="834"/>
      <c r="D99" s="834"/>
      <c r="E99" s="835"/>
      <c r="F99" s="284"/>
      <c r="G99" s="284"/>
      <c r="H99" s="820" t="str">
        <f>SURNAME_KREDITOR&amp;" "&amp;NAME_KREDITOR&amp;" "&amp;FATHERNAME_KREDITOR&amp;" "&amp;G_KREDITOR</f>
        <v>Həsənov Kənan Asdan qızı</v>
      </c>
      <c r="I99" s="820"/>
      <c r="J99" s="821"/>
      <c r="M99" s="272"/>
      <c r="N99" s="272"/>
      <c r="P99" s="272"/>
      <c r="Q99" s="272"/>
      <c r="R99" s="272"/>
      <c r="S99" s="272"/>
    </row>
    <row r="100" spans="1:19" x14ac:dyDescent="0.2">
      <c r="A100" s="286"/>
      <c r="B100" s="287"/>
      <c r="C100" s="287"/>
      <c r="D100" s="287"/>
      <c r="E100" s="288"/>
      <c r="F100" s="284"/>
      <c r="G100" s="284"/>
      <c r="H100" s="289"/>
      <c r="I100" s="289"/>
      <c r="J100" s="290"/>
      <c r="M100" s="272"/>
      <c r="N100" s="272"/>
      <c r="P100" s="272"/>
      <c r="Q100" s="272"/>
      <c r="R100" s="272"/>
      <c r="S100" s="272"/>
    </row>
    <row r="101" spans="1:19" x14ac:dyDescent="0.2">
      <c r="A101" s="833" t="str">
        <f>NAME_BRANCH&amp;" "&amp;POSITION_MENEGER_BRANCH&amp;"
"&amp;SURNAME_MENEGER_BRANCH&amp;" "&amp;NAME_MENEGER_BRANCH&amp;" "&amp;FATHERNAME_MENEGER_BRANCH&amp;" "&amp;G_MENEGER_BRANCH</f>
        <v>Ağcabədi  Filialının kredit meneceri
Əhmədov  Bəhruz  Tofiq  oğlu</v>
      </c>
      <c r="B101" s="834"/>
      <c r="C101" s="834"/>
      <c r="D101" s="834"/>
      <c r="E101" s="835"/>
      <c r="F101" s="838" t="str">
        <f>IF(OR(H101=0,H101=""),"","Şəxsiyyət vəsiqəsi: ")</f>
        <v xml:space="preserve">Şəxsiyyət vəsiqəsi: </v>
      </c>
      <c r="G101" s="839"/>
      <c r="H101" s="840" t="str">
        <f>IF(OR(SHV_SN_KREDITOR=0,SHV_D_KREDITOR=0,SHV_R_KREDITOR=0,SHV_SN_KREDITOR="",SHV_D_KREDITOR="",SHV_R_KREDITOR=""),"",SHV_SN_KREDITOR&amp;"  "&amp;T.Data!G21&amp;" "&amp;SHV_R_KREDITOR&amp;" tərəfindən verilmişdir.")</f>
        <v>AZE № 14577224  «27» May 2014-cü il Mingəçevir ŞPŞ tərəfindən verilmişdir.</v>
      </c>
      <c r="I101" s="840"/>
      <c r="J101" s="841"/>
      <c r="M101" s="272"/>
      <c r="N101" s="272"/>
      <c r="P101" s="272"/>
      <c r="Q101" s="272"/>
      <c r="R101" s="272"/>
      <c r="S101" s="272"/>
    </row>
    <row r="102" spans="1:19" x14ac:dyDescent="0.2">
      <c r="A102" s="833"/>
      <c r="B102" s="834"/>
      <c r="C102" s="834"/>
      <c r="D102" s="834"/>
      <c r="E102" s="835"/>
      <c r="F102" s="291"/>
      <c r="G102" s="292"/>
      <c r="H102" s="840"/>
      <c r="I102" s="840"/>
      <c r="J102" s="841"/>
      <c r="M102" s="272"/>
      <c r="N102" s="272"/>
      <c r="P102" s="272"/>
      <c r="Q102" s="272"/>
      <c r="R102" s="272"/>
      <c r="S102" s="272"/>
    </row>
    <row r="103" spans="1:19" x14ac:dyDescent="0.2">
      <c r="A103" s="842" t="str">
        <f>IF(OR(C103=0,C103=""),"","Ünvan:")</f>
        <v>Ünvan:</v>
      </c>
      <c r="B103" s="843"/>
      <c r="C103" s="822" t="str">
        <f>NAME_REGION&amp;", "&amp;ADDRESS_REGION</f>
        <v>Ağcabədi şəhəri, İ.Qayıbov 2</v>
      </c>
      <c r="D103" s="822"/>
      <c r="E103" s="823"/>
      <c r="F103" s="291"/>
      <c r="G103" s="292"/>
      <c r="H103" s="840"/>
      <c r="I103" s="840"/>
      <c r="J103" s="841"/>
      <c r="M103" s="272"/>
      <c r="N103" s="272"/>
      <c r="P103" s="272"/>
      <c r="Q103" s="272"/>
      <c r="R103" s="272"/>
      <c r="S103" s="272"/>
    </row>
    <row r="104" spans="1:19" x14ac:dyDescent="0.2">
      <c r="A104" s="293"/>
      <c r="B104" s="294"/>
      <c r="C104" s="822"/>
      <c r="D104" s="822"/>
      <c r="E104" s="823"/>
      <c r="F104" s="817" t="str">
        <f>IF(OR(H104=0,H104=""),"","Ünvan:")</f>
        <v>Ünvan:</v>
      </c>
      <c r="G104" s="818"/>
      <c r="H104" s="824" t="str">
        <f>ADDRESS_KREDITOR</f>
        <v xml:space="preserve">Mingəçevir şəh., H.Əliyev PR., ev. 76/1, m. 22 </v>
      </c>
      <c r="I104" s="824"/>
      <c r="J104" s="825"/>
      <c r="M104" s="272"/>
      <c r="N104" s="272"/>
      <c r="P104" s="272"/>
      <c r="Q104" s="272"/>
      <c r="R104" s="272"/>
      <c r="S104" s="272"/>
    </row>
    <row r="105" spans="1:19" x14ac:dyDescent="0.2">
      <c r="A105" s="836" t="str">
        <f>IF(OR(C105=0,C105=""),"","Telefon:")</f>
        <v>Telefon:</v>
      </c>
      <c r="B105" s="837"/>
      <c r="C105" s="819" t="str">
        <f>IF(OR(NUM_BRANCH=0,NUM_BRANCH=""),"",NUM_BRANCH)</f>
        <v>(+994 24) 274 13 23</v>
      </c>
      <c r="D105" s="819"/>
      <c r="E105" s="295"/>
      <c r="F105" s="296"/>
      <c r="G105" s="296"/>
      <c r="H105" s="824"/>
      <c r="I105" s="824"/>
      <c r="J105" s="825"/>
      <c r="M105" s="272"/>
      <c r="N105" s="272"/>
      <c r="P105" s="272"/>
      <c r="Q105" s="272"/>
      <c r="R105" s="272"/>
      <c r="S105" s="272"/>
    </row>
    <row r="106" spans="1:19" x14ac:dyDescent="0.2">
      <c r="A106" s="297"/>
      <c r="B106" s="229" t="str">
        <f>IF(OR(C106=0,C106=""),"","Faks:")</f>
        <v>Faks:</v>
      </c>
      <c r="C106" s="819" t="str">
        <f>IF(OR(FAX_BRANCH=0,FAX_BRANCH=""),"",FAX_BRANCH)</f>
        <v>(+994 24) 274 20 24</v>
      </c>
      <c r="D106" s="819"/>
      <c r="E106" s="295"/>
      <c r="F106" s="829" t="str">
        <f>IF(OR(H106=0,H106=""),"","Telefon:")</f>
        <v>Telefon:</v>
      </c>
      <c r="G106" s="829"/>
      <c r="H106" s="820" t="str">
        <f>IF(OR(NUM_1_KREDITOR=0,NUM_1_KREDITOR=""),"",NUM_1_KREDITOR&amp;"; ")&amp;IF(OR(NUM_2_KREDITOR=0,NUM_2_KREDITOR=""),"",NUM_2_KREDITOR&amp;"; ")</f>
        <v xml:space="preserve">055-915-96-56; </v>
      </c>
      <c r="I106" s="820"/>
      <c r="J106" s="821"/>
      <c r="M106" s="272"/>
      <c r="N106" s="272"/>
      <c r="P106" s="272"/>
      <c r="Q106" s="272"/>
      <c r="R106" s="272"/>
      <c r="S106" s="272"/>
    </row>
    <row r="107" spans="1:19" x14ac:dyDescent="0.2">
      <c r="A107" s="826"/>
      <c r="B107" s="827"/>
      <c r="C107" s="827"/>
      <c r="D107" s="827"/>
      <c r="E107" s="828"/>
      <c r="F107" s="284"/>
      <c r="G107" s="284"/>
      <c r="H107" s="284"/>
      <c r="I107" s="284"/>
      <c r="J107" s="298"/>
      <c r="M107" s="272"/>
      <c r="N107" s="272"/>
      <c r="P107" s="272"/>
      <c r="Q107" s="272"/>
      <c r="R107" s="272"/>
      <c r="S107" s="272"/>
    </row>
    <row r="108" spans="1:19" x14ac:dyDescent="0.2">
      <c r="A108" s="299"/>
      <c r="B108" s="300" t="s">
        <v>97</v>
      </c>
      <c r="C108" s="815"/>
      <c r="D108" s="815"/>
      <c r="E108" s="301"/>
      <c r="F108" s="302"/>
      <c r="G108" s="300" t="s">
        <v>97</v>
      </c>
      <c r="H108" s="816"/>
      <c r="I108" s="816"/>
      <c r="J108" s="298"/>
      <c r="M108" s="272"/>
      <c r="N108" s="272"/>
      <c r="P108" s="272"/>
      <c r="Q108" s="272"/>
      <c r="R108" s="272"/>
      <c r="S108" s="272"/>
    </row>
    <row r="109" spans="1:19" x14ac:dyDescent="0.2">
      <c r="A109" s="303"/>
      <c r="B109" s="277"/>
      <c r="C109" s="277"/>
      <c r="D109" s="277"/>
      <c r="E109" s="304"/>
      <c r="F109" s="305"/>
      <c r="G109" s="306"/>
      <c r="H109" s="306"/>
      <c r="I109" s="306"/>
      <c r="J109" s="307"/>
      <c r="M109" s="272"/>
      <c r="N109" s="272"/>
      <c r="P109" s="272"/>
      <c r="Q109" s="272"/>
      <c r="R109" s="272"/>
      <c r="S109" s="272"/>
    </row>
    <row r="110" spans="1:19" x14ac:dyDescent="0.2">
      <c r="M110" s="272"/>
      <c r="N110" s="272"/>
      <c r="P110" s="272"/>
      <c r="Q110" s="272"/>
      <c r="R110" s="272"/>
      <c r="S110" s="272"/>
    </row>
    <row r="111" spans="1:19" x14ac:dyDescent="0.2">
      <c r="M111" s="272"/>
      <c r="N111" s="272"/>
      <c r="P111" s="272"/>
      <c r="Q111" s="272"/>
      <c r="R111" s="272"/>
      <c r="S111" s="272"/>
    </row>
    <row r="112" spans="1:19" x14ac:dyDescent="0.2">
      <c r="H112" s="263">
        <f>MAX(H21:H95)</f>
        <v>0</v>
      </c>
      <c r="M112" s="272"/>
      <c r="N112" s="272"/>
      <c r="P112" s="272"/>
      <c r="Q112" s="272"/>
      <c r="R112" s="272"/>
      <c r="S112" s="272"/>
    </row>
    <row r="113" spans="13:19" x14ac:dyDescent="0.2">
      <c r="M113" s="272"/>
      <c r="N113" s="272"/>
      <c r="P113" s="272"/>
      <c r="Q113" s="272"/>
      <c r="R113" s="272"/>
      <c r="S113" s="272"/>
    </row>
    <row r="114" spans="13:19" x14ac:dyDescent="0.2">
      <c r="M114" s="272"/>
      <c r="N114" s="272"/>
      <c r="P114" s="272"/>
      <c r="Q114" s="272"/>
      <c r="R114" s="272"/>
      <c r="S114" s="272"/>
    </row>
    <row r="115" spans="13:19" x14ac:dyDescent="0.2">
      <c r="M115" s="272"/>
      <c r="N115" s="272"/>
      <c r="P115" s="272"/>
      <c r="Q115" s="272"/>
      <c r="R115" s="272"/>
      <c r="S115" s="272"/>
    </row>
    <row r="116" spans="13:19" x14ac:dyDescent="0.2">
      <c r="M116" s="272"/>
      <c r="N116" s="272"/>
      <c r="P116" s="272"/>
      <c r="Q116" s="272"/>
      <c r="R116" s="272"/>
      <c r="S116" s="272"/>
    </row>
    <row r="117" spans="13:19" x14ac:dyDescent="0.2">
      <c r="M117" s="272"/>
      <c r="N117" s="272"/>
      <c r="P117" s="272"/>
      <c r="Q117" s="272"/>
      <c r="R117" s="272"/>
      <c r="S117" s="272"/>
    </row>
    <row r="118" spans="13:19" x14ac:dyDescent="0.2">
      <c r="M118" s="272"/>
      <c r="N118" s="272"/>
      <c r="P118" s="272"/>
      <c r="Q118" s="272"/>
      <c r="R118" s="272"/>
      <c r="S118" s="272"/>
    </row>
    <row r="119" spans="13:19" x14ac:dyDescent="0.2">
      <c r="M119" s="272"/>
      <c r="N119" s="272"/>
      <c r="P119" s="272"/>
      <c r="Q119" s="272"/>
      <c r="R119" s="272"/>
      <c r="S119" s="272"/>
    </row>
    <row r="120" spans="13:19" x14ac:dyDescent="0.2">
      <c r="M120" s="272"/>
      <c r="N120" s="272"/>
      <c r="P120" s="272"/>
      <c r="Q120" s="272"/>
      <c r="R120" s="272"/>
      <c r="S120" s="272"/>
    </row>
    <row r="121" spans="13:19" x14ac:dyDescent="0.2">
      <c r="M121" s="272"/>
      <c r="N121" s="272"/>
      <c r="P121" s="272"/>
      <c r="Q121" s="272"/>
      <c r="R121" s="272"/>
      <c r="S121" s="272"/>
    </row>
    <row r="122" spans="13:19" x14ac:dyDescent="0.2">
      <c r="M122" s="272"/>
      <c r="N122" s="272"/>
      <c r="P122" s="272"/>
      <c r="Q122" s="272"/>
      <c r="R122" s="272"/>
      <c r="S122" s="272"/>
    </row>
    <row r="123" spans="13:19" x14ac:dyDescent="0.2">
      <c r="M123" s="272"/>
      <c r="N123" s="272"/>
      <c r="P123" s="272"/>
      <c r="Q123" s="272"/>
      <c r="R123" s="272"/>
      <c r="S123" s="272"/>
    </row>
    <row r="124" spans="13:19" x14ac:dyDescent="0.2">
      <c r="M124" s="272"/>
      <c r="N124" s="272"/>
      <c r="P124" s="272"/>
      <c r="Q124" s="272"/>
      <c r="R124" s="272"/>
      <c r="S124" s="272"/>
    </row>
    <row r="125" spans="13:19" x14ac:dyDescent="0.2">
      <c r="M125" s="272"/>
      <c r="N125" s="272"/>
      <c r="P125" s="272"/>
      <c r="Q125" s="272"/>
      <c r="R125" s="272"/>
      <c r="S125" s="272"/>
    </row>
    <row r="126" spans="13:19" x14ac:dyDescent="0.2">
      <c r="M126" s="272"/>
      <c r="N126" s="272"/>
      <c r="P126" s="272"/>
      <c r="Q126" s="272"/>
      <c r="R126" s="272"/>
      <c r="S126" s="272"/>
    </row>
    <row r="127" spans="13:19" x14ac:dyDescent="0.2">
      <c r="M127" s="272"/>
      <c r="N127" s="272"/>
      <c r="P127" s="272"/>
      <c r="Q127" s="272"/>
      <c r="R127" s="272"/>
      <c r="S127" s="272"/>
    </row>
    <row r="128" spans="13:19" x14ac:dyDescent="0.2">
      <c r="M128" s="272"/>
      <c r="N128" s="272"/>
      <c r="P128" s="272"/>
      <c r="Q128" s="272"/>
      <c r="R128" s="272"/>
      <c r="S128" s="272"/>
    </row>
    <row r="129" spans="13:19" x14ac:dyDescent="0.2">
      <c r="M129" s="272"/>
      <c r="N129" s="272"/>
      <c r="P129" s="272"/>
      <c r="Q129" s="272"/>
      <c r="R129" s="272"/>
      <c r="S129" s="272"/>
    </row>
    <row r="130" spans="13:19" x14ac:dyDescent="0.2">
      <c r="M130" s="272"/>
      <c r="N130" s="272"/>
      <c r="P130" s="272"/>
      <c r="Q130" s="272"/>
      <c r="R130" s="272"/>
      <c r="S130" s="272"/>
    </row>
    <row r="131" spans="13:19" x14ac:dyDescent="0.2">
      <c r="M131" s="272"/>
      <c r="N131" s="272"/>
      <c r="P131" s="272"/>
      <c r="Q131" s="272"/>
      <c r="R131" s="272"/>
      <c r="S131" s="272"/>
    </row>
    <row r="132" spans="13:19" x14ac:dyDescent="0.2">
      <c r="M132" s="272"/>
      <c r="N132" s="272"/>
      <c r="P132" s="272"/>
      <c r="Q132" s="272"/>
      <c r="R132" s="272"/>
      <c r="S132" s="272"/>
    </row>
    <row r="133" spans="13:19" x14ac:dyDescent="0.2">
      <c r="M133" s="272"/>
      <c r="N133" s="272"/>
      <c r="P133" s="272"/>
      <c r="Q133" s="272"/>
      <c r="R133" s="272"/>
      <c r="S133" s="272"/>
    </row>
    <row r="134" spans="13:19" x14ac:dyDescent="0.2">
      <c r="M134" s="272"/>
      <c r="N134" s="272"/>
      <c r="P134" s="272"/>
      <c r="Q134" s="272"/>
      <c r="R134" s="272"/>
      <c r="S134" s="272"/>
    </row>
    <row r="135" spans="13:19" x14ac:dyDescent="0.2">
      <c r="M135" s="272"/>
      <c r="N135" s="272"/>
      <c r="P135" s="272"/>
      <c r="Q135" s="272"/>
      <c r="R135" s="272"/>
      <c r="S135" s="272"/>
    </row>
    <row r="136" spans="13:19" x14ac:dyDescent="0.2">
      <c r="M136" s="272"/>
      <c r="N136" s="272"/>
      <c r="P136" s="272"/>
      <c r="Q136" s="272"/>
      <c r="R136" s="272"/>
      <c r="S136" s="272"/>
    </row>
    <row r="137" spans="13:19" x14ac:dyDescent="0.2">
      <c r="M137" s="272"/>
      <c r="N137" s="272"/>
      <c r="P137" s="272"/>
      <c r="Q137" s="272"/>
      <c r="R137" s="272"/>
      <c r="S137" s="272"/>
    </row>
    <row r="138" spans="13:19" x14ac:dyDescent="0.2">
      <c r="M138" s="272"/>
      <c r="N138" s="272"/>
      <c r="P138" s="272"/>
      <c r="Q138" s="272"/>
      <c r="R138" s="272"/>
      <c r="S138" s="272"/>
    </row>
    <row r="139" spans="13:19" x14ac:dyDescent="0.2">
      <c r="M139" s="272"/>
      <c r="N139" s="272"/>
      <c r="P139" s="272"/>
      <c r="Q139" s="272"/>
      <c r="R139" s="272"/>
      <c r="S139" s="272"/>
    </row>
    <row r="140" spans="13:19" x14ac:dyDescent="0.2">
      <c r="M140" s="272"/>
      <c r="N140" s="272"/>
      <c r="P140" s="272"/>
      <c r="Q140" s="272"/>
      <c r="R140" s="272"/>
      <c r="S140" s="272"/>
    </row>
    <row r="141" spans="13:19" x14ac:dyDescent="0.2">
      <c r="M141" s="272"/>
      <c r="N141" s="272"/>
      <c r="P141" s="272"/>
      <c r="Q141" s="272"/>
      <c r="R141" s="272"/>
      <c r="S141" s="272"/>
    </row>
    <row r="142" spans="13:19" x14ac:dyDescent="0.2">
      <c r="M142" s="272"/>
      <c r="N142" s="272"/>
      <c r="P142" s="272"/>
      <c r="Q142" s="272"/>
      <c r="R142" s="272"/>
      <c r="S142" s="272"/>
    </row>
    <row r="143" spans="13:19" x14ac:dyDescent="0.2">
      <c r="M143" s="272"/>
      <c r="N143" s="272"/>
      <c r="P143" s="272"/>
      <c r="Q143" s="272"/>
      <c r="R143" s="272"/>
      <c r="S143" s="272"/>
    </row>
    <row r="144" spans="13:19" x14ac:dyDescent="0.2">
      <c r="M144" s="272"/>
      <c r="N144" s="272"/>
      <c r="P144" s="272"/>
      <c r="Q144" s="272"/>
      <c r="R144" s="272"/>
      <c r="S144" s="272"/>
    </row>
    <row r="145" spans="13:19" x14ac:dyDescent="0.2">
      <c r="M145" s="272"/>
      <c r="N145" s="272"/>
      <c r="P145" s="272"/>
      <c r="Q145" s="272"/>
      <c r="R145" s="272"/>
      <c r="S145" s="272"/>
    </row>
    <row r="146" spans="13:19" x14ac:dyDescent="0.2">
      <c r="M146" s="272"/>
      <c r="N146" s="272"/>
      <c r="P146" s="272"/>
      <c r="Q146" s="272"/>
      <c r="R146" s="272"/>
      <c r="S146" s="272"/>
    </row>
    <row r="147" spans="13:19" x14ac:dyDescent="0.2">
      <c r="M147" s="272"/>
      <c r="N147" s="272"/>
      <c r="P147" s="272"/>
      <c r="Q147" s="272"/>
      <c r="R147" s="272"/>
      <c r="S147" s="272"/>
    </row>
    <row r="148" spans="13:19" x14ac:dyDescent="0.2">
      <c r="M148" s="272"/>
      <c r="N148" s="272"/>
      <c r="P148" s="272"/>
      <c r="Q148" s="272"/>
      <c r="R148" s="272"/>
      <c r="S148" s="272"/>
    </row>
    <row r="149" spans="13:19" x14ac:dyDescent="0.2">
      <c r="M149" s="272"/>
      <c r="N149" s="272"/>
      <c r="P149" s="272"/>
      <c r="Q149" s="272"/>
      <c r="R149" s="272"/>
      <c r="S149" s="272"/>
    </row>
    <row r="150" spans="13:19" x14ac:dyDescent="0.2">
      <c r="M150" s="272"/>
      <c r="N150" s="272"/>
      <c r="P150" s="272"/>
      <c r="Q150" s="272"/>
      <c r="R150" s="272"/>
      <c r="S150" s="272"/>
    </row>
    <row r="151" spans="13:19" x14ac:dyDescent="0.2">
      <c r="M151" s="272"/>
      <c r="N151" s="272"/>
      <c r="P151" s="272"/>
      <c r="Q151" s="272"/>
      <c r="R151" s="272"/>
      <c r="S151" s="272"/>
    </row>
    <row r="152" spans="13:19" x14ac:dyDescent="0.2">
      <c r="M152" s="272"/>
      <c r="N152" s="272"/>
      <c r="P152" s="272"/>
      <c r="Q152" s="272"/>
      <c r="R152" s="272"/>
      <c r="S152" s="272"/>
    </row>
    <row r="153" spans="13:19" x14ac:dyDescent="0.2">
      <c r="M153" s="272"/>
      <c r="N153" s="272"/>
      <c r="P153" s="272"/>
      <c r="Q153" s="272"/>
      <c r="R153" s="272"/>
      <c r="S153" s="272"/>
    </row>
    <row r="154" spans="13:19" x14ac:dyDescent="0.2">
      <c r="M154" s="272"/>
      <c r="N154" s="272"/>
      <c r="P154" s="272"/>
      <c r="Q154" s="272"/>
      <c r="R154" s="272"/>
      <c r="S154" s="272"/>
    </row>
    <row r="155" spans="13:19" x14ac:dyDescent="0.2">
      <c r="M155" s="272"/>
      <c r="N155" s="272"/>
      <c r="P155" s="272"/>
      <c r="Q155" s="272"/>
      <c r="R155" s="272"/>
      <c r="S155" s="272"/>
    </row>
    <row r="156" spans="13:19" x14ac:dyDescent="0.2">
      <c r="M156" s="272"/>
      <c r="N156" s="272"/>
      <c r="P156" s="272"/>
      <c r="Q156" s="272"/>
      <c r="R156" s="272"/>
      <c r="S156" s="272"/>
    </row>
    <row r="157" spans="13:19" x14ac:dyDescent="0.2">
      <c r="M157" s="272"/>
      <c r="N157" s="272"/>
      <c r="P157" s="272"/>
      <c r="Q157" s="272"/>
      <c r="R157" s="272"/>
      <c r="S157" s="272"/>
    </row>
    <row r="158" spans="13:19" x14ac:dyDescent="0.2">
      <c r="M158" s="272"/>
      <c r="N158" s="272"/>
      <c r="P158" s="272"/>
      <c r="Q158" s="272"/>
      <c r="R158" s="272"/>
      <c r="S158" s="272"/>
    </row>
    <row r="159" spans="13:19" x14ac:dyDescent="0.2">
      <c r="M159" s="272"/>
      <c r="N159" s="272"/>
      <c r="P159" s="272"/>
      <c r="Q159" s="272"/>
      <c r="R159" s="272"/>
      <c r="S159" s="272"/>
    </row>
    <row r="160" spans="13:19" x14ac:dyDescent="0.2">
      <c r="M160" s="272"/>
      <c r="N160" s="272"/>
      <c r="P160" s="272"/>
      <c r="Q160" s="272"/>
      <c r="R160" s="272"/>
      <c r="S160" s="272"/>
    </row>
    <row r="161" spans="13:19" x14ac:dyDescent="0.2">
      <c r="M161" s="272"/>
      <c r="N161" s="272"/>
      <c r="P161" s="272"/>
      <c r="Q161" s="272"/>
      <c r="R161" s="272"/>
      <c r="S161" s="272"/>
    </row>
    <row r="162" spans="13:19" x14ac:dyDescent="0.2">
      <c r="M162" s="272"/>
      <c r="N162" s="272"/>
      <c r="P162" s="272"/>
      <c r="Q162" s="272"/>
      <c r="R162" s="272"/>
      <c r="S162" s="272"/>
    </row>
    <row r="163" spans="13:19" x14ac:dyDescent="0.2">
      <c r="M163" s="272"/>
      <c r="N163" s="272"/>
      <c r="P163" s="272"/>
      <c r="Q163" s="272"/>
      <c r="R163" s="272"/>
      <c r="S163" s="272"/>
    </row>
    <row r="164" spans="13:19" x14ac:dyDescent="0.2">
      <c r="M164" s="272"/>
      <c r="N164" s="272"/>
      <c r="P164" s="272"/>
      <c r="Q164" s="272"/>
      <c r="R164" s="272"/>
      <c r="S164" s="272"/>
    </row>
    <row r="165" spans="13:19" x14ac:dyDescent="0.2">
      <c r="M165" s="272"/>
      <c r="N165" s="272"/>
      <c r="P165" s="272"/>
      <c r="Q165" s="272"/>
      <c r="R165" s="272"/>
      <c r="S165" s="272"/>
    </row>
    <row r="166" spans="13:19" x14ac:dyDescent="0.2">
      <c r="M166" s="272"/>
      <c r="N166" s="272"/>
      <c r="P166" s="272"/>
      <c r="Q166" s="272"/>
      <c r="R166" s="272"/>
      <c r="S166" s="272"/>
    </row>
    <row r="167" spans="13:19" x14ac:dyDescent="0.2">
      <c r="M167" s="272"/>
      <c r="N167" s="272"/>
      <c r="P167" s="272"/>
      <c r="Q167" s="272"/>
      <c r="R167" s="272"/>
      <c r="S167" s="272"/>
    </row>
    <row r="168" spans="13:19" x14ac:dyDescent="0.2">
      <c r="M168" s="272"/>
      <c r="N168" s="272"/>
      <c r="P168" s="272"/>
      <c r="Q168" s="272"/>
      <c r="R168" s="272"/>
      <c r="S168" s="272"/>
    </row>
    <row r="169" spans="13:19" x14ac:dyDescent="0.2">
      <c r="M169" s="272"/>
      <c r="N169" s="272"/>
      <c r="P169" s="272"/>
      <c r="Q169" s="272"/>
      <c r="R169" s="272"/>
      <c r="S169" s="272"/>
    </row>
    <row r="170" spans="13:19" x14ac:dyDescent="0.2">
      <c r="M170" s="272"/>
      <c r="N170" s="272"/>
      <c r="P170" s="272"/>
      <c r="Q170" s="272"/>
      <c r="R170" s="272"/>
      <c r="S170" s="272"/>
    </row>
    <row r="171" spans="13:19" x14ac:dyDescent="0.2">
      <c r="M171" s="272"/>
      <c r="N171" s="272"/>
      <c r="P171" s="272"/>
      <c r="Q171" s="272"/>
      <c r="R171" s="272"/>
      <c r="S171" s="272"/>
    </row>
    <row r="172" spans="13:19" x14ac:dyDescent="0.2">
      <c r="M172" s="272"/>
      <c r="N172" s="272"/>
      <c r="P172" s="272"/>
      <c r="Q172" s="272"/>
      <c r="R172" s="272"/>
      <c r="S172" s="272"/>
    </row>
    <row r="173" spans="13:19" x14ac:dyDescent="0.2">
      <c r="M173" s="272"/>
      <c r="N173" s="272"/>
      <c r="P173" s="272"/>
      <c r="Q173" s="272"/>
      <c r="R173" s="272"/>
      <c r="S173" s="272"/>
    </row>
    <row r="174" spans="13:19" x14ac:dyDescent="0.2">
      <c r="M174" s="272"/>
      <c r="N174" s="272"/>
      <c r="P174" s="272"/>
      <c r="Q174" s="272"/>
      <c r="R174" s="272"/>
      <c r="S174" s="272"/>
    </row>
    <row r="175" spans="13:19" x14ac:dyDescent="0.2">
      <c r="M175" s="272"/>
      <c r="N175" s="272"/>
      <c r="P175" s="272"/>
      <c r="Q175" s="272"/>
      <c r="R175" s="272"/>
      <c r="S175" s="272"/>
    </row>
    <row r="176" spans="13:19" x14ac:dyDescent="0.2">
      <c r="M176" s="272"/>
      <c r="N176" s="272"/>
      <c r="P176" s="272"/>
      <c r="Q176" s="272"/>
      <c r="R176" s="272"/>
      <c r="S176" s="272"/>
    </row>
    <row r="177" spans="13:19" x14ac:dyDescent="0.2">
      <c r="M177" s="272"/>
      <c r="N177" s="272"/>
      <c r="P177" s="272"/>
      <c r="Q177" s="272"/>
      <c r="R177" s="272"/>
      <c r="S177" s="272"/>
    </row>
    <row r="178" spans="13:19" x14ac:dyDescent="0.2">
      <c r="M178" s="272"/>
      <c r="N178" s="272"/>
      <c r="P178" s="272"/>
      <c r="Q178" s="272"/>
      <c r="R178" s="272"/>
      <c r="S178" s="272"/>
    </row>
    <row r="179" spans="13:19" x14ac:dyDescent="0.2">
      <c r="M179" s="272"/>
      <c r="N179" s="272"/>
      <c r="P179" s="272"/>
      <c r="Q179" s="272"/>
      <c r="R179" s="272"/>
      <c r="S179" s="272"/>
    </row>
    <row r="180" spans="13:19" x14ac:dyDescent="0.2">
      <c r="M180" s="272"/>
      <c r="N180" s="272"/>
      <c r="P180" s="272"/>
      <c r="Q180" s="272"/>
      <c r="R180" s="272"/>
      <c r="S180" s="272"/>
    </row>
    <row r="181" spans="13:19" x14ac:dyDescent="0.2">
      <c r="M181" s="272"/>
      <c r="N181" s="272"/>
      <c r="P181" s="272"/>
      <c r="Q181" s="272"/>
      <c r="R181" s="272"/>
      <c r="S181" s="272"/>
    </row>
    <row r="182" spans="13:19" x14ac:dyDescent="0.2">
      <c r="M182" s="272"/>
      <c r="N182" s="272"/>
      <c r="P182" s="272"/>
      <c r="Q182" s="272"/>
      <c r="R182" s="272"/>
      <c r="S182" s="272"/>
    </row>
    <row r="183" spans="13:19" x14ac:dyDescent="0.2">
      <c r="M183" s="272"/>
      <c r="N183" s="272"/>
      <c r="P183" s="272"/>
      <c r="Q183" s="272"/>
      <c r="R183" s="272"/>
      <c r="S183" s="272"/>
    </row>
    <row r="184" spans="13:19" x14ac:dyDescent="0.2">
      <c r="M184" s="272"/>
      <c r="N184" s="272"/>
      <c r="P184" s="272"/>
      <c r="Q184" s="272"/>
      <c r="R184" s="272"/>
      <c r="S184" s="272"/>
    </row>
    <row r="185" spans="13:19" x14ac:dyDescent="0.2">
      <c r="M185" s="272"/>
      <c r="N185" s="272"/>
      <c r="P185" s="272"/>
      <c r="Q185" s="272"/>
      <c r="R185" s="272"/>
      <c r="S185" s="272"/>
    </row>
    <row r="186" spans="13:19" x14ac:dyDescent="0.2">
      <c r="M186" s="272"/>
      <c r="N186" s="272"/>
      <c r="P186" s="272"/>
      <c r="Q186" s="272"/>
      <c r="R186" s="272"/>
      <c r="S186" s="272"/>
    </row>
    <row r="187" spans="13:19" x14ac:dyDescent="0.2">
      <c r="M187" s="272"/>
      <c r="N187" s="272"/>
      <c r="P187" s="272"/>
      <c r="Q187" s="272"/>
      <c r="R187" s="272"/>
      <c r="S187" s="272"/>
    </row>
    <row r="188" spans="13:19" x14ac:dyDescent="0.2">
      <c r="M188" s="272"/>
      <c r="N188" s="272"/>
      <c r="P188" s="272"/>
      <c r="Q188" s="272"/>
      <c r="R188" s="272"/>
      <c r="S188" s="272"/>
    </row>
    <row r="189" spans="13:19" x14ac:dyDescent="0.2">
      <c r="M189" s="272"/>
      <c r="N189" s="272"/>
      <c r="P189" s="272"/>
      <c r="Q189" s="272"/>
      <c r="R189" s="272"/>
      <c r="S189" s="272"/>
    </row>
  </sheetData>
  <mergeCells count="110">
    <mergeCell ref="C48:D48"/>
    <mergeCell ref="C49:D49"/>
    <mergeCell ref="C60:D60"/>
    <mergeCell ref="C61:D61"/>
    <mergeCell ref="C62:D62"/>
    <mergeCell ref="C63:D63"/>
    <mergeCell ref="C64:D64"/>
    <mergeCell ref="C55:D55"/>
    <mergeCell ref="C56:D56"/>
    <mergeCell ref="C57:D57"/>
    <mergeCell ref="C58:D58"/>
    <mergeCell ref="C59:D59"/>
    <mergeCell ref="A1:J1"/>
    <mergeCell ref="A3:J3"/>
    <mergeCell ref="A5:J5"/>
    <mergeCell ref="A7:B7"/>
    <mergeCell ref="A11:B11"/>
    <mergeCell ref="C22:D22"/>
    <mergeCell ref="G17:H17"/>
    <mergeCell ref="I17:J17"/>
    <mergeCell ref="B15:D15"/>
    <mergeCell ref="A12:E12"/>
    <mergeCell ref="B16:C16"/>
    <mergeCell ref="B13:C13"/>
    <mergeCell ref="G18:H18"/>
    <mergeCell ref="C20:D20"/>
    <mergeCell ref="C21:D21"/>
    <mergeCell ref="B14:E14"/>
    <mergeCell ref="B17:E17"/>
    <mergeCell ref="F9:J12"/>
    <mergeCell ref="I14:J15"/>
    <mergeCell ref="C23:D23"/>
    <mergeCell ref="C24:D24"/>
    <mergeCell ref="C25:D25"/>
    <mergeCell ref="C31:D31"/>
    <mergeCell ref="C32:D32"/>
    <mergeCell ref="C26:D26"/>
    <mergeCell ref="C27:D27"/>
    <mergeCell ref="C28:D28"/>
    <mergeCell ref="C29:D29"/>
    <mergeCell ref="C30:D30"/>
    <mergeCell ref="C33:D33"/>
    <mergeCell ref="C65:D65"/>
    <mergeCell ref="C66:D66"/>
    <mergeCell ref="C67:D67"/>
    <mergeCell ref="C68:D68"/>
    <mergeCell ref="C34:D34"/>
    <mergeCell ref="C35:D35"/>
    <mergeCell ref="C36:D36"/>
    <mergeCell ref="C37:D37"/>
    <mergeCell ref="C38:D38"/>
    <mergeCell ref="C39:D39"/>
    <mergeCell ref="C40:D40"/>
    <mergeCell ref="C41:D41"/>
    <mergeCell ref="C42:D42"/>
    <mergeCell ref="C43:D43"/>
    <mergeCell ref="C44:D44"/>
    <mergeCell ref="C50:D50"/>
    <mergeCell ref="C51:D51"/>
    <mergeCell ref="C52:D52"/>
    <mergeCell ref="C53:D53"/>
    <mergeCell ref="C54:D54"/>
    <mergeCell ref="C45:D45"/>
    <mergeCell ref="C46:D46"/>
    <mergeCell ref="C47:D47"/>
    <mergeCell ref="C69:D69"/>
    <mergeCell ref="C70:D70"/>
    <mergeCell ref="C71:D71"/>
    <mergeCell ref="C72:D72"/>
    <mergeCell ref="C73:D73"/>
    <mergeCell ref="C74:D74"/>
    <mergeCell ref="C75:D75"/>
    <mergeCell ref="C76:D76"/>
    <mergeCell ref="C77:D77"/>
    <mergeCell ref="C78:D78"/>
    <mergeCell ref="C79:D79"/>
    <mergeCell ref="F97:J97"/>
    <mergeCell ref="A99:E99"/>
    <mergeCell ref="H99:J99"/>
    <mergeCell ref="A105:B105"/>
    <mergeCell ref="C80:D80"/>
    <mergeCell ref="C81:D81"/>
    <mergeCell ref="C82:D82"/>
    <mergeCell ref="C83:D83"/>
    <mergeCell ref="C84:D84"/>
    <mergeCell ref="C90:D90"/>
    <mergeCell ref="A101:E102"/>
    <mergeCell ref="F101:G101"/>
    <mergeCell ref="H101:J103"/>
    <mergeCell ref="C91:D91"/>
    <mergeCell ref="C92:D92"/>
    <mergeCell ref="C93:D93"/>
    <mergeCell ref="C94:D94"/>
    <mergeCell ref="A97:E97"/>
    <mergeCell ref="A103:B103"/>
    <mergeCell ref="C85:D85"/>
    <mergeCell ref="C86:D86"/>
    <mergeCell ref="C87:D87"/>
    <mergeCell ref="C88:D88"/>
    <mergeCell ref="C89:D89"/>
    <mergeCell ref="C108:D108"/>
    <mergeCell ref="H108:I108"/>
    <mergeCell ref="F104:G104"/>
    <mergeCell ref="C105:D105"/>
    <mergeCell ref="C106:D106"/>
    <mergeCell ref="H106:J106"/>
    <mergeCell ref="C103:E104"/>
    <mergeCell ref="H104:J105"/>
    <mergeCell ref="A107:E107"/>
    <mergeCell ref="F106:G106"/>
  </mergeCells>
  <pageMargins left="0.87" right="0.31" top="0.61" bottom="0.3" header="0.3" footer="0.3"/>
  <pageSetup scale="9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testodenis2">
                <anchor moveWithCells="1" sizeWithCells="1">
                  <from>
                    <xdr:col>10</xdr:col>
                    <xdr:colOff>57150</xdr:colOff>
                    <xdr:row>0</xdr:row>
                    <xdr:rowOff>38100</xdr:rowOff>
                  </from>
                  <to>
                    <xdr:col>11</xdr:col>
                    <xdr:colOff>1314450</xdr:colOff>
                    <xdr:row>5</xdr:row>
                    <xdr:rowOff>76200</xdr:rowOff>
                  </to>
                </anchor>
              </controlPr>
            </control>
          </mc:Choice>
        </mc:AlternateContent>
        <mc:AlternateContent xmlns:mc="http://schemas.openxmlformats.org/markup-compatibility/2006">
          <mc:Choice Requires="x14">
            <control shapeId="135170" r:id="rId5" name="Button 2">
              <controlPr defaultSize="0" print="0" autoFill="0" autoPict="0" macro="[0]!TDelete">
                <anchor moveWithCells="1" sizeWithCells="1">
                  <from>
                    <xdr:col>11</xdr:col>
                    <xdr:colOff>1333500</xdr:colOff>
                    <xdr:row>0</xdr:row>
                    <xdr:rowOff>38100</xdr:rowOff>
                  </from>
                  <to>
                    <xdr:col>12</xdr:col>
                    <xdr:colOff>838200</xdr:colOff>
                    <xdr:row>5</xdr:row>
                    <xdr:rowOff>76200</xdr:rowOff>
                  </to>
                </anchor>
              </controlPr>
            </control>
          </mc:Choice>
        </mc:AlternateContent>
        <mc:AlternateContent xmlns:mc="http://schemas.openxmlformats.org/markup-compatibility/2006">
          <mc:Choice Requires="x14">
            <control shapeId="135171" r:id="rId6" name="Button 3">
              <controlPr defaultSize="0" print="0" autoFill="0" autoPict="0" macro="[0]!SaveAsDir">
                <anchor moveWithCells="1" sizeWithCells="1">
                  <from>
                    <xdr:col>10</xdr:col>
                    <xdr:colOff>57150</xdr:colOff>
                    <xdr:row>6</xdr:row>
                    <xdr:rowOff>19050</xdr:rowOff>
                  </from>
                  <to>
                    <xdr:col>12</xdr:col>
                    <xdr:colOff>828675</xdr:colOff>
                    <xdr:row>8</xdr:row>
                    <xdr:rowOff>95250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R">
    <tabColor theme="9" tint="-0.249977111117893"/>
  </sheetPr>
  <dimension ref="A1:L32"/>
  <sheetViews>
    <sheetView showGridLines="0" showRowColHeaders="0" view="pageBreakPreview" zoomScaleNormal="130" zoomScaleSheetLayoutView="100" workbookViewId="0">
      <selection activeCell="F1" sqref="F1:K1"/>
    </sheetView>
  </sheetViews>
  <sheetFormatPr defaultColWidth="7" defaultRowHeight="15.75" x14ac:dyDescent="0.2"/>
  <cols>
    <col min="1" max="1" width="9.7109375" style="10" customWidth="1"/>
    <col min="2" max="2" width="9.140625" style="10" customWidth="1"/>
    <col min="3" max="4" width="7" style="10"/>
    <col min="5" max="5" width="13.5703125" style="10" customWidth="1"/>
    <col min="6" max="6" width="5.5703125" style="10" customWidth="1"/>
    <col min="7" max="7" width="13.42578125" style="10" customWidth="1"/>
    <col min="8" max="8" width="10.85546875" style="10" customWidth="1"/>
    <col min="9" max="16384" width="7" style="10"/>
  </cols>
  <sheetData>
    <row r="1" spans="1:12" x14ac:dyDescent="0.2">
      <c r="F1" s="859" t="s">
        <v>864</v>
      </c>
      <c r="G1" s="859"/>
      <c r="H1" s="859"/>
      <c r="I1" s="859"/>
      <c r="J1" s="859"/>
      <c r="K1" s="859"/>
    </row>
    <row r="2" spans="1:12" ht="16.5" thickBot="1" x14ac:dyDescent="0.25">
      <c r="F2" s="235" t="s">
        <v>509</v>
      </c>
      <c r="G2" s="235"/>
      <c r="H2" s="236"/>
      <c r="I2" s="236"/>
      <c r="J2" s="236"/>
      <c r="K2" s="236"/>
    </row>
    <row r="3" spans="1:12" ht="16.5" thickBot="1" x14ac:dyDescent="0.25">
      <c r="F3" s="236"/>
      <c r="G3" s="236"/>
      <c r="H3" s="236"/>
      <c r="I3" s="236"/>
      <c r="J3" s="236"/>
      <c r="K3" s="236"/>
    </row>
    <row r="4" spans="1:12" x14ac:dyDescent="0.2">
      <c r="F4" s="863" t="s">
        <v>298</v>
      </c>
      <c r="G4" s="863"/>
      <c r="H4" s="863"/>
      <c r="I4" s="863"/>
      <c r="J4" s="863"/>
      <c r="K4" s="863"/>
    </row>
    <row r="6" spans="1:12" ht="16.5" thickBot="1" x14ac:dyDescent="0.25">
      <c r="F6" s="860"/>
      <c r="G6" s="860"/>
      <c r="H6" s="860"/>
      <c r="I6" s="860"/>
      <c r="J6" s="860"/>
      <c r="K6" s="860"/>
    </row>
    <row r="7" spans="1:12" ht="24.75" customHeight="1" thickBot="1" x14ac:dyDescent="0.3">
      <c r="F7" s="868"/>
      <c r="G7" s="868"/>
      <c r="H7" s="868"/>
      <c r="I7" s="151" t="s">
        <v>307</v>
      </c>
      <c r="J7" s="13"/>
      <c r="K7" s="13"/>
    </row>
    <row r="8" spans="1:12" x14ac:dyDescent="0.2">
      <c r="F8" s="869"/>
      <c r="G8" s="869"/>
      <c r="H8" s="869"/>
      <c r="I8" s="869"/>
      <c r="J8" s="869"/>
      <c r="K8" s="869"/>
      <c r="L8" s="11"/>
    </row>
    <row r="9" spans="1:12" ht="16.5" thickBot="1" x14ac:dyDescent="0.25">
      <c r="F9" s="860"/>
      <c r="G9" s="860"/>
      <c r="H9" s="860"/>
      <c r="I9" s="860"/>
      <c r="J9" s="860"/>
      <c r="K9" s="860"/>
    </row>
    <row r="10" spans="1:12" ht="24" customHeight="1" thickBot="1" x14ac:dyDescent="0.3">
      <c r="F10" s="862"/>
      <c r="G10" s="862"/>
      <c r="H10" s="862"/>
      <c r="I10" s="862"/>
      <c r="J10" s="861" t="s">
        <v>306</v>
      </c>
      <c r="K10" s="861"/>
    </row>
    <row r="11" spans="1:12" x14ac:dyDescent="0.2">
      <c r="F11" s="863" t="s">
        <v>298</v>
      </c>
      <c r="G11" s="863"/>
      <c r="H11" s="863"/>
      <c r="I11" s="863"/>
    </row>
    <row r="14" spans="1:12" x14ac:dyDescent="0.2">
      <c r="A14" s="864" t="s">
        <v>305</v>
      </c>
      <c r="B14" s="864"/>
      <c r="C14" s="864"/>
      <c r="D14" s="864"/>
      <c r="E14" s="864"/>
      <c r="F14" s="864"/>
      <c r="G14" s="864"/>
      <c r="H14" s="864"/>
      <c r="I14" s="864"/>
      <c r="J14" s="864"/>
      <c r="K14" s="864"/>
    </row>
    <row r="16" spans="1:12" x14ac:dyDescent="0.2">
      <c r="B16" s="10" t="s">
        <v>304</v>
      </c>
      <c r="C16" s="866"/>
      <c r="D16" s="866"/>
      <c r="E16" s="10" t="s">
        <v>303</v>
      </c>
    </row>
    <row r="17" spans="1:10" ht="8.1" customHeight="1" x14ac:dyDescent="0.2"/>
    <row r="18" spans="1:10" x14ac:dyDescent="0.2">
      <c r="A18" s="859" t="s">
        <v>302</v>
      </c>
      <c r="B18" s="859"/>
      <c r="C18" s="859"/>
      <c r="D18" s="859"/>
      <c r="E18" s="859"/>
      <c r="F18" s="859"/>
      <c r="G18" s="867"/>
      <c r="H18" s="867"/>
      <c r="I18" s="867"/>
      <c r="J18" s="10" t="s">
        <v>301</v>
      </c>
    </row>
    <row r="19" spans="1:10" ht="8.1" customHeight="1" x14ac:dyDescent="0.2"/>
    <row r="20" spans="1:10" x14ac:dyDescent="0.2">
      <c r="A20" s="859" t="s">
        <v>300</v>
      </c>
      <c r="B20" s="859"/>
      <c r="C20" s="859"/>
      <c r="D20" s="859"/>
      <c r="E20" s="859"/>
    </row>
    <row r="22" spans="1:10" x14ac:dyDescent="0.2">
      <c r="A22" s="10" t="s">
        <v>430</v>
      </c>
    </row>
    <row r="23" spans="1:10" x14ac:dyDescent="0.2">
      <c r="A23" s="11"/>
      <c r="B23" s="11"/>
      <c r="C23" s="11"/>
      <c r="D23" s="11"/>
      <c r="E23" s="11"/>
      <c r="F23" s="11"/>
    </row>
    <row r="25" spans="1:10" x14ac:dyDescent="0.2">
      <c r="I25" s="11"/>
    </row>
    <row r="27" spans="1:10" ht="16.5" thickBot="1" x14ac:dyDescent="0.25">
      <c r="A27" s="10" t="s">
        <v>299</v>
      </c>
      <c r="B27" s="860"/>
      <c r="C27" s="860"/>
      <c r="D27" s="860"/>
      <c r="E27" s="860"/>
    </row>
    <row r="28" spans="1:10" x14ac:dyDescent="0.2">
      <c r="B28" s="865" t="s">
        <v>298</v>
      </c>
      <c r="C28" s="865"/>
      <c r="D28" s="865"/>
      <c r="E28" s="865"/>
    </row>
    <row r="30" spans="1:10" x14ac:dyDescent="0.2">
      <c r="A30" s="10" t="s">
        <v>97</v>
      </c>
      <c r="B30" s="12"/>
      <c r="C30" s="12"/>
      <c r="D30" s="12"/>
      <c r="E30" s="11"/>
    </row>
    <row r="32" spans="1:10" ht="29.25" customHeight="1" x14ac:dyDescent="0.2">
      <c r="A32" s="858" t="s">
        <v>297</v>
      </c>
      <c r="B32" s="858"/>
      <c r="C32" s="858"/>
      <c r="D32" s="858"/>
      <c r="E32" s="858"/>
      <c r="F32" s="858"/>
    </row>
  </sheetData>
  <mergeCells count="17">
    <mergeCell ref="F7:H7"/>
    <mergeCell ref="F8:K8"/>
    <mergeCell ref="F9:K9"/>
    <mergeCell ref="F1:K1"/>
    <mergeCell ref="F6:K6"/>
    <mergeCell ref="F4:K4"/>
    <mergeCell ref="A32:F32"/>
    <mergeCell ref="A18:F18"/>
    <mergeCell ref="A20:E20"/>
    <mergeCell ref="B27:E27"/>
    <mergeCell ref="J10:K10"/>
    <mergeCell ref="F10:I10"/>
    <mergeCell ref="F11:I11"/>
    <mergeCell ref="A14:K14"/>
    <mergeCell ref="B28:E28"/>
    <mergeCell ref="C16:D16"/>
    <mergeCell ref="G18:I18"/>
  </mergeCells>
  <pageMargins left="0.89" right="0.25" top="0.64" bottom="0.75" header="0.65" footer="0.3"/>
  <pageSetup scale="98"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249977111117893"/>
  </sheetPr>
  <dimension ref="A1:B26"/>
  <sheetViews>
    <sheetView showGridLines="0" showRowColHeaders="0" view="pageBreakPreview" zoomScaleNormal="100" zoomScaleSheetLayoutView="100" workbookViewId="0">
      <selection activeCell="A6" sqref="A6:B6"/>
    </sheetView>
  </sheetViews>
  <sheetFormatPr defaultRowHeight="12.75" x14ac:dyDescent="0.2"/>
  <cols>
    <col min="1" max="1" width="39.28515625" style="216" customWidth="1"/>
    <col min="2" max="2" width="51.42578125" style="216" customWidth="1"/>
    <col min="3" max="16384" width="9.140625" style="216"/>
  </cols>
  <sheetData>
    <row r="1" spans="1:2" ht="30.75" customHeight="1" x14ac:dyDescent="0.2">
      <c r="B1" s="217" t="s">
        <v>873</v>
      </c>
    </row>
    <row r="2" spans="1:2" ht="4.5" customHeight="1" x14ac:dyDescent="0.2"/>
    <row r="3" spans="1:2" x14ac:dyDescent="0.2">
      <c r="B3" s="218" t="s">
        <v>489</v>
      </c>
    </row>
    <row r="5" spans="1:2" x14ac:dyDescent="0.2">
      <c r="A5" s="874" t="s">
        <v>479</v>
      </c>
      <c r="B5" s="874"/>
    </row>
    <row r="6" spans="1:2" x14ac:dyDescent="0.2">
      <c r="A6" s="874" t="s">
        <v>480</v>
      </c>
      <c r="B6" s="874"/>
    </row>
    <row r="8" spans="1:2" x14ac:dyDescent="0.2">
      <c r="B8" s="219" t="s">
        <v>481</v>
      </c>
    </row>
    <row r="10" spans="1:2" x14ac:dyDescent="0.2">
      <c r="A10" s="218" t="s">
        <v>482</v>
      </c>
    </row>
    <row r="12" spans="1:2" x14ac:dyDescent="0.2">
      <c r="A12" s="875" t="s">
        <v>483</v>
      </c>
      <c r="B12" s="875"/>
    </row>
    <row r="13" spans="1:2" x14ac:dyDescent="0.2">
      <c r="A13" s="220"/>
      <c r="B13" s="220"/>
    </row>
    <row r="14" spans="1:2" x14ac:dyDescent="0.2">
      <c r="A14" s="875" t="s">
        <v>490</v>
      </c>
      <c r="B14" s="875"/>
    </row>
    <row r="15" spans="1:2" x14ac:dyDescent="0.2">
      <c r="A15" s="220"/>
      <c r="B15" s="220"/>
    </row>
    <row r="16" spans="1:2" x14ac:dyDescent="0.2">
      <c r="A16" s="875" t="s">
        <v>484</v>
      </c>
      <c r="B16" s="875"/>
    </row>
    <row r="17" spans="1:2" x14ac:dyDescent="0.2">
      <c r="A17" s="872"/>
      <c r="B17" s="872"/>
    </row>
    <row r="18" spans="1:2" x14ac:dyDescent="0.2">
      <c r="A18" s="870" t="s">
        <v>491</v>
      </c>
      <c r="B18" s="870"/>
    </row>
    <row r="19" spans="1:2" x14ac:dyDescent="0.2">
      <c r="A19" s="221"/>
      <c r="B19" s="221"/>
    </row>
    <row r="20" spans="1:2" ht="30" customHeight="1" x14ac:dyDescent="0.2">
      <c r="A20" s="871" t="s">
        <v>485</v>
      </c>
      <c r="B20" s="871"/>
    </row>
    <row r="21" spans="1:2" x14ac:dyDescent="0.2">
      <c r="A21" s="872"/>
      <c r="B21" s="872"/>
    </row>
    <row r="22" spans="1:2" x14ac:dyDescent="0.2">
      <c r="A22" s="218" t="s">
        <v>486</v>
      </c>
    </row>
    <row r="24" spans="1:2" x14ac:dyDescent="0.2">
      <c r="A24" s="216" t="s">
        <v>487</v>
      </c>
    </row>
    <row r="26" spans="1:2" x14ac:dyDescent="0.2">
      <c r="A26" s="873" t="s">
        <v>488</v>
      </c>
      <c r="B26" s="873"/>
    </row>
  </sheetData>
  <mergeCells count="10">
    <mergeCell ref="A18:B18"/>
    <mergeCell ref="A20:B20"/>
    <mergeCell ref="A21:B21"/>
    <mergeCell ref="A26:B26"/>
    <mergeCell ref="A5:B5"/>
    <mergeCell ref="A6:B6"/>
    <mergeCell ref="A12:B12"/>
    <mergeCell ref="A14:B14"/>
    <mergeCell ref="A16:B16"/>
    <mergeCell ref="A17:B17"/>
  </mergeCells>
  <pageMargins left="0.9" right="0.38"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D83"/>
  <sheetViews>
    <sheetView showGridLines="0" showRowColHeaders="0" view="pageBreakPreview" topLeftCell="A19" zoomScaleNormal="100" zoomScaleSheetLayoutView="100" workbookViewId="0">
      <selection activeCell="A5" sqref="A5"/>
    </sheetView>
  </sheetViews>
  <sheetFormatPr defaultRowHeight="12" x14ac:dyDescent="0.2"/>
  <cols>
    <col min="1" max="1" width="21.5703125" style="238" customWidth="1"/>
    <col min="2" max="2" width="30.5703125" style="238" customWidth="1"/>
    <col min="3" max="3" width="24.42578125" style="238" customWidth="1"/>
    <col min="4" max="4" width="20" style="238" customWidth="1"/>
    <col min="5" max="16384" width="9.140625" style="238"/>
  </cols>
  <sheetData>
    <row r="1" spans="1:4" ht="18" customHeight="1" x14ac:dyDescent="0.2">
      <c r="A1" s="949" t="s">
        <v>34</v>
      </c>
      <c r="B1" s="949"/>
      <c r="C1" s="949"/>
      <c r="D1" s="949"/>
    </row>
    <row r="2" spans="1:4" ht="18" customHeight="1" x14ac:dyDescent="0.2">
      <c r="A2" s="949" t="s">
        <v>589</v>
      </c>
      <c r="B2" s="949"/>
      <c r="C2" s="949"/>
      <c r="D2" s="949"/>
    </row>
    <row r="3" spans="1:4" ht="18" customHeight="1" x14ac:dyDescent="0.2">
      <c r="A3" s="949" t="s">
        <v>296</v>
      </c>
      <c r="B3" s="949"/>
      <c r="C3" s="949"/>
      <c r="D3" s="949"/>
    </row>
    <row r="4" spans="1:4" ht="18" customHeight="1" x14ac:dyDescent="0.2">
      <c r="A4" s="237"/>
      <c r="B4" s="237"/>
      <c r="C4" s="237"/>
      <c r="D4" s="237"/>
    </row>
    <row r="5" spans="1:4" ht="18" customHeight="1" x14ac:dyDescent="0.2">
      <c r="A5" s="239" t="s">
        <v>295</v>
      </c>
      <c r="B5" s="240"/>
      <c r="C5" s="240"/>
      <c r="D5" s="240"/>
    </row>
    <row r="6" spans="1:4" ht="15" customHeight="1" x14ac:dyDescent="0.2">
      <c r="A6" s="241" t="s">
        <v>428</v>
      </c>
      <c r="B6" s="947" t="s">
        <v>294</v>
      </c>
      <c r="C6" s="947"/>
      <c r="D6" s="947"/>
    </row>
    <row r="7" spans="1:4" ht="15" customHeight="1" x14ac:dyDescent="0.2">
      <c r="A7" s="950" t="s">
        <v>429</v>
      </c>
      <c r="B7" s="242" t="s">
        <v>249</v>
      </c>
      <c r="C7" s="242"/>
      <c r="D7" s="243" t="s">
        <v>293</v>
      </c>
    </row>
    <row r="8" spans="1:4" ht="15" customHeight="1" x14ac:dyDescent="0.2">
      <c r="A8" s="950"/>
      <c r="B8" s="242"/>
      <c r="C8" s="242"/>
      <c r="D8" s="244" t="s">
        <v>292</v>
      </c>
    </row>
    <row r="9" spans="1:4" ht="18.75" customHeight="1" x14ac:dyDescent="0.2">
      <c r="A9" s="950"/>
      <c r="B9" s="934" t="s">
        <v>248</v>
      </c>
      <c r="C9" s="934"/>
      <c r="D9" s="246" t="s">
        <v>291</v>
      </c>
    </row>
    <row r="10" spans="1:4" ht="33.75" customHeight="1" x14ac:dyDescent="0.2">
      <c r="A10" s="247" t="s">
        <v>290</v>
      </c>
      <c r="B10" s="947" t="s">
        <v>289</v>
      </c>
      <c r="C10" s="947"/>
      <c r="D10" s="947"/>
    </row>
    <row r="11" spans="1:4" ht="15" customHeight="1" x14ac:dyDescent="0.2">
      <c r="A11" s="948" t="s">
        <v>288</v>
      </c>
      <c r="B11" s="947"/>
      <c r="C11" s="908" t="s">
        <v>287</v>
      </c>
      <c r="D11" s="910"/>
    </row>
    <row r="12" spans="1:4" ht="15" customHeight="1" x14ac:dyDescent="0.2">
      <c r="A12" s="948"/>
      <c r="B12" s="947"/>
      <c r="C12" s="942" t="s">
        <v>286</v>
      </c>
      <c r="D12" s="918"/>
    </row>
    <row r="13" spans="1:4" ht="15" customHeight="1" x14ac:dyDescent="0.2">
      <c r="A13" s="948"/>
      <c r="B13" s="947"/>
      <c r="C13" s="942" t="s">
        <v>285</v>
      </c>
      <c r="D13" s="918"/>
    </row>
    <row r="14" spans="1:4" ht="15" customHeight="1" x14ac:dyDescent="0.2">
      <c r="A14" s="948"/>
      <c r="B14" s="947"/>
      <c r="C14" s="911" t="s">
        <v>284</v>
      </c>
      <c r="D14" s="913"/>
    </row>
    <row r="15" spans="1:4" ht="15" customHeight="1" x14ac:dyDescent="0.2">
      <c r="A15" s="250" t="s">
        <v>283</v>
      </c>
      <c r="B15" s="245" t="s">
        <v>282</v>
      </c>
      <c r="C15" s="898" t="s">
        <v>281</v>
      </c>
      <c r="D15" s="900"/>
    </row>
    <row r="16" spans="1:4" ht="15" customHeight="1" x14ac:dyDescent="0.2">
      <c r="A16" s="251"/>
      <c r="B16" s="245" t="s">
        <v>280</v>
      </c>
      <c r="C16" s="938" t="s">
        <v>279</v>
      </c>
      <c r="D16" s="892"/>
    </row>
    <row r="17" spans="1:4" ht="15" customHeight="1" x14ac:dyDescent="0.2">
      <c r="A17" s="251"/>
      <c r="B17" s="252"/>
      <c r="C17" s="942"/>
      <c r="D17" s="918"/>
    </row>
    <row r="18" spans="1:4" ht="15" customHeight="1" x14ac:dyDescent="0.2">
      <c r="A18" s="251"/>
      <c r="B18" s="252"/>
      <c r="C18" s="942" t="s">
        <v>278</v>
      </c>
      <c r="D18" s="918"/>
    </row>
    <row r="19" spans="1:4" ht="15" customHeight="1" x14ac:dyDescent="0.2">
      <c r="A19" s="251"/>
      <c r="B19" s="252"/>
      <c r="C19" s="942" t="s">
        <v>277</v>
      </c>
      <c r="D19" s="918"/>
    </row>
    <row r="20" spans="1:4" ht="15" customHeight="1" x14ac:dyDescent="0.2">
      <c r="A20" s="251"/>
      <c r="B20" s="252"/>
      <c r="C20" s="942" t="s">
        <v>276</v>
      </c>
      <c r="D20" s="918"/>
    </row>
    <row r="21" spans="1:4" ht="15" customHeight="1" x14ac:dyDescent="0.2">
      <c r="A21" s="251"/>
      <c r="B21" s="252"/>
      <c r="C21" s="942" t="s">
        <v>275</v>
      </c>
      <c r="D21" s="918"/>
    </row>
    <row r="22" spans="1:4" ht="15" customHeight="1" x14ac:dyDescent="0.2">
      <c r="A22" s="251"/>
      <c r="B22" s="252"/>
      <c r="C22" s="911"/>
      <c r="D22" s="913"/>
    </row>
    <row r="23" spans="1:4" ht="20.25" customHeight="1" x14ac:dyDescent="0.2">
      <c r="A23" s="241" t="s">
        <v>274</v>
      </c>
      <c r="B23" s="904" t="s">
        <v>273</v>
      </c>
      <c r="C23" s="947"/>
      <c r="D23" s="947"/>
    </row>
    <row r="24" spans="1:4" ht="21" customHeight="1" x14ac:dyDescent="0.2">
      <c r="A24" s="241" t="s">
        <v>517</v>
      </c>
      <c r="B24" s="904" t="s">
        <v>273</v>
      </c>
      <c r="C24" s="947"/>
      <c r="D24" s="947"/>
    </row>
    <row r="25" spans="1:4" ht="20.25" customHeight="1" x14ac:dyDescent="0.2">
      <c r="A25" s="241" t="s">
        <v>518</v>
      </c>
      <c r="B25" s="904" t="s">
        <v>273</v>
      </c>
      <c r="C25" s="947"/>
      <c r="D25" s="947"/>
    </row>
    <row r="26" spans="1:4" ht="19.5" customHeight="1" x14ac:dyDescent="0.2">
      <c r="A26" s="241" t="s">
        <v>519</v>
      </c>
      <c r="B26" s="904" t="s">
        <v>273</v>
      </c>
      <c r="C26" s="947"/>
      <c r="D26" s="947"/>
    </row>
    <row r="27" spans="1:4" ht="18.75" customHeight="1" x14ac:dyDescent="0.2">
      <c r="A27" s="241" t="s">
        <v>272</v>
      </c>
      <c r="B27" s="947" t="s">
        <v>271</v>
      </c>
      <c r="C27" s="947"/>
      <c r="D27" s="947"/>
    </row>
    <row r="28" spans="1:4" ht="65.25" customHeight="1" x14ac:dyDescent="0.2">
      <c r="A28" s="241" t="s">
        <v>874</v>
      </c>
      <c r="B28" s="908"/>
      <c r="C28" s="909"/>
      <c r="D28" s="910"/>
    </row>
    <row r="29" spans="1:4" ht="39.75" customHeight="1" x14ac:dyDescent="0.2">
      <c r="A29" s="253" t="s">
        <v>270</v>
      </c>
      <c r="B29" s="903"/>
      <c r="C29" s="914"/>
      <c r="D29" s="904"/>
    </row>
    <row r="30" spans="1:4" ht="19.5" customHeight="1" x14ac:dyDescent="0.2">
      <c r="A30" s="241" t="s">
        <v>269</v>
      </c>
      <c r="B30" s="903"/>
      <c r="C30" s="914"/>
      <c r="D30" s="904"/>
    </row>
    <row r="31" spans="1:4" ht="15" customHeight="1" x14ac:dyDescent="0.2">
      <c r="A31" s="888" t="s">
        <v>268</v>
      </c>
      <c r="B31" s="888"/>
      <c r="C31" s="888"/>
      <c r="D31" s="888"/>
    </row>
    <row r="32" spans="1:4" ht="14.1" customHeight="1" x14ac:dyDescent="0.2">
      <c r="A32" s="253" t="s">
        <v>267</v>
      </c>
      <c r="B32" s="908" t="s">
        <v>511</v>
      </c>
      <c r="C32" s="909"/>
      <c r="D32" s="910"/>
    </row>
    <row r="33" spans="1:4" ht="14.1" customHeight="1" x14ac:dyDescent="0.2">
      <c r="A33" s="249" t="s">
        <v>266</v>
      </c>
      <c r="B33" s="942" t="s">
        <v>512</v>
      </c>
      <c r="C33" s="917"/>
      <c r="D33" s="918"/>
    </row>
    <row r="34" spans="1:4" ht="14.1" customHeight="1" x14ac:dyDescent="0.2">
      <c r="A34" s="249" t="s">
        <v>265</v>
      </c>
      <c r="B34" s="943" t="s">
        <v>513</v>
      </c>
      <c r="C34" s="934"/>
      <c r="D34" s="935"/>
    </row>
    <row r="35" spans="1:4" ht="14.1" customHeight="1" x14ac:dyDescent="0.2">
      <c r="A35" s="249" t="s">
        <v>264</v>
      </c>
      <c r="B35" s="942" t="s">
        <v>514</v>
      </c>
      <c r="C35" s="917"/>
      <c r="D35" s="918"/>
    </row>
    <row r="36" spans="1:4" ht="14.1" customHeight="1" x14ac:dyDescent="0.2">
      <c r="A36" s="254"/>
      <c r="B36" s="943" t="s">
        <v>515</v>
      </c>
      <c r="C36" s="934"/>
      <c r="D36" s="935"/>
    </row>
    <row r="37" spans="1:4" ht="14.1" customHeight="1" x14ac:dyDescent="0.2">
      <c r="A37" s="255"/>
      <c r="B37" s="944" t="s">
        <v>516</v>
      </c>
      <c r="C37" s="945"/>
      <c r="D37" s="946"/>
    </row>
    <row r="38" spans="1:4" ht="14.1" customHeight="1" x14ac:dyDescent="0.2">
      <c r="A38" s="255"/>
      <c r="B38" s="943" t="s">
        <v>263</v>
      </c>
      <c r="C38" s="934"/>
      <c r="D38" s="935"/>
    </row>
    <row r="39" spans="1:4" ht="14.1" customHeight="1" x14ac:dyDescent="0.2">
      <c r="A39" s="255"/>
      <c r="B39" s="943" t="s">
        <v>262</v>
      </c>
      <c r="C39" s="934"/>
      <c r="D39" s="935"/>
    </row>
    <row r="40" spans="1:4" ht="14.1" customHeight="1" x14ac:dyDescent="0.2">
      <c r="A40" s="256"/>
      <c r="B40" s="928" t="s">
        <v>261</v>
      </c>
      <c r="C40" s="929"/>
      <c r="D40" s="930"/>
    </row>
    <row r="41" spans="1:4" ht="33.75" customHeight="1" x14ac:dyDescent="0.2">
      <c r="A41" s="939" t="s">
        <v>510</v>
      </c>
      <c r="B41" s="940"/>
      <c r="C41" s="940"/>
      <c r="D41" s="941"/>
    </row>
    <row r="42" spans="1:4" ht="26.25" customHeight="1" x14ac:dyDescent="0.2">
      <c r="A42" s="241" t="s">
        <v>260</v>
      </c>
      <c r="B42" s="903" t="s">
        <v>259</v>
      </c>
      <c r="C42" s="914"/>
      <c r="D42" s="904"/>
    </row>
    <row r="43" spans="1:4" ht="17.25" customHeight="1" x14ac:dyDescent="0.2">
      <c r="A43" s="889" t="s">
        <v>258</v>
      </c>
      <c r="B43" s="908" t="s">
        <v>257</v>
      </c>
      <c r="C43" s="909"/>
      <c r="D43" s="910"/>
    </row>
    <row r="44" spans="1:4" ht="15" customHeight="1" x14ac:dyDescent="0.2">
      <c r="A44" s="890"/>
      <c r="B44" s="911" t="s">
        <v>508</v>
      </c>
      <c r="C44" s="912"/>
      <c r="D44" s="913"/>
    </row>
    <row r="45" spans="1:4" ht="18" customHeight="1" x14ac:dyDescent="0.2">
      <c r="A45" s="936" t="s">
        <v>256</v>
      </c>
      <c r="B45" s="938" t="s">
        <v>255</v>
      </c>
      <c r="C45" s="891"/>
      <c r="D45" s="892"/>
    </row>
    <row r="46" spans="1:4" ht="15" customHeight="1" x14ac:dyDescent="0.2">
      <c r="A46" s="937"/>
      <c r="B46" s="893" t="s">
        <v>248</v>
      </c>
      <c r="C46" s="894"/>
      <c r="D46" s="895"/>
    </row>
    <row r="47" spans="1:4" x14ac:dyDescent="0.2">
      <c r="A47" s="248"/>
      <c r="B47" s="898" t="s">
        <v>254</v>
      </c>
      <c r="C47" s="899"/>
      <c r="D47" s="900"/>
    </row>
    <row r="48" spans="1:4" x14ac:dyDescent="0.2">
      <c r="A48" s="244"/>
      <c r="B48" s="934" t="s">
        <v>253</v>
      </c>
      <c r="C48" s="934"/>
      <c r="D48" s="935"/>
    </row>
    <row r="49" spans="1:4" x14ac:dyDescent="0.2">
      <c r="A49" s="244"/>
      <c r="B49" s="934" t="s">
        <v>251</v>
      </c>
      <c r="C49" s="934"/>
      <c r="D49" s="935"/>
    </row>
    <row r="50" spans="1:4" x14ac:dyDescent="0.2">
      <c r="A50" s="244"/>
      <c r="B50" s="934" t="s">
        <v>251</v>
      </c>
      <c r="C50" s="934"/>
      <c r="D50" s="935"/>
    </row>
    <row r="51" spans="1:4" x14ac:dyDescent="0.2">
      <c r="A51" s="257" t="s">
        <v>252</v>
      </c>
      <c r="B51" s="934" t="s">
        <v>251</v>
      </c>
      <c r="C51" s="934"/>
      <c r="D51" s="935"/>
    </row>
    <row r="52" spans="1:4" x14ac:dyDescent="0.2">
      <c r="A52" s="251"/>
      <c r="B52" s="934" t="s">
        <v>250</v>
      </c>
      <c r="C52" s="934"/>
      <c r="D52" s="935"/>
    </row>
    <row r="53" spans="1:4" x14ac:dyDescent="0.2">
      <c r="A53" s="251"/>
      <c r="B53" s="934" t="s">
        <v>249</v>
      </c>
      <c r="C53" s="934"/>
      <c r="D53" s="935"/>
    </row>
    <row r="54" spans="1:4" x14ac:dyDescent="0.2">
      <c r="A54" s="251"/>
      <c r="B54" s="928" t="s">
        <v>248</v>
      </c>
      <c r="C54" s="929"/>
      <c r="D54" s="930"/>
    </row>
    <row r="55" spans="1:4" x14ac:dyDescent="0.2">
      <c r="A55" s="244"/>
      <c r="B55" s="931" t="s">
        <v>247</v>
      </c>
      <c r="C55" s="932"/>
      <c r="D55" s="933"/>
    </row>
    <row r="56" spans="1:4" x14ac:dyDescent="0.2">
      <c r="A56" s="244"/>
      <c r="B56" s="931"/>
      <c r="C56" s="932"/>
      <c r="D56" s="933"/>
    </row>
    <row r="57" spans="1:4" x14ac:dyDescent="0.2">
      <c r="A57" s="244"/>
      <c r="B57" s="931"/>
      <c r="C57" s="932"/>
      <c r="D57" s="933"/>
    </row>
    <row r="58" spans="1:4" x14ac:dyDescent="0.2">
      <c r="A58" s="258"/>
      <c r="B58" s="903" t="s">
        <v>191</v>
      </c>
      <c r="C58" s="914"/>
      <c r="D58" s="904"/>
    </row>
    <row r="59" spans="1:4" x14ac:dyDescent="0.2">
      <c r="A59" s="257" t="s">
        <v>246</v>
      </c>
      <c r="B59" s="919" t="s">
        <v>245</v>
      </c>
      <c r="C59" s="920"/>
      <c r="D59" s="925" t="s">
        <v>244</v>
      </c>
    </row>
    <row r="60" spans="1:4" x14ac:dyDescent="0.2">
      <c r="A60" s="244"/>
      <c r="B60" s="921"/>
      <c r="C60" s="922"/>
      <c r="D60" s="926"/>
    </row>
    <row r="61" spans="1:4" x14ac:dyDescent="0.2">
      <c r="A61" s="251"/>
      <c r="B61" s="921"/>
      <c r="C61" s="922"/>
      <c r="D61" s="926"/>
    </row>
    <row r="62" spans="1:4" x14ac:dyDescent="0.2">
      <c r="A62" s="259"/>
      <c r="B62" s="923"/>
      <c r="C62" s="924"/>
      <c r="D62" s="927"/>
    </row>
    <row r="63" spans="1:4" ht="39.75" customHeight="1" x14ac:dyDescent="0.2">
      <c r="A63" s="241" t="s">
        <v>243</v>
      </c>
      <c r="B63" s="903" t="s">
        <v>241</v>
      </c>
      <c r="C63" s="914"/>
      <c r="D63" s="904"/>
    </row>
    <row r="64" spans="1:4" ht="39" customHeight="1" x14ac:dyDescent="0.2">
      <c r="A64" s="250" t="s">
        <v>242</v>
      </c>
      <c r="B64" s="909" t="s">
        <v>241</v>
      </c>
      <c r="C64" s="909"/>
      <c r="D64" s="910"/>
    </row>
    <row r="65" spans="1:4" ht="25.5" customHeight="1" x14ac:dyDescent="0.2">
      <c r="A65" s="250" t="s">
        <v>240</v>
      </c>
      <c r="B65" s="903" t="s">
        <v>239</v>
      </c>
      <c r="C65" s="914"/>
      <c r="D65" s="904"/>
    </row>
    <row r="66" spans="1:4" ht="27" customHeight="1" x14ac:dyDescent="0.2">
      <c r="A66" s="241" t="s">
        <v>238</v>
      </c>
      <c r="B66" s="908" t="s">
        <v>236</v>
      </c>
      <c r="C66" s="909"/>
      <c r="D66" s="910"/>
    </row>
    <row r="67" spans="1:4" ht="24.75" customHeight="1" x14ac:dyDescent="0.2">
      <c r="A67" s="241" t="s">
        <v>237</v>
      </c>
      <c r="B67" s="903" t="s">
        <v>236</v>
      </c>
      <c r="C67" s="914"/>
      <c r="D67" s="904"/>
    </row>
    <row r="68" spans="1:4" ht="28.5" customHeight="1" x14ac:dyDescent="0.2">
      <c r="A68" s="241" t="s">
        <v>235</v>
      </c>
      <c r="B68" s="903" t="s">
        <v>234</v>
      </c>
      <c r="C68" s="914"/>
      <c r="D68" s="904"/>
    </row>
    <row r="69" spans="1:4" ht="17.100000000000001" customHeight="1" x14ac:dyDescent="0.2">
      <c r="A69" s="915" t="s">
        <v>233</v>
      </c>
      <c r="B69" s="916"/>
      <c r="C69" s="917"/>
      <c r="D69" s="918"/>
    </row>
    <row r="70" spans="1:4" ht="17.100000000000001" customHeight="1" x14ac:dyDescent="0.2">
      <c r="A70" s="901" t="s">
        <v>232</v>
      </c>
      <c r="B70" s="902"/>
      <c r="C70" s="903"/>
      <c r="D70" s="904"/>
    </row>
    <row r="71" spans="1:4" ht="17.100000000000001" customHeight="1" x14ac:dyDescent="0.2">
      <c r="A71" s="901" t="s">
        <v>231</v>
      </c>
      <c r="B71" s="902"/>
      <c r="C71" s="905"/>
      <c r="D71" s="906"/>
    </row>
    <row r="72" spans="1:4" x14ac:dyDescent="0.2">
      <c r="A72" s="907" t="s">
        <v>230</v>
      </c>
      <c r="B72" s="908" t="s">
        <v>229</v>
      </c>
      <c r="C72" s="909"/>
      <c r="D72" s="910"/>
    </row>
    <row r="73" spans="1:4" ht="30" customHeight="1" x14ac:dyDescent="0.2">
      <c r="A73" s="907"/>
      <c r="B73" s="911" t="s">
        <v>229</v>
      </c>
      <c r="C73" s="912"/>
      <c r="D73" s="913"/>
    </row>
    <row r="74" spans="1:4" ht="17.100000000000001" customHeight="1" x14ac:dyDescent="0.2">
      <c r="A74" s="889" t="s">
        <v>228</v>
      </c>
      <c r="B74" s="891" t="s">
        <v>226</v>
      </c>
      <c r="C74" s="891"/>
      <c r="D74" s="892"/>
    </row>
    <row r="75" spans="1:4" ht="17.100000000000001" customHeight="1" x14ac:dyDescent="0.2">
      <c r="A75" s="890"/>
      <c r="B75" s="893" t="s">
        <v>225</v>
      </c>
      <c r="C75" s="894"/>
      <c r="D75" s="895"/>
    </row>
    <row r="76" spans="1:4" ht="17.100000000000001" customHeight="1" x14ac:dyDescent="0.2">
      <c r="A76" s="896" t="s">
        <v>227</v>
      </c>
      <c r="B76" s="898" t="s">
        <v>226</v>
      </c>
      <c r="C76" s="899"/>
      <c r="D76" s="900"/>
    </row>
    <row r="77" spans="1:4" ht="17.100000000000001" customHeight="1" x14ac:dyDescent="0.2">
      <c r="A77" s="897"/>
      <c r="B77" s="893" t="s">
        <v>225</v>
      </c>
      <c r="C77" s="894"/>
      <c r="D77" s="895"/>
    </row>
    <row r="78" spans="1:4" ht="29.25" customHeight="1" x14ac:dyDescent="0.2">
      <c r="A78" s="878" t="s">
        <v>506</v>
      </c>
      <c r="B78" s="881" t="s">
        <v>875</v>
      </c>
      <c r="C78" s="882"/>
      <c r="D78" s="883"/>
    </row>
    <row r="79" spans="1:4" ht="29.25" customHeight="1" x14ac:dyDescent="0.2">
      <c r="A79" s="879"/>
      <c r="B79" s="884" t="s">
        <v>876</v>
      </c>
      <c r="C79" s="885"/>
      <c r="D79" s="886"/>
    </row>
    <row r="80" spans="1:4" ht="54.75" customHeight="1" x14ac:dyDescent="0.2">
      <c r="A80" s="880"/>
      <c r="B80" s="887" t="s">
        <v>507</v>
      </c>
      <c r="C80" s="887"/>
      <c r="D80" s="887"/>
    </row>
    <row r="81" spans="1:4" x14ac:dyDescent="0.2">
      <c r="A81" s="888" t="s">
        <v>224</v>
      </c>
      <c r="B81" s="888"/>
      <c r="C81" s="888"/>
      <c r="D81" s="888"/>
    </row>
    <row r="82" spans="1:4" x14ac:dyDescent="0.2">
      <c r="A82" s="876" t="s">
        <v>223</v>
      </c>
      <c r="B82" s="876"/>
      <c r="C82" s="877" t="s">
        <v>222</v>
      </c>
      <c r="D82" s="877"/>
    </row>
    <row r="83" spans="1:4" x14ac:dyDescent="0.2">
      <c r="A83" s="876"/>
      <c r="B83" s="876"/>
      <c r="C83" s="877"/>
      <c r="D83" s="877"/>
    </row>
  </sheetData>
  <mergeCells count="89">
    <mergeCell ref="A1:D1"/>
    <mergeCell ref="A2:D2"/>
    <mergeCell ref="A3:D3"/>
    <mergeCell ref="B6:D6"/>
    <mergeCell ref="A7:A9"/>
    <mergeCell ref="B9:C9"/>
    <mergeCell ref="B10:D10"/>
    <mergeCell ref="A11:A14"/>
    <mergeCell ref="B11:B14"/>
    <mergeCell ref="C11:D11"/>
    <mergeCell ref="C12:D12"/>
    <mergeCell ref="C13:D13"/>
    <mergeCell ref="C14:D14"/>
    <mergeCell ref="C15:D15"/>
    <mergeCell ref="C16:D16"/>
    <mergeCell ref="C17:D17"/>
    <mergeCell ref="C18:D18"/>
    <mergeCell ref="C19:D19"/>
    <mergeCell ref="C20:D20"/>
    <mergeCell ref="C21:D21"/>
    <mergeCell ref="C22:D22"/>
    <mergeCell ref="B23:D23"/>
    <mergeCell ref="B24:D24"/>
    <mergeCell ref="B25:D25"/>
    <mergeCell ref="B26:D26"/>
    <mergeCell ref="B27:D27"/>
    <mergeCell ref="B28:D28"/>
    <mergeCell ref="B29:D29"/>
    <mergeCell ref="B30:D30"/>
    <mergeCell ref="A31:D31"/>
    <mergeCell ref="B32:D32"/>
    <mergeCell ref="B33:D33"/>
    <mergeCell ref="B34:D34"/>
    <mergeCell ref="B35:D35"/>
    <mergeCell ref="B36:D36"/>
    <mergeCell ref="B37:D37"/>
    <mergeCell ref="B38:D38"/>
    <mergeCell ref="B39:D39"/>
    <mergeCell ref="B40:D40"/>
    <mergeCell ref="A41:D41"/>
    <mergeCell ref="B42:D42"/>
    <mergeCell ref="A43:A44"/>
    <mergeCell ref="B43:D43"/>
    <mergeCell ref="B44:D44"/>
    <mergeCell ref="A45:A46"/>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C62"/>
    <mergeCell ref="D59:D62"/>
    <mergeCell ref="B63:D63"/>
    <mergeCell ref="B64:D64"/>
    <mergeCell ref="B65:D65"/>
    <mergeCell ref="B66:D66"/>
    <mergeCell ref="B67:D67"/>
    <mergeCell ref="B68:D68"/>
    <mergeCell ref="A69:B69"/>
    <mergeCell ref="C69:D69"/>
    <mergeCell ref="A70:B70"/>
    <mergeCell ref="C70:D70"/>
    <mergeCell ref="A71:B71"/>
    <mergeCell ref="C71:D71"/>
    <mergeCell ref="A72:A73"/>
    <mergeCell ref="B72:D72"/>
    <mergeCell ref="B73:D73"/>
    <mergeCell ref="A74:A75"/>
    <mergeCell ref="B74:D74"/>
    <mergeCell ref="B75:D75"/>
    <mergeCell ref="A76:A77"/>
    <mergeCell ref="B76:D76"/>
    <mergeCell ref="B77:D77"/>
    <mergeCell ref="A82:B83"/>
    <mergeCell ref="C82:D83"/>
    <mergeCell ref="A78:A80"/>
    <mergeCell ref="B78:D78"/>
    <mergeCell ref="B79:D79"/>
    <mergeCell ref="B80:D80"/>
    <mergeCell ref="A81:D81"/>
  </mergeCells>
  <pageMargins left="0.7" right="0.36" top="0.32" bottom="0.17" header="0.3" footer="0.17"/>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IFD">
    <tabColor rgb="FFFF0000"/>
  </sheetPr>
  <dimension ref="A1:M82"/>
  <sheetViews>
    <sheetView view="pageBreakPreview" zoomScaleNormal="80" zoomScaleSheetLayoutView="100" workbookViewId="0">
      <selection activeCell="A11" sqref="A11"/>
    </sheetView>
  </sheetViews>
  <sheetFormatPr defaultRowHeight="20.25" x14ac:dyDescent="0.2"/>
  <cols>
    <col min="1" max="1" width="35.85546875" style="19" customWidth="1"/>
    <col min="2" max="2" width="17.85546875" style="19" customWidth="1"/>
    <col min="3" max="3" width="14" style="19" bestFit="1" customWidth="1"/>
    <col min="4" max="4" width="9.140625" style="19" customWidth="1"/>
    <col min="5" max="5" width="20.7109375" style="73" bestFit="1" customWidth="1"/>
    <col min="6" max="6" width="8.7109375" style="73" bestFit="1" customWidth="1"/>
    <col min="7" max="7" width="11.5703125" style="73" bestFit="1" customWidth="1"/>
    <col min="8" max="8" width="13.85546875" style="73" bestFit="1" customWidth="1"/>
    <col min="9" max="9" width="16.42578125" style="74" customWidth="1"/>
    <col min="10" max="10" width="10.42578125" style="74" customWidth="1"/>
    <col min="11" max="11" width="22.7109375" style="74" customWidth="1"/>
    <col min="12" max="16384" width="9.140625" style="19"/>
  </cols>
  <sheetData>
    <row r="1" spans="1:13" ht="21" thickBot="1" x14ac:dyDescent="0.25"/>
    <row r="2" spans="1:13" x14ac:dyDescent="0.2">
      <c r="A2" s="953" t="s">
        <v>390</v>
      </c>
      <c r="B2" s="954"/>
      <c r="C2" s="955"/>
      <c r="J2" s="75">
        <f>SUM(J6:J65)/B5</f>
        <v>0</v>
      </c>
    </row>
    <row r="3" spans="1:13" ht="15.75" customHeight="1" thickBot="1" x14ac:dyDescent="0.25">
      <c r="A3" s="956"/>
      <c r="B3" s="957"/>
      <c r="C3" s="958"/>
    </row>
    <row r="4" spans="1:13" ht="61.5" thickBot="1" x14ac:dyDescent="0.25">
      <c r="E4" s="82" t="s">
        <v>389</v>
      </c>
      <c r="F4" s="83" t="s">
        <v>388</v>
      </c>
      <c r="G4" s="83" t="s">
        <v>387</v>
      </c>
      <c r="H4" s="83" t="s">
        <v>386</v>
      </c>
      <c r="I4" s="83" t="s">
        <v>385</v>
      </c>
      <c r="J4" s="83" t="s">
        <v>384</v>
      </c>
      <c r="K4" s="83" t="s">
        <v>383</v>
      </c>
      <c r="L4" s="83" t="s">
        <v>384</v>
      </c>
    </row>
    <row r="5" spans="1:13" s="20" customFormat="1" x14ac:dyDescent="0.2">
      <c r="A5" s="35" t="s">
        <v>382</v>
      </c>
      <c r="B5" s="34" t="str">
        <f>GOTURDUYU_MEBLEQ</f>
        <v>1000.00</v>
      </c>
      <c r="C5" s="33"/>
      <c r="E5" s="76" t="s">
        <v>381</v>
      </c>
      <c r="F5" s="77"/>
      <c r="G5" s="77"/>
      <c r="H5" s="73"/>
      <c r="I5" s="77">
        <f>-B5*(1-B9)</f>
        <v>-990</v>
      </c>
      <c r="J5" s="77"/>
      <c r="K5" s="78">
        <f>I5</f>
        <v>-990</v>
      </c>
    </row>
    <row r="6" spans="1:13" s="20" customFormat="1" x14ac:dyDescent="0.2">
      <c r="A6" s="32" t="s">
        <v>380</v>
      </c>
      <c r="B6" s="31" t="str">
        <f>TEXT(IFF,"0.00")</f>
        <v>0.60</v>
      </c>
      <c r="C6" s="19"/>
      <c r="D6" s="20">
        <v>1</v>
      </c>
      <c r="E6" s="79">
        <v>1</v>
      </c>
      <c r="F6" s="80">
        <f>B5-H6</f>
        <v>900</v>
      </c>
      <c r="G6" s="80">
        <f>B5*B6/12/100</f>
        <v>0.5</v>
      </c>
      <c r="H6" s="80">
        <f>$B$5/$B$7</f>
        <v>100</v>
      </c>
      <c r="I6" s="77">
        <f t="shared" ref="I6:I37" si="0">IF(E6&lt;&gt;" ",G6+H6," ")</f>
        <v>100.5</v>
      </c>
      <c r="J6" s="81"/>
      <c r="K6" s="78">
        <f>IF(E6&lt;&gt;" ",I6+J6," ")</f>
        <v>100.5</v>
      </c>
      <c r="L6" s="20">
        <f ca="1">IF(E6&lt;&gt;" ",IF($B$8&lt;=60,VLOOKUP($B$7,$A$19:$C$23,2)*$B$5/$B$7,VLOOKUP($B$7,$A$19:$C$23,3)*$B$5/$B$7), " ")</f>
        <v>0.7</v>
      </c>
      <c r="M6" s="20">
        <f ca="1">VLOOKUP($B$8,$A$19:$C$23,2)</f>
        <v>1.2E-2</v>
      </c>
    </row>
    <row r="7" spans="1:13" x14ac:dyDescent="0.2">
      <c r="A7" s="32" t="s">
        <v>379</v>
      </c>
      <c r="B7" s="31">
        <f>MONTH_KREDIT</f>
        <v>10</v>
      </c>
      <c r="C7" s="28"/>
      <c r="D7" s="20">
        <v>2</v>
      </c>
      <c r="E7" s="79">
        <f>IF(D7&lt;$B$7+1,D7," ")</f>
        <v>2</v>
      </c>
      <c r="F7" s="80">
        <f t="shared" ref="F7:F38" si="1">IF(E7&lt;&gt;" ",F6-H7," ")</f>
        <v>800</v>
      </c>
      <c r="G7" s="80">
        <f t="shared" ref="G7:G38" si="2">IF(E7&lt;&gt;" ",F6*$B$6/12/100," ")</f>
        <v>0.45</v>
      </c>
      <c r="H7" s="80">
        <f t="shared" ref="H7:H38" si="3">IF(E7&lt;&gt;" ",$B$5/$B$7," ")</f>
        <v>100</v>
      </c>
      <c r="I7" s="77">
        <f t="shared" si="0"/>
        <v>100.45</v>
      </c>
      <c r="J7" s="81"/>
      <c r="K7" s="78">
        <f t="shared" ref="K7:K37" si="4">IF(E7&lt;&gt;" ",I7+J7," ")</f>
        <v>100.45</v>
      </c>
      <c r="L7" s="20">
        <f t="shared" ref="L7:L65" ca="1" si="5">IF(E7&lt;&gt;" ",IF($B$8&lt;=60,VLOOKUP($B$7,$A$19:$C$23,2)*$B$5/$B$7,VLOOKUP($B$7,$A$19:$C$23,3)*$B$5/$B$7), " ")</f>
        <v>0.7</v>
      </c>
    </row>
    <row r="8" spans="1:13" x14ac:dyDescent="0.2">
      <c r="A8" s="32" t="s">
        <v>378</v>
      </c>
      <c r="B8" s="31">
        <f ca="1">DATEDIF(T.Data!N22,NOW(),"y")</f>
        <v>38</v>
      </c>
      <c r="C8" s="28"/>
      <c r="D8" s="20">
        <v>3</v>
      </c>
      <c r="E8" s="79">
        <f t="shared" ref="E8:E38" si="6">IF(D8&lt;$B$7+1,D8," ")</f>
        <v>3</v>
      </c>
      <c r="F8" s="80">
        <f t="shared" si="1"/>
        <v>700</v>
      </c>
      <c r="G8" s="80">
        <f t="shared" si="2"/>
        <v>0.4</v>
      </c>
      <c r="H8" s="80">
        <f t="shared" si="3"/>
        <v>100</v>
      </c>
      <c r="I8" s="77">
        <f t="shared" si="0"/>
        <v>100.4</v>
      </c>
      <c r="J8" s="81"/>
      <c r="K8" s="78">
        <f t="shared" si="4"/>
        <v>100.4</v>
      </c>
      <c r="L8" s="20">
        <f t="shared" ca="1" si="5"/>
        <v>0.7</v>
      </c>
    </row>
    <row r="9" spans="1:13" ht="21" thickBot="1" x14ac:dyDescent="0.25">
      <c r="A9" s="30" t="s">
        <v>377</v>
      </c>
      <c r="B9" s="29">
        <f>KH/100</f>
        <v>0.01</v>
      </c>
      <c r="C9" s="28"/>
      <c r="D9" s="20">
        <v>4</v>
      </c>
      <c r="E9" s="79">
        <f t="shared" si="6"/>
        <v>4</v>
      </c>
      <c r="F9" s="80">
        <f t="shared" si="1"/>
        <v>600</v>
      </c>
      <c r="G9" s="80">
        <f t="shared" si="2"/>
        <v>0.35</v>
      </c>
      <c r="H9" s="80">
        <f t="shared" si="3"/>
        <v>100</v>
      </c>
      <c r="I9" s="77">
        <f t="shared" si="0"/>
        <v>100.35</v>
      </c>
      <c r="J9" s="81"/>
      <c r="K9" s="78">
        <f t="shared" si="4"/>
        <v>100.35</v>
      </c>
      <c r="L9" s="20">
        <f t="shared" ca="1" si="5"/>
        <v>0.7</v>
      </c>
    </row>
    <row r="10" spans="1:13" x14ac:dyDescent="0.2">
      <c r="C10" s="28"/>
      <c r="D10" s="20">
        <v>5</v>
      </c>
      <c r="E10" s="79">
        <f t="shared" si="6"/>
        <v>5</v>
      </c>
      <c r="F10" s="80">
        <f t="shared" si="1"/>
        <v>500</v>
      </c>
      <c r="G10" s="80">
        <f t="shared" si="2"/>
        <v>0.3</v>
      </c>
      <c r="H10" s="80">
        <f t="shared" si="3"/>
        <v>100</v>
      </c>
      <c r="I10" s="77">
        <f t="shared" si="0"/>
        <v>100.3</v>
      </c>
      <c r="J10" s="81"/>
      <c r="K10" s="78">
        <f t="shared" si="4"/>
        <v>100.3</v>
      </c>
      <c r="L10" s="20">
        <f t="shared" ca="1" si="5"/>
        <v>0.7</v>
      </c>
    </row>
    <row r="11" spans="1:13" x14ac:dyDescent="0.2">
      <c r="A11" s="85" t="s">
        <v>376</v>
      </c>
      <c r="B11" s="84">
        <f>IRR(K5:K650)*12</f>
        <v>2.8022336582012919E-2</v>
      </c>
      <c r="C11" s="28"/>
      <c r="D11" s="20">
        <v>6</v>
      </c>
      <c r="E11" s="79">
        <f t="shared" si="6"/>
        <v>6</v>
      </c>
      <c r="F11" s="80">
        <f t="shared" si="1"/>
        <v>400</v>
      </c>
      <c r="G11" s="80">
        <f t="shared" si="2"/>
        <v>0.25</v>
      </c>
      <c r="H11" s="80">
        <f t="shared" si="3"/>
        <v>100</v>
      </c>
      <c r="I11" s="77">
        <f t="shared" si="0"/>
        <v>100.25</v>
      </c>
      <c r="J11" s="81"/>
      <c r="K11" s="78">
        <f t="shared" si="4"/>
        <v>100.25</v>
      </c>
      <c r="L11" s="20">
        <f t="shared" ca="1" si="5"/>
        <v>0.7</v>
      </c>
    </row>
    <row r="12" spans="1:13" x14ac:dyDescent="0.2">
      <c r="C12" s="28"/>
      <c r="D12" s="20">
        <v>7</v>
      </c>
      <c r="E12" s="79">
        <f t="shared" si="6"/>
        <v>7</v>
      </c>
      <c r="F12" s="80">
        <f t="shared" si="1"/>
        <v>300</v>
      </c>
      <c r="G12" s="80">
        <f t="shared" si="2"/>
        <v>0.2</v>
      </c>
      <c r="H12" s="80">
        <f t="shared" si="3"/>
        <v>100</v>
      </c>
      <c r="I12" s="77">
        <f t="shared" si="0"/>
        <v>100.2</v>
      </c>
      <c r="J12" s="81"/>
      <c r="K12" s="78">
        <f t="shared" si="4"/>
        <v>100.2</v>
      </c>
      <c r="L12" s="20">
        <f t="shared" ca="1" si="5"/>
        <v>0.7</v>
      </c>
    </row>
    <row r="13" spans="1:13" ht="18.75" customHeight="1" x14ac:dyDescent="0.2">
      <c r="C13" s="28"/>
      <c r="D13" s="20">
        <v>8</v>
      </c>
      <c r="E13" s="79">
        <f t="shared" si="6"/>
        <v>8</v>
      </c>
      <c r="F13" s="80">
        <f t="shared" si="1"/>
        <v>200</v>
      </c>
      <c r="G13" s="80">
        <f t="shared" si="2"/>
        <v>0.15</v>
      </c>
      <c r="H13" s="80">
        <f t="shared" si="3"/>
        <v>100</v>
      </c>
      <c r="I13" s="77">
        <f t="shared" si="0"/>
        <v>100.15</v>
      </c>
      <c r="J13" s="81"/>
      <c r="K13" s="78">
        <f t="shared" si="4"/>
        <v>100.15</v>
      </c>
      <c r="L13" s="20">
        <f t="shared" ca="1" si="5"/>
        <v>0.7</v>
      </c>
    </row>
    <row r="14" spans="1:13" x14ac:dyDescent="0.2">
      <c r="C14" s="28"/>
      <c r="D14" s="20">
        <v>9</v>
      </c>
      <c r="E14" s="79">
        <f t="shared" si="6"/>
        <v>9</v>
      </c>
      <c r="F14" s="80">
        <f t="shared" si="1"/>
        <v>100</v>
      </c>
      <c r="G14" s="80">
        <f t="shared" si="2"/>
        <v>0.1</v>
      </c>
      <c r="H14" s="80">
        <f t="shared" si="3"/>
        <v>100</v>
      </c>
      <c r="I14" s="77">
        <f t="shared" si="0"/>
        <v>100.1</v>
      </c>
      <c r="J14" s="81"/>
      <c r="K14" s="78">
        <f t="shared" si="4"/>
        <v>100.1</v>
      </c>
      <c r="L14" s="20">
        <f t="shared" ca="1" si="5"/>
        <v>0.7</v>
      </c>
    </row>
    <row r="15" spans="1:13" ht="18.75" customHeight="1" x14ac:dyDescent="0.2">
      <c r="C15" s="28"/>
      <c r="D15" s="20">
        <v>10</v>
      </c>
      <c r="E15" s="79">
        <f t="shared" si="6"/>
        <v>10</v>
      </c>
      <c r="F15" s="80">
        <f t="shared" si="1"/>
        <v>0</v>
      </c>
      <c r="G15" s="80">
        <f t="shared" si="2"/>
        <v>0.05</v>
      </c>
      <c r="H15" s="80">
        <f t="shared" si="3"/>
        <v>100</v>
      </c>
      <c r="I15" s="77">
        <f t="shared" si="0"/>
        <v>100.05</v>
      </c>
      <c r="J15" s="81"/>
      <c r="K15" s="78">
        <f t="shared" si="4"/>
        <v>100.05</v>
      </c>
      <c r="L15" s="20">
        <f t="shared" ca="1" si="5"/>
        <v>0.7</v>
      </c>
    </row>
    <row r="16" spans="1:13" ht="21" thickBot="1" x14ac:dyDescent="0.25">
      <c r="D16" s="20">
        <v>11</v>
      </c>
      <c r="E16" s="79" t="str">
        <f t="shared" si="6"/>
        <v xml:space="preserve"> </v>
      </c>
      <c r="F16" s="80" t="str">
        <f t="shared" si="1"/>
        <v xml:space="preserve"> </v>
      </c>
      <c r="G16" s="80" t="str">
        <f t="shared" si="2"/>
        <v xml:space="preserve"> </v>
      </c>
      <c r="H16" s="80" t="str">
        <f t="shared" si="3"/>
        <v xml:space="preserve"> </v>
      </c>
      <c r="I16" s="77" t="str">
        <f t="shared" si="0"/>
        <v xml:space="preserve"> </v>
      </c>
      <c r="J16" s="81"/>
      <c r="K16" s="78" t="str">
        <f t="shared" si="4"/>
        <v xml:space="preserve"> </v>
      </c>
      <c r="L16" s="20" t="str">
        <f t="shared" si="5"/>
        <v xml:space="preserve"> </v>
      </c>
    </row>
    <row r="17" spans="1:12" x14ac:dyDescent="0.2">
      <c r="A17" s="959" t="s">
        <v>375</v>
      </c>
      <c r="B17" s="961" t="s">
        <v>374</v>
      </c>
      <c r="C17" s="951" t="s">
        <v>373</v>
      </c>
      <c r="D17" s="20">
        <v>12</v>
      </c>
      <c r="E17" s="79" t="str">
        <f t="shared" si="6"/>
        <v xml:space="preserve"> </v>
      </c>
      <c r="F17" s="80" t="str">
        <f t="shared" si="1"/>
        <v xml:space="preserve"> </v>
      </c>
      <c r="G17" s="80" t="str">
        <f t="shared" si="2"/>
        <v xml:space="preserve"> </v>
      </c>
      <c r="H17" s="80" t="str">
        <f t="shared" si="3"/>
        <v xml:space="preserve"> </v>
      </c>
      <c r="I17" s="77" t="str">
        <f t="shared" si="0"/>
        <v xml:space="preserve"> </v>
      </c>
      <c r="J17" s="81"/>
      <c r="K17" s="78" t="str">
        <f t="shared" si="4"/>
        <v xml:space="preserve"> </v>
      </c>
      <c r="L17" s="20" t="str">
        <f t="shared" si="5"/>
        <v xml:space="preserve"> </v>
      </c>
    </row>
    <row r="18" spans="1:12" ht="18.75" customHeight="1" x14ac:dyDescent="0.2">
      <c r="A18" s="960"/>
      <c r="B18" s="962"/>
      <c r="C18" s="952" t="s">
        <v>372</v>
      </c>
      <c r="D18" s="20">
        <v>13</v>
      </c>
      <c r="E18" s="79" t="str">
        <f t="shared" si="6"/>
        <v xml:space="preserve"> </v>
      </c>
      <c r="F18" s="80" t="str">
        <f t="shared" si="1"/>
        <v xml:space="preserve"> </v>
      </c>
      <c r="G18" s="80" t="str">
        <f t="shared" si="2"/>
        <v xml:space="preserve"> </v>
      </c>
      <c r="H18" s="80" t="str">
        <f t="shared" si="3"/>
        <v xml:space="preserve"> </v>
      </c>
      <c r="I18" s="77" t="str">
        <f t="shared" si="0"/>
        <v xml:space="preserve"> </v>
      </c>
      <c r="J18" s="81"/>
      <c r="K18" s="78" t="str">
        <f t="shared" si="4"/>
        <v xml:space="preserve"> </v>
      </c>
      <c r="L18" s="20" t="str">
        <f t="shared" si="5"/>
        <v xml:space="preserve"> </v>
      </c>
    </row>
    <row r="19" spans="1:12" x14ac:dyDescent="0.2">
      <c r="A19" s="27">
        <v>0</v>
      </c>
      <c r="B19" s="26">
        <v>6.0000000000000001E-3</v>
      </c>
      <c r="C19" s="25">
        <v>8.5000000000000006E-3</v>
      </c>
      <c r="D19" s="20">
        <v>14</v>
      </c>
      <c r="E19" s="79" t="str">
        <f t="shared" si="6"/>
        <v xml:space="preserve"> </v>
      </c>
      <c r="F19" s="80" t="str">
        <f t="shared" si="1"/>
        <v xml:space="preserve"> </v>
      </c>
      <c r="G19" s="80" t="str">
        <f t="shared" si="2"/>
        <v xml:space="preserve"> </v>
      </c>
      <c r="H19" s="80" t="str">
        <f t="shared" si="3"/>
        <v xml:space="preserve"> </v>
      </c>
      <c r="I19" s="77" t="str">
        <f t="shared" si="0"/>
        <v xml:space="preserve"> </v>
      </c>
      <c r="J19" s="81"/>
      <c r="K19" s="78" t="str">
        <f t="shared" si="4"/>
        <v xml:space="preserve"> </v>
      </c>
      <c r="L19" s="20" t="str">
        <f t="shared" si="5"/>
        <v xml:space="preserve"> </v>
      </c>
    </row>
    <row r="20" spans="1:12" x14ac:dyDescent="0.2">
      <c r="A20" s="27">
        <v>6.1</v>
      </c>
      <c r="B20" s="26">
        <v>7.0000000000000001E-3</v>
      </c>
      <c r="C20" s="25">
        <v>1.0999999999999999E-2</v>
      </c>
      <c r="D20" s="20">
        <v>15</v>
      </c>
      <c r="E20" s="79" t="str">
        <f t="shared" si="6"/>
        <v xml:space="preserve"> </v>
      </c>
      <c r="F20" s="80" t="str">
        <f t="shared" si="1"/>
        <v xml:space="preserve"> </v>
      </c>
      <c r="G20" s="80" t="str">
        <f t="shared" si="2"/>
        <v xml:space="preserve"> </v>
      </c>
      <c r="H20" s="80" t="str">
        <f t="shared" si="3"/>
        <v xml:space="preserve"> </v>
      </c>
      <c r="I20" s="77" t="str">
        <f>IF(E20&lt;&gt;" ",G20+H20," ")</f>
        <v xml:space="preserve"> </v>
      </c>
      <c r="J20" s="81"/>
      <c r="K20" s="78" t="str">
        <f t="shared" si="4"/>
        <v xml:space="preserve"> </v>
      </c>
      <c r="L20" s="20" t="str">
        <f t="shared" si="5"/>
        <v xml:space="preserve"> </v>
      </c>
    </row>
    <row r="21" spans="1:12" x14ac:dyDescent="0.2">
      <c r="A21" s="27">
        <v>12.1</v>
      </c>
      <c r="B21" s="26">
        <v>8.5000000000000006E-3</v>
      </c>
      <c r="C21" s="25">
        <v>1.3299999999999999E-2</v>
      </c>
      <c r="D21" s="20">
        <v>16</v>
      </c>
      <c r="E21" s="79" t="str">
        <f t="shared" si="6"/>
        <v xml:space="preserve"> </v>
      </c>
      <c r="F21" s="80" t="str">
        <f t="shared" si="1"/>
        <v xml:space="preserve"> </v>
      </c>
      <c r="G21" s="80" t="str">
        <f t="shared" si="2"/>
        <v xml:space="preserve"> </v>
      </c>
      <c r="H21" s="80" t="str">
        <f t="shared" si="3"/>
        <v xml:space="preserve"> </v>
      </c>
      <c r="I21" s="77" t="str">
        <f t="shared" si="0"/>
        <v xml:space="preserve"> </v>
      </c>
      <c r="J21" s="81"/>
      <c r="K21" s="78" t="str">
        <f t="shared" si="4"/>
        <v xml:space="preserve"> </v>
      </c>
      <c r="L21" s="20" t="str">
        <f t="shared" si="5"/>
        <v xml:space="preserve"> </v>
      </c>
    </row>
    <row r="22" spans="1:12" x14ac:dyDescent="0.2">
      <c r="A22" s="27">
        <v>18.100000000000001</v>
      </c>
      <c r="B22" s="26">
        <v>9.4999999999999998E-3</v>
      </c>
      <c r="C22" s="25">
        <v>1.55E-2</v>
      </c>
      <c r="D22" s="20">
        <v>17</v>
      </c>
      <c r="E22" s="79" t="str">
        <f t="shared" si="6"/>
        <v xml:space="preserve"> </v>
      </c>
      <c r="F22" s="80" t="str">
        <f t="shared" si="1"/>
        <v xml:space="preserve"> </v>
      </c>
      <c r="G22" s="80" t="str">
        <f t="shared" si="2"/>
        <v xml:space="preserve"> </v>
      </c>
      <c r="H22" s="80" t="str">
        <f t="shared" si="3"/>
        <v xml:space="preserve"> </v>
      </c>
      <c r="I22" s="77" t="str">
        <f t="shared" si="0"/>
        <v xml:space="preserve"> </v>
      </c>
      <c r="J22" s="81"/>
      <c r="K22" s="78" t="str">
        <f t="shared" si="4"/>
        <v xml:space="preserve"> </v>
      </c>
      <c r="L22" s="20" t="str">
        <f t="shared" si="5"/>
        <v xml:space="preserve"> </v>
      </c>
    </row>
    <row r="23" spans="1:12" ht="21" thickBot="1" x14ac:dyDescent="0.25">
      <c r="A23" s="24">
        <v>24.1</v>
      </c>
      <c r="B23" s="23">
        <v>1.2E-2</v>
      </c>
      <c r="C23" s="22">
        <v>2.3E-2</v>
      </c>
      <c r="D23" s="20">
        <v>18</v>
      </c>
      <c r="E23" s="79" t="str">
        <f t="shared" si="6"/>
        <v xml:space="preserve"> </v>
      </c>
      <c r="F23" s="80" t="str">
        <f t="shared" si="1"/>
        <v xml:space="preserve"> </v>
      </c>
      <c r="G23" s="80" t="str">
        <f t="shared" si="2"/>
        <v xml:space="preserve"> </v>
      </c>
      <c r="H23" s="80" t="str">
        <f t="shared" si="3"/>
        <v xml:space="preserve"> </v>
      </c>
      <c r="I23" s="77" t="str">
        <f t="shared" si="0"/>
        <v xml:space="preserve"> </v>
      </c>
      <c r="J23" s="81"/>
      <c r="K23" s="78" t="str">
        <f t="shared" si="4"/>
        <v xml:space="preserve"> </v>
      </c>
      <c r="L23" s="20" t="str">
        <f t="shared" si="5"/>
        <v xml:space="preserve"> </v>
      </c>
    </row>
    <row r="24" spans="1:12" x14ac:dyDescent="0.2">
      <c r="D24" s="20">
        <v>19</v>
      </c>
      <c r="E24" s="79" t="str">
        <f t="shared" si="6"/>
        <v xml:space="preserve"> </v>
      </c>
      <c r="F24" s="80" t="str">
        <f t="shared" si="1"/>
        <v xml:space="preserve"> </v>
      </c>
      <c r="G24" s="80" t="str">
        <f t="shared" si="2"/>
        <v xml:space="preserve"> </v>
      </c>
      <c r="H24" s="80" t="str">
        <f t="shared" si="3"/>
        <v xml:space="preserve"> </v>
      </c>
      <c r="I24" s="77" t="str">
        <f t="shared" si="0"/>
        <v xml:space="preserve"> </v>
      </c>
      <c r="J24" s="81"/>
      <c r="K24" s="78" t="str">
        <f t="shared" si="4"/>
        <v xml:space="preserve"> </v>
      </c>
      <c r="L24" s="20" t="str">
        <f t="shared" si="5"/>
        <v xml:space="preserve"> </v>
      </c>
    </row>
    <row r="25" spans="1:12" x14ac:dyDescent="0.2">
      <c r="D25" s="20">
        <v>20</v>
      </c>
      <c r="E25" s="79" t="str">
        <f t="shared" si="6"/>
        <v xml:space="preserve"> </v>
      </c>
      <c r="F25" s="80" t="str">
        <f t="shared" si="1"/>
        <v xml:space="preserve"> </v>
      </c>
      <c r="G25" s="80" t="str">
        <f t="shared" si="2"/>
        <v xml:space="preserve"> </v>
      </c>
      <c r="H25" s="80" t="str">
        <f t="shared" si="3"/>
        <v xml:space="preserve"> </v>
      </c>
      <c r="I25" s="77" t="str">
        <f t="shared" si="0"/>
        <v xml:space="preserve"> </v>
      </c>
      <c r="J25" s="81"/>
      <c r="K25" s="78" t="str">
        <f t="shared" si="4"/>
        <v xml:space="preserve"> </v>
      </c>
      <c r="L25" s="20" t="str">
        <f t="shared" si="5"/>
        <v xml:space="preserve"> </v>
      </c>
    </row>
    <row r="26" spans="1:12" x14ac:dyDescent="0.2">
      <c r="D26" s="20">
        <v>21</v>
      </c>
      <c r="E26" s="79" t="str">
        <f t="shared" si="6"/>
        <v xml:space="preserve"> </v>
      </c>
      <c r="F26" s="80" t="str">
        <f t="shared" si="1"/>
        <v xml:space="preserve"> </v>
      </c>
      <c r="G26" s="80" t="str">
        <f t="shared" si="2"/>
        <v xml:space="preserve"> </v>
      </c>
      <c r="H26" s="80" t="str">
        <f t="shared" si="3"/>
        <v xml:space="preserve"> </v>
      </c>
      <c r="I26" s="77" t="str">
        <f t="shared" si="0"/>
        <v xml:space="preserve"> </v>
      </c>
      <c r="J26" s="81"/>
      <c r="K26" s="78" t="str">
        <f t="shared" si="4"/>
        <v xml:space="preserve"> </v>
      </c>
      <c r="L26" s="20" t="str">
        <f t="shared" si="5"/>
        <v xml:space="preserve"> </v>
      </c>
    </row>
    <row r="27" spans="1:12" x14ac:dyDescent="0.2">
      <c r="D27" s="20">
        <v>22</v>
      </c>
      <c r="E27" s="79" t="str">
        <f t="shared" si="6"/>
        <v xml:space="preserve"> </v>
      </c>
      <c r="F27" s="80" t="str">
        <f t="shared" si="1"/>
        <v xml:space="preserve"> </v>
      </c>
      <c r="G27" s="80" t="str">
        <f t="shared" si="2"/>
        <v xml:space="preserve"> </v>
      </c>
      <c r="H27" s="80" t="str">
        <f t="shared" si="3"/>
        <v xml:space="preserve"> </v>
      </c>
      <c r="I27" s="77" t="str">
        <f t="shared" si="0"/>
        <v xml:space="preserve"> </v>
      </c>
      <c r="J27" s="81"/>
      <c r="K27" s="78" t="str">
        <f t="shared" si="4"/>
        <v xml:space="preserve"> </v>
      </c>
      <c r="L27" s="20" t="str">
        <f t="shared" si="5"/>
        <v xml:space="preserve"> </v>
      </c>
    </row>
    <row r="28" spans="1:12" x14ac:dyDescent="0.2">
      <c r="D28" s="20">
        <v>23</v>
      </c>
      <c r="E28" s="79" t="str">
        <f t="shared" si="6"/>
        <v xml:space="preserve"> </v>
      </c>
      <c r="F28" s="80" t="str">
        <f t="shared" si="1"/>
        <v xml:space="preserve"> </v>
      </c>
      <c r="G28" s="80" t="str">
        <f t="shared" si="2"/>
        <v xml:space="preserve"> </v>
      </c>
      <c r="H28" s="80" t="str">
        <f t="shared" si="3"/>
        <v xml:space="preserve"> </v>
      </c>
      <c r="I28" s="77" t="str">
        <f t="shared" si="0"/>
        <v xml:space="preserve"> </v>
      </c>
      <c r="J28" s="81"/>
      <c r="K28" s="78" t="str">
        <f t="shared" si="4"/>
        <v xml:space="preserve"> </v>
      </c>
      <c r="L28" s="20" t="str">
        <f t="shared" si="5"/>
        <v xml:space="preserve"> </v>
      </c>
    </row>
    <row r="29" spans="1:12" x14ac:dyDescent="0.2">
      <c r="A29" s="21"/>
      <c r="D29" s="20">
        <v>24</v>
      </c>
      <c r="E29" s="79" t="str">
        <f t="shared" si="6"/>
        <v xml:space="preserve"> </v>
      </c>
      <c r="F29" s="80" t="str">
        <f t="shared" si="1"/>
        <v xml:space="preserve"> </v>
      </c>
      <c r="G29" s="80" t="str">
        <f t="shared" si="2"/>
        <v xml:space="preserve"> </v>
      </c>
      <c r="H29" s="80" t="str">
        <f t="shared" si="3"/>
        <v xml:space="preserve"> </v>
      </c>
      <c r="I29" s="77" t="str">
        <f t="shared" si="0"/>
        <v xml:space="preserve"> </v>
      </c>
      <c r="J29" s="81"/>
      <c r="K29" s="78" t="str">
        <f t="shared" si="4"/>
        <v xml:space="preserve"> </v>
      </c>
      <c r="L29" s="20" t="str">
        <f t="shared" si="5"/>
        <v xml:space="preserve"> </v>
      </c>
    </row>
    <row r="30" spans="1:12" x14ac:dyDescent="0.2">
      <c r="A30" s="21"/>
      <c r="D30" s="20">
        <v>25</v>
      </c>
      <c r="E30" s="79" t="str">
        <f t="shared" si="6"/>
        <v xml:space="preserve"> </v>
      </c>
      <c r="F30" s="80" t="str">
        <f t="shared" si="1"/>
        <v xml:space="preserve"> </v>
      </c>
      <c r="G30" s="80" t="str">
        <f t="shared" si="2"/>
        <v xml:space="preserve"> </v>
      </c>
      <c r="H30" s="80" t="str">
        <f t="shared" si="3"/>
        <v xml:space="preserve"> </v>
      </c>
      <c r="I30" s="77" t="str">
        <f t="shared" si="0"/>
        <v xml:space="preserve"> </v>
      </c>
      <c r="J30" s="81"/>
      <c r="K30" s="78" t="str">
        <f t="shared" si="4"/>
        <v xml:space="preserve"> </v>
      </c>
      <c r="L30" s="20" t="str">
        <f t="shared" si="5"/>
        <v xml:space="preserve"> </v>
      </c>
    </row>
    <row r="31" spans="1:12" x14ac:dyDescent="0.2">
      <c r="A31" s="21"/>
      <c r="D31" s="20">
        <v>26</v>
      </c>
      <c r="E31" s="79" t="str">
        <f t="shared" si="6"/>
        <v xml:space="preserve"> </v>
      </c>
      <c r="F31" s="80" t="str">
        <f t="shared" si="1"/>
        <v xml:space="preserve"> </v>
      </c>
      <c r="G31" s="80" t="str">
        <f t="shared" si="2"/>
        <v xml:space="preserve"> </v>
      </c>
      <c r="H31" s="80" t="str">
        <f t="shared" si="3"/>
        <v xml:space="preserve"> </v>
      </c>
      <c r="I31" s="77" t="str">
        <f t="shared" si="0"/>
        <v xml:space="preserve"> </v>
      </c>
      <c r="J31" s="81"/>
      <c r="K31" s="78" t="str">
        <f t="shared" si="4"/>
        <v xml:space="preserve"> </v>
      </c>
      <c r="L31" s="20" t="str">
        <f t="shared" si="5"/>
        <v xml:space="preserve"> </v>
      </c>
    </row>
    <row r="32" spans="1:12" x14ac:dyDescent="0.2">
      <c r="A32" s="21"/>
      <c r="D32" s="20">
        <v>27</v>
      </c>
      <c r="E32" s="79" t="str">
        <f t="shared" si="6"/>
        <v xml:space="preserve"> </v>
      </c>
      <c r="F32" s="80" t="str">
        <f t="shared" si="1"/>
        <v xml:space="preserve"> </v>
      </c>
      <c r="G32" s="80" t="str">
        <f t="shared" si="2"/>
        <v xml:space="preserve"> </v>
      </c>
      <c r="H32" s="80" t="str">
        <f t="shared" si="3"/>
        <v xml:space="preserve"> </v>
      </c>
      <c r="I32" s="77" t="str">
        <f t="shared" si="0"/>
        <v xml:space="preserve"> </v>
      </c>
      <c r="J32" s="81"/>
      <c r="K32" s="78" t="str">
        <f t="shared" si="4"/>
        <v xml:space="preserve"> </v>
      </c>
      <c r="L32" s="20" t="str">
        <f t="shared" si="5"/>
        <v xml:space="preserve"> </v>
      </c>
    </row>
    <row r="33" spans="1:12" x14ac:dyDescent="0.2">
      <c r="A33" s="21"/>
      <c r="D33" s="20">
        <v>28</v>
      </c>
      <c r="E33" s="79" t="str">
        <f t="shared" si="6"/>
        <v xml:space="preserve"> </v>
      </c>
      <c r="F33" s="80" t="str">
        <f t="shared" si="1"/>
        <v xml:space="preserve"> </v>
      </c>
      <c r="G33" s="80" t="str">
        <f t="shared" si="2"/>
        <v xml:space="preserve"> </v>
      </c>
      <c r="H33" s="80" t="str">
        <f t="shared" si="3"/>
        <v xml:space="preserve"> </v>
      </c>
      <c r="I33" s="77" t="str">
        <f t="shared" si="0"/>
        <v xml:space="preserve"> </v>
      </c>
      <c r="J33" s="81"/>
      <c r="K33" s="78" t="str">
        <f t="shared" si="4"/>
        <v xml:space="preserve"> </v>
      </c>
      <c r="L33" s="20" t="str">
        <f t="shared" si="5"/>
        <v xml:space="preserve"> </v>
      </c>
    </row>
    <row r="34" spans="1:12" x14ac:dyDescent="0.2">
      <c r="D34" s="20">
        <v>29</v>
      </c>
      <c r="E34" s="79" t="str">
        <f t="shared" si="6"/>
        <v xml:space="preserve"> </v>
      </c>
      <c r="F34" s="80" t="str">
        <f t="shared" si="1"/>
        <v xml:space="preserve"> </v>
      </c>
      <c r="G34" s="80" t="str">
        <f t="shared" si="2"/>
        <v xml:space="preserve"> </v>
      </c>
      <c r="H34" s="80" t="str">
        <f t="shared" si="3"/>
        <v xml:space="preserve"> </v>
      </c>
      <c r="I34" s="77" t="str">
        <f t="shared" si="0"/>
        <v xml:space="preserve"> </v>
      </c>
      <c r="J34" s="81"/>
      <c r="K34" s="78" t="str">
        <f t="shared" si="4"/>
        <v xml:space="preserve"> </v>
      </c>
      <c r="L34" s="20" t="str">
        <f t="shared" si="5"/>
        <v xml:space="preserve"> </v>
      </c>
    </row>
    <row r="35" spans="1:12" x14ac:dyDescent="0.2">
      <c r="D35" s="20">
        <v>30</v>
      </c>
      <c r="E35" s="79" t="str">
        <f t="shared" si="6"/>
        <v xml:space="preserve"> </v>
      </c>
      <c r="F35" s="80" t="str">
        <f t="shared" si="1"/>
        <v xml:space="preserve"> </v>
      </c>
      <c r="G35" s="80" t="str">
        <f t="shared" si="2"/>
        <v xml:space="preserve"> </v>
      </c>
      <c r="H35" s="80" t="str">
        <f t="shared" si="3"/>
        <v xml:space="preserve"> </v>
      </c>
      <c r="I35" s="77" t="str">
        <f t="shared" si="0"/>
        <v xml:space="preserve"> </v>
      </c>
      <c r="J35" s="81"/>
      <c r="K35" s="78" t="str">
        <f t="shared" si="4"/>
        <v xml:space="preserve"> </v>
      </c>
      <c r="L35" s="20" t="str">
        <f t="shared" si="5"/>
        <v xml:space="preserve"> </v>
      </c>
    </row>
    <row r="36" spans="1:12" x14ac:dyDescent="0.2">
      <c r="D36" s="20">
        <v>31</v>
      </c>
      <c r="E36" s="79" t="str">
        <f t="shared" si="6"/>
        <v xml:space="preserve"> </v>
      </c>
      <c r="F36" s="80" t="str">
        <f t="shared" si="1"/>
        <v xml:space="preserve"> </v>
      </c>
      <c r="G36" s="80" t="str">
        <f t="shared" si="2"/>
        <v xml:space="preserve"> </v>
      </c>
      <c r="H36" s="80" t="str">
        <f t="shared" si="3"/>
        <v xml:space="preserve"> </v>
      </c>
      <c r="I36" s="77" t="str">
        <f t="shared" si="0"/>
        <v xml:space="preserve"> </v>
      </c>
      <c r="J36" s="81"/>
      <c r="K36" s="78" t="str">
        <f t="shared" si="4"/>
        <v xml:space="preserve"> </v>
      </c>
      <c r="L36" s="20" t="str">
        <f t="shared" si="5"/>
        <v xml:space="preserve"> </v>
      </c>
    </row>
    <row r="37" spans="1:12" x14ac:dyDescent="0.2">
      <c r="D37" s="20">
        <v>32</v>
      </c>
      <c r="E37" s="79" t="str">
        <f t="shared" si="6"/>
        <v xml:space="preserve"> </v>
      </c>
      <c r="F37" s="80" t="str">
        <f t="shared" si="1"/>
        <v xml:space="preserve"> </v>
      </c>
      <c r="G37" s="80" t="str">
        <f t="shared" si="2"/>
        <v xml:space="preserve"> </v>
      </c>
      <c r="H37" s="80" t="str">
        <f t="shared" si="3"/>
        <v xml:space="preserve"> </v>
      </c>
      <c r="I37" s="77" t="str">
        <f t="shared" si="0"/>
        <v xml:space="preserve"> </v>
      </c>
      <c r="J37" s="81"/>
      <c r="K37" s="78" t="str">
        <f t="shared" si="4"/>
        <v xml:space="preserve"> </v>
      </c>
      <c r="L37" s="20" t="str">
        <f t="shared" si="5"/>
        <v xml:space="preserve"> </v>
      </c>
    </row>
    <row r="38" spans="1:12" x14ac:dyDescent="0.2">
      <c r="C38" s="21"/>
      <c r="D38" s="20">
        <v>33</v>
      </c>
      <c r="E38" s="79" t="str">
        <f t="shared" si="6"/>
        <v xml:space="preserve"> </v>
      </c>
      <c r="F38" s="80" t="str">
        <f t="shared" si="1"/>
        <v xml:space="preserve"> </v>
      </c>
      <c r="G38" s="80" t="str">
        <f t="shared" si="2"/>
        <v xml:space="preserve"> </v>
      </c>
      <c r="H38" s="80" t="str">
        <f t="shared" si="3"/>
        <v xml:space="preserve"> </v>
      </c>
      <c r="I38" s="77" t="str">
        <f t="shared" ref="I38:I65" si="7">IF(E38&lt;&gt;" ",G38+H38," ")</f>
        <v xml:space="preserve"> </v>
      </c>
      <c r="J38" s="81"/>
      <c r="K38" s="78" t="str">
        <f t="shared" ref="K38:K65" si="8">IF(E38&lt;&gt;" ",I38+J38," ")</f>
        <v xml:space="preserve"> </v>
      </c>
      <c r="L38" s="20" t="str">
        <f t="shared" si="5"/>
        <v xml:space="preserve"> </v>
      </c>
    </row>
    <row r="39" spans="1:12" x14ac:dyDescent="0.2">
      <c r="B39" s="21"/>
      <c r="C39" s="21"/>
      <c r="D39" s="20">
        <v>34</v>
      </c>
      <c r="E39" s="79" t="str">
        <f t="shared" ref="E39:E65" si="9">IF(D39&lt;$B$7+1,D39," ")</f>
        <v xml:space="preserve"> </v>
      </c>
      <c r="F39" s="80" t="str">
        <f t="shared" ref="F39:F65" si="10">IF(E39&lt;&gt;" ",F38-H39," ")</f>
        <v xml:space="preserve"> </v>
      </c>
      <c r="G39" s="80" t="str">
        <f t="shared" ref="G39:G65" si="11">IF(E39&lt;&gt;" ",F38*$B$6/12/100," ")</f>
        <v xml:space="preserve"> </v>
      </c>
      <c r="H39" s="80" t="str">
        <f t="shared" ref="H39:H65" si="12">IF(E39&lt;&gt;" ",$B$5/$B$7," ")</f>
        <v xml:space="preserve"> </v>
      </c>
      <c r="I39" s="77" t="str">
        <f t="shared" si="7"/>
        <v xml:space="preserve"> </v>
      </c>
      <c r="J39" s="81"/>
      <c r="K39" s="78" t="str">
        <f t="shared" si="8"/>
        <v xml:space="preserve"> </v>
      </c>
      <c r="L39" s="20" t="str">
        <f t="shared" si="5"/>
        <v xml:space="preserve"> </v>
      </c>
    </row>
    <row r="40" spans="1:12" x14ac:dyDescent="0.2">
      <c r="B40" s="21"/>
      <c r="C40" s="21"/>
      <c r="D40" s="20">
        <v>35</v>
      </c>
      <c r="E40" s="79" t="str">
        <f t="shared" si="9"/>
        <v xml:space="preserve"> </v>
      </c>
      <c r="F40" s="80" t="str">
        <f t="shared" si="10"/>
        <v xml:space="preserve"> </v>
      </c>
      <c r="G40" s="80" t="str">
        <f t="shared" si="11"/>
        <v xml:space="preserve"> </v>
      </c>
      <c r="H40" s="80" t="str">
        <f t="shared" si="12"/>
        <v xml:space="preserve"> </v>
      </c>
      <c r="I40" s="77" t="str">
        <f t="shared" si="7"/>
        <v xml:space="preserve"> </v>
      </c>
      <c r="J40" s="81"/>
      <c r="K40" s="78" t="str">
        <f t="shared" si="8"/>
        <v xml:space="preserve"> </v>
      </c>
      <c r="L40" s="20" t="str">
        <f t="shared" si="5"/>
        <v xml:space="preserve"> </v>
      </c>
    </row>
    <row r="41" spans="1:12" x14ac:dyDescent="0.2">
      <c r="B41" s="21"/>
      <c r="C41" s="21"/>
      <c r="D41" s="20">
        <v>36</v>
      </c>
      <c r="E41" s="79" t="str">
        <f t="shared" si="9"/>
        <v xml:space="preserve"> </v>
      </c>
      <c r="F41" s="80" t="str">
        <f t="shared" si="10"/>
        <v xml:space="preserve"> </v>
      </c>
      <c r="G41" s="80" t="str">
        <f t="shared" si="11"/>
        <v xml:space="preserve"> </v>
      </c>
      <c r="H41" s="80" t="str">
        <f t="shared" si="12"/>
        <v xml:space="preserve"> </v>
      </c>
      <c r="I41" s="77" t="str">
        <f t="shared" si="7"/>
        <v xml:space="preserve"> </v>
      </c>
      <c r="J41" s="81"/>
      <c r="K41" s="78" t="str">
        <f t="shared" si="8"/>
        <v xml:space="preserve"> </v>
      </c>
      <c r="L41" s="20" t="str">
        <f t="shared" si="5"/>
        <v xml:space="preserve"> </v>
      </c>
    </row>
    <row r="42" spans="1:12" x14ac:dyDescent="0.2">
      <c r="B42" s="21"/>
      <c r="C42" s="21"/>
      <c r="D42" s="20">
        <v>37</v>
      </c>
      <c r="E42" s="79" t="str">
        <f t="shared" si="9"/>
        <v xml:space="preserve"> </v>
      </c>
      <c r="F42" s="80" t="str">
        <f t="shared" si="10"/>
        <v xml:space="preserve"> </v>
      </c>
      <c r="G42" s="80" t="str">
        <f t="shared" si="11"/>
        <v xml:space="preserve"> </v>
      </c>
      <c r="H42" s="80" t="str">
        <f t="shared" si="12"/>
        <v xml:space="preserve"> </v>
      </c>
      <c r="I42" s="77" t="str">
        <f t="shared" si="7"/>
        <v xml:space="preserve"> </v>
      </c>
      <c r="J42" s="81"/>
      <c r="K42" s="78" t="str">
        <f t="shared" si="8"/>
        <v xml:space="preserve"> </v>
      </c>
      <c r="L42" s="20" t="str">
        <f t="shared" si="5"/>
        <v xml:space="preserve"> </v>
      </c>
    </row>
    <row r="43" spans="1:12" x14ac:dyDescent="0.2">
      <c r="D43" s="20">
        <v>38</v>
      </c>
      <c r="E43" s="79" t="str">
        <f t="shared" si="9"/>
        <v xml:space="preserve"> </v>
      </c>
      <c r="F43" s="80" t="str">
        <f t="shared" si="10"/>
        <v xml:space="preserve"> </v>
      </c>
      <c r="G43" s="80" t="str">
        <f t="shared" si="11"/>
        <v xml:space="preserve"> </v>
      </c>
      <c r="H43" s="80" t="str">
        <f t="shared" si="12"/>
        <v xml:space="preserve"> </v>
      </c>
      <c r="I43" s="77" t="str">
        <f t="shared" si="7"/>
        <v xml:space="preserve"> </v>
      </c>
      <c r="J43" s="81"/>
      <c r="K43" s="78" t="str">
        <f t="shared" si="8"/>
        <v xml:space="preserve"> </v>
      </c>
      <c r="L43" s="20" t="str">
        <f t="shared" si="5"/>
        <v xml:space="preserve"> </v>
      </c>
    </row>
    <row r="44" spans="1:12" x14ac:dyDescent="0.2">
      <c r="D44" s="20">
        <v>39</v>
      </c>
      <c r="E44" s="79" t="str">
        <f t="shared" si="9"/>
        <v xml:space="preserve"> </v>
      </c>
      <c r="F44" s="80" t="str">
        <f t="shared" si="10"/>
        <v xml:space="preserve"> </v>
      </c>
      <c r="G44" s="80" t="str">
        <f t="shared" si="11"/>
        <v xml:space="preserve"> </v>
      </c>
      <c r="H44" s="80" t="str">
        <f t="shared" si="12"/>
        <v xml:space="preserve"> </v>
      </c>
      <c r="I44" s="77" t="str">
        <f t="shared" si="7"/>
        <v xml:space="preserve"> </v>
      </c>
      <c r="J44" s="81"/>
      <c r="K44" s="78" t="str">
        <f t="shared" si="8"/>
        <v xml:space="preserve"> </v>
      </c>
      <c r="L44" s="20" t="str">
        <f t="shared" si="5"/>
        <v xml:space="preserve"> </v>
      </c>
    </row>
    <row r="45" spans="1:12" x14ac:dyDescent="0.2">
      <c r="D45" s="20">
        <v>40</v>
      </c>
      <c r="E45" s="79" t="str">
        <f t="shared" si="9"/>
        <v xml:space="preserve"> </v>
      </c>
      <c r="F45" s="80" t="str">
        <f t="shared" si="10"/>
        <v xml:space="preserve"> </v>
      </c>
      <c r="G45" s="80" t="str">
        <f t="shared" si="11"/>
        <v xml:space="preserve"> </v>
      </c>
      <c r="H45" s="80" t="str">
        <f t="shared" si="12"/>
        <v xml:space="preserve"> </v>
      </c>
      <c r="I45" s="77" t="str">
        <f t="shared" si="7"/>
        <v xml:space="preserve"> </v>
      </c>
      <c r="J45" s="81"/>
      <c r="K45" s="78" t="str">
        <f t="shared" si="8"/>
        <v xml:space="preserve"> </v>
      </c>
      <c r="L45" s="20" t="str">
        <f t="shared" si="5"/>
        <v xml:space="preserve"> </v>
      </c>
    </row>
    <row r="46" spans="1:12" x14ac:dyDescent="0.2">
      <c r="D46" s="20">
        <v>41</v>
      </c>
      <c r="E46" s="79" t="str">
        <f t="shared" si="9"/>
        <v xml:space="preserve"> </v>
      </c>
      <c r="F46" s="80" t="str">
        <f t="shared" si="10"/>
        <v xml:space="preserve"> </v>
      </c>
      <c r="G46" s="80" t="str">
        <f t="shared" si="11"/>
        <v xml:space="preserve"> </v>
      </c>
      <c r="H46" s="80" t="str">
        <f t="shared" si="12"/>
        <v xml:space="preserve"> </v>
      </c>
      <c r="I46" s="77" t="str">
        <f t="shared" si="7"/>
        <v xml:space="preserve"> </v>
      </c>
      <c r="J46" s="81"/>
      <c r="K46" s="78" t="str">
        <f t="shared" si="8"/>
        <v xml:space="preserve"> </v>
      </c>
      <c r="L46" s="20" t="str">
        <f t="shared" si="5"/>
        <v xml:space="preserve"> </v>
      </c>
    </row>
    <row r="47" spans="1:12" x14ac:dyDescent="0.2">
      <c r="D47" s="20">
        <v>42</v>
      </c>
      <c r="E47" s="79" t="str">
        <f t="shared" si="9"/>
        <v xml:space="preserve"> </v>
      </c>
      <c r="F47" s="80" t="str">
        <f t="shared" si="10"/>
        <v xml:space="preserve"> </v>
      </c>
      <c r="G47" s="80" t="str">
        <f t="shared" si="11"/>
        <v xml:space="preserve"> </v>
      </c>
      <c r="H47" s="80" t="str">
        <f t="shared" si="12"/>
        <v xml:space="preserve"> </v>
      </c>
      <c r="I47" s="77" t="str">
        <f t="shared" si="7"/>
        <v xml:space="preserve"> </v>
      </c>
      <c r="J47" s="81"/>
      <c r="K47" s="78" t="str">
        <f t="shared" si="8"/>
        <v xml:space="preserve"> </v>
      </c>
      <c r="L47" s="20" t="str">
        <f t="shared" si="5"/>
        <v xml:space="preserve"> </v>
      </c>
    </row>
    <row r="48" spans="1:12" x14ac:dyDescent="0.2">
      <c r="D48" s="20">
        <v>43</v>
      </c>
      <c r="E48" s="79" t="str">
        <f t="shared" si="9"/>
        <v xml:space="preserve"> </v>
      </c>
      <c r="F48" s="80" t="str">
        <f t="shared" si="10"/>
        <v xml:space="preserve"> </v>
      </c>
      <c r="G48" s="80" t="str">
        <f t="shared" si="11"/>
        <v xml:space="preserve"> </v>
      </c>
      <c r="H48" s="80" t="str">
        <f t="shared" si="12"/>
        <v xml:space="preserve"> </v>
      </c>
      <c r="I48" s="77" t="str">
        <f t="shared" si="7"/>
        <v xml:space="preserve"> </v>
      </c>
      <c r="J48" s="81"/>
      <c r="K48" s="78" t="str">
        <f t="shared" si="8"/>
        <v xml:space="preserve"> </v>
      </c>
      <c r="L48" s="20" t="str">
        <f t="shared" si="5"/>
        <v xml:space="preserve"> </v>
      </c>
    </row>
    <row r="49" spans="4:12" x14ac:dyDescent="0.2">
      <c r="D49" s="20">
        <v>44</v>
      </c>
      <c r="E49" s="79" t="str">
        <f t="shared" si="9"/>
        <v xml:space="preserve"> </v>
      </c>
      <c r="F49" s="80" t="str">
        <f t="shared" si="10"/>
        <v xml:space="preserve"> </v>
      </c>
      <c r="G49" s="80" t="str">
        <f t="shared" si="11"/>
        <v xml:space="preserve"> </v>
      </c>
      <c r="H49" s="80" t="str">
        <f t="shared" si="12"/>
        <v xml:space="preserve"> </v>
      </c>
      <c r="I49" s="77" t="str">
        <f t="shared" si="7"/>
        <v xml:space="preserve"> </v>
      </c>
      <c r="J49" s="81"/>
      <c r="K49" s="78" t="str">
        <f t="shared" si="8"/>
        <v xml:space="preserve"> </v>
      </c>
      <c r="L49" s="20" t="str">
        <f t="shared" si="5"/>
        <v xml:space="preserve"> </v>
      </c>
    </row>
    <row r="50" spans="4:12" x14ac:dyDescent="0.2">
      <c r="D50" s="20">
        <v>45</v>
      </c>
      <c r="E50" s="79" t="str">
        <f t="shared" si="9"/>
        <v xml:space="preserve"> </v>
      </c>
      <c r="F50" s="80" t="str">
        <f t="shared" si="10"/>
        <v xml:space="preserve"> </v>
      </c>
      <c r="G50" s="80" t="str">
        <f t="shared" si="11"/>
        <v xml:space="preserve"> </v>
      </c>
      <c r="H50" s="80" t="str">
        <f t="shared" si="12"/>
        <v xml:space="preserve"> </v>
      </c>
      <c r="I50" s="77" t="str">
        <f t="shared" si="7"/>
        <v xml:space="preserve"> </v>
      </c>
      <c r="J50" s="81"/>
      <c r="K50" s="78" t="str">
        <f t="shared" si="8"/>
        <v xml:space="preserve"> </v>
      </c>
      <c r="L50" s="20" t="str">
        <f t="shared" si="5"/>
        <v xml:space="preserve"> </v>
      </c>
    </row>
    <row r="51" spans="4:12" x14ac:dyDescent="0.2">
      <c r="D51" s="20">
        <v>46</v>
      </c>
      <c r="E51" s="79" t="str">
        <f t="shared" si="9"/>
        <v xml:space="preserve"> </v>
      </c>
      <c r="F51" s="80" t="str">
        <f t="shared" si="10"/>
        <v xml:space="preserve"> </v>
      </c>
      <c r="G51" s="80" t="str">
        <f t="shared" si="11"/>
        <v xml:space="preserve"> </v>
      </c>
      <c r="H51" s="80" t="str">
        <f t="shared" si="12"/>
        <v xml:space="preserve"> </v>
      </c>
      <c r="I51" s="77" t="str">
        <f t="shared" si="7"/>
        <v xml:space="preserve"> </v>
      </c>
      <c r="J51" s="81"/>
      <c r="K51" s="78" t="str">
        <f t="shared" si="8"/>
        <v xml:space="preserve"> </v>
      </c>
      <c r="L51" s="20" t="str">
        <f t="shared" si="5"/>
        <v xml:space="preserve"> </v>
      </c>
    </row>
    <row r="52" spans="4:12" x14ac:dyDescent="0.2">
      <c r="D52" s="20">
        <v>47</v>
      </c>
      <c r="E52" s="79" t="str">
        <f t="shared" si="9"/>
        <v xml:space="preserve"> </v>
      </c>
      <c r="F52" s="80" t="str">
        <f t="shared" si="10"/>
        <v xml:space="preserve"> </v>
      </c>
      <c r="G52" s="80" t="str">
        <f t="shared" si="11"/>
        <v xml:space="preserve"> </v>
      </c>
      <c r="H52" s="80" t="str">
        <f t="shared" si="12"/>
        <v xml:space="preserve"> </v>
      </c>
      <c r="I52" s="77" t="str">
        <f t="shared" si="7"/>
        <v xml:space="preserve"> </v>
      </c>
      <c r="J52" s="81"/>
      <c r="K52" s="78" t="str">
        <f t="shared" si="8"/>
        <v xml:space="preserve"> </v>
      </c>
      <c r="L52" s="20" t="str">
        <f t="shared" si="5"/>
        <v xml:space="preserve"> </v>
      </c>
    </row>
    <row r="53" spans="4:12" x14ac:dyDescent="0.2">
      <c r="D53" s="20">
        <v>48</v>
      </c>
      <c r="E53" s="79" t="str">
        <f t="shared" si="9"/>
        <v xml:space="preserve"> </v>
      </c>
      <c r="F53" s="80" t="str">
        <f t="shared" si="10"/>
        <v xml:space="preserve"> </v>
      </c>
      <c r="G53" s="80" t="str">
        <f t="shared" si="11"/>
        <v xml:space="preserve"> </v>
      </c>
      <c r="H53" s="80" t="str">
        <f t="shared" si="12"/>
        <v xml:space="preserve"> </v>
      </c>
      <c r="I53" s="77" t="str">
        <f t="shared" si="7"/>
        <v xml:space="preserve"> </v>
      </c>
      <c r="J53" s="81"/>
      <c r="K53" s="78" t="str">
        <f t="shared" si="8"/>
        <v xml:space="preserve"> </v>
      </c>
      <c r="L53" s="20" t="str">
        <f t="shared" si="5"/>
        <v xml:space="preserve"> </v>
      </c>
    </row>
    <row r="54" spans="4:12" x14ac:dyDescent="0.2">
      <c r="D54" s="20">
        <v>49</v>
      </c>
      <c r="E54" s="79" t="str">
        <f t="shared" si="9"/>
        <v xml:space="preserve"> </v>
      </c>
      <c r="F54" s="80" t="str">
        <f t="shared" si="10"/>
        <v xml:space="preserve"> </v>
      </c>
      <c r="G54" s="80" t="str">
        <f t="shared" si="11"/>
        <v xml:space="preserve"> </v>
      </c>
      <c r="H54" s="80" t="str">
        <f t="shared" si="12"/>
        <v xml:space="preserve"> </v>
      </c>
      <c r="I54" s="77" t="str">
        <f t="shared" si="7"/>
        <v xml:space="preserve"> </v>
      </c>
      <c r="J54" s="81"/>
      <c r="K54" s="78" t="str">
        <f t="shared" si="8"/>
        <v xml:space="preserve"> </v>
      </c>
      <c r="L54" s="20" t="str">
        <f t="shared" si="5"/>
        <v xml:space="preserve"> </v>
      </c>
    </row>
    <row r="55" spans="4:12" x14ac:dyDescent="0.2">
      <c r="D55" s="20">
        <v>50</v>
      </c>
      <c r="E55" s="79" t="str">
        <f t="shared" si="9"/>
        <v xml:space="preserve"> </v>
      </c>
      <c r="F55" s="80" t="str">
        <f t="shared" si="10"/>
        <v xml:space="preserve"> </v>
      </c>
      <c r="G55" s="80" t="str">
        <f t="shared" si="11"/>
        <v xml:space="preserve"> </v>
      </c>
      <c r="H55" s="80" t="str">
        <f t="shared" si="12"/>
        <v xml:space="preserve"> </v>
      </c>
      <c r="I55" s="77" t="str">
        <f t="shared" si="7"/>
        <v xml:space="preserve"> </v>
      </c>
      <c r="J55" s="81"/>
      <c r="K55" s="78" t="str">
        <f t="shared" si="8"/>
        <v xml:space="preserve"> </v>
      </c>
      <c r="L55" s="20" t="str">
        <f t="shared" si="5"/>
        <v xml:space="preserve"> </v>
      </c>
    </row>
    <row r="56" spans="4:12" x14ac:dyDescent="0.2">
      <c r="D56" s="20">
        <v>51</v>
      </c>
      <c r="E56" s="79" t="str">
        <f t="shared" si="9"/>
        <v xml:space="preserve"> </v>
      </c>
      <c r="F56" s="80" t="str">
        <f t="shared" si="10"/>
        <v xml:space="preserve"> </v>
      </c>
      <c r="G56" s="80" t="str">
        <f t="shared" si="11"/>
        <v xml:space="preserve"> </v>
      </c>
      <c r="H56" s="80" t="str">
        <f t="shared" si="12"/>
        <v xml:space="preserve"> </v>
      </c>
      <c r="I56" s="77" t="str">
        <f t="shared" si="7"/>
        <v xml:space="preserve"> </v>
      </c>
      <c r="J56" s="81"/>
      <c r="K56" s="78" t="str">
        <f t="shared" si="8"/>
        <v xml:space="preserve"> </v>
      </c>
      <c r="L56" s="20" t="str">
        <f t="shared" si="5"/>
        <v xml:space="preserve"> </v>
      </c>
    </row>
    <row r="57" spans="4:12" x14ac:dyDescent="0.2">
      <c r="D57" s="20">
        <v>52</v>
      </c>
      <c r="E57" s="79" t="str">
        <f t="shared" si="9"/>
        <v xml:space="preserve"> </v>
      </c>
      <c r="F57" s="80" t="str">
        <f t="shared" si="10"/>
        <v xml:space="preserve"> </v>
      </c>
      <c r="G57" s="80" t="str">
        <f t="shared" si="11"/>
        <v xml:space="preserve"> </v>
      </c>
      <c r="H57" s="80" t="str">
        <f t="shared" si="12"/>
        <v xml:space="preserve"> </v>
      </c>
      <c r="I57" s="77" t="str">
        <f t="shared" si="7"/>
        <v xml:space="preserve"> </v>
      </c>
      <c r="J57" s="81"/>
      <c r="K57" s="78" t="str">
        <f t="shared" si="8"/>
        <v xml:space="preserve"> </v>
      </c>
      <c r="L57" s="20" t="str">
        <f t="shared" si="5"/>
        <v xml:space="preserve"> </v>
      </c>
    </row>
    <row r="58" spans="4:12" x14ac:dyDescent="0.2">
      <c r="D58" s="20">
        <v>53</v>
      </c>
      <c r="E58" s="79" t="str">
        <f t="shared" si="9"/>
        <v xml:space="preserve"> </v>
      </c>
      <c r="F58" s="80" t="str">
        <f t="shared" si="10"/>
        <v xml:space="preserve"> </v>
      </c>
      <c r="G58" s="80" t="str">
        <f t="shared" si="11"/>
        <v xml:space="preserve"> </v>
      </c>
      <c r="H58" s="80" t="str">
        <f t="shared" si="12"/>
        <v xml:space="preserve"> </v>
      </c>
      <c r="I58" s="77" t="str">
        <f t="shared" si="7"/>
        <v xml:space="preserve"> </v>
      </c>
      <c r="J58" s="81"/>
      <c r="K58" s="78" t="str">
        <f t="shared" si="8"/>
        <v xml:space="preserve"> </v>
      </c>
      <c r="L58" s="20" t="str">
        <f t="shared" si="5"/>
        <v xml:space="preserve"> </v>
      </c>
    </row>
    <row r="59" spans="4:12" x14ac:dyDescent="0.2">
      <c r="D59" s="20">
        <v>54</v>
      </c>
      <c r="E59" s="79" t="str">
        <f t="shared" si="9"/>
        <v xml:space="preserve"> </v>
      </c>
      <c r="F59" s="80" t="str">
        <f t="shared" si="10"/>
        <v xml:space="preserve"> </v>
      </c>
      <c r="G59" s="80" t="str">
        <f t="shared" si="11"/>
        <v xml:space="preserve"> </v>
      </c>
      <c r="H59" s="80" t="str">
        <f t="shared" si="12"/>
        <v xml:space="preserve"> </v>
      </c>
      <c r="I59" s="77" t="str">
        <f t="shared" si="7"/>
        <v xml:space="preserve"> </v>
      </c>
      <c r="J59" s="81"/>
      <c r="K59" s="78" t="str">
        <f t="shared" si="8"/>
        <v xml:space="preserve"> </v>
      </c>
      <c r="L59" s="20" t="str">
        <f t="shared" si="5"/>
        <v xml:space="preserve"> </v>
      </c>
    </row>
    <row r="60" spans="4:12" x14ac:dyDescent="0.2">
      <c r="D60" s="20">
        <v>55</v>
      </c>
      <c r="E60" s="79" t="str">
        <f t="shared" si="9"/>
        <v xml:space="preserve"> </v>
      </c>
      <c r="F60" s="80" t="str">
        <f t="shared" si="10"/>
        <v xml:space="preserve"> </v>
      </c>
      <c r="G60" s="80" t="str">
        <f t="shared" si="11"/>
        <v xml:space="preserve"> </v>
      </c>
      <c r="H60" s="80" t="str">
        <f t="shared" si="12"/>
        <v xml:space="preserve"> </v>
      </c>
      <c r="I60" s="77" t="str">
        <f t="shared" si="7"/>
        <v xml:space="preserve"> </v>
      </c>
      <c r="J60" s="81"/>
      <c r="K60" s="78" t="str">
        <f t="shared" si="8"/>
        <v xml:space="preserve"> </v>
      </c>
      <c r="L60" s="20" t="str">
        <f t="shared" si="5"/>
        <v xml:space="preserve"> </v>
      </c>
    </row>
    <row r="61" spans="4:12" x14ac:dyDescent="0.2">
      <c r="D61" s="20">
        <v>56</v>
      </c>
      <c r="E61" s="79" t="str">
        <f t="shared" si="9"/>
        <v xml:space="preserve"> </v>
      </c>
      <c r="F61" s="80" t="str">
        <f t="shared" si="10"/>
        <v xml:space="preserve"> </v>
      </c>
      <c r="G61" s="80" t="str">
        <f t="shared" si="11"/>
        <v xml:space="preserve"> </v>
      </c>
      <c r="H61" s="80" t="str">
        <f t="shared" si="12"/>
        <v xml:space="preserve"> </v>
      </c>
      <c r="I61" s="77" t="str">
        <f t="shared" si="7"/>
        <v xml:space="preserve"> </v>
      </c>
      <c r="J61" s="81"/>
      <c r="K61" s="78" t="str">
        <f t="shared" si="8"/>
        <v xml:space="preserve"> </v>
      </c>
      <c r="L61" s="20" t="str">
        <f t="shared" si="5"/>
        <v xml:space="preserve"> </v>
      </c>
    </row>
    <row r="62" spans="4:12" x14ac:dyDescent="0.2">
      <c r="D62" s="20">
        <v>57</v>
      </c>
      <c r="E62" s="79" t="str">
        <f t="shared" si="9"/>
        <v xml:space="preserve"> </v>
      </c>
      <c r="F62" s="80" t="str">
        <f t="shared" si="10"/>
        <v xml:space="preserve"> </v>
      </c>
      <c r="G62" s="80" t="str">
        <f t="shared" si="11"/>
        <v xml:space="preserve"> </v>
      </c>
      <c r="H62" s="80" t="str">
        <f t="shared" si="12"/>
        <v xml:space="preserve"> </v>
      </c>
      <c r="I62" s="77" t="str">
        <f t="shared" si="7"/>
        <v xml:space="preserve"> </v>
      </c>
      <c r="J62" s="81"/>
      <c r="K62" s="78" t="str">
        <f t="shared" si="8"/>
        <v xml:space="preserve"> </v>
      </c>
      <c r="L62" s="20" t="str">
        <f t="shared" si="5"/>
        <v xml:space="preserve"> </v>
      </c>
    </row>
    <row r="63" spans="4:12" x14ac:dyDescent="0.2">
      <c r="D63" s="20">
        <v>58</v>
      </c>
      <c r="E63" s="79" t="str">
        <f t="shared" si="9"/>
        <v xml:space="preserve"> </v>
      </c>
      <c r="F63" s="80" t="str">
        <f t="shared" si="10"/>
        <v xml:space="preserve"> </v>
      </c>
      <c r="G63" s="80" t="str">
        <f t="shared" si="11"/>
        <v xml:space="preserve"> </v>
      </c>
      <c r="H63" s="80" t="str">
        <f t="shared" si="12"/>
        <v xml:space="preserve"> </v>
      </c>
      <c r="I63" s="77" t="str">
        <f t="shared" si="7"/>
        <v xml:space="preserve"> </v>
      </c>
      <c r="J63" s="81"/>
      <c r="K63" s="78" t="str">
        <f t="shared" si="8"/>
        <v xml:space="preserve"> </v>
      </c>
      <c r="L63" s="20" t="str">
        <f t="shared" si="5"/>
        <v xml:space="preserve"> </v>
      </c>
    </row>
    <row r="64" spans="4:12" x14ac:dyDescent="0.2">
      <c r="D64" s="20">
        <v>59</v>
      </c>
      <c r="E64" s="79" t="str">
        <f t="shared" si="9"/>
        <v xml:space="preserve"> </v>
      </c>
      <c r="F64" s="80" t="str">
        <f t="shared" si="10"/>
        <v xml:space="preserve"> </v>
      </c>
      <c r="G64" s="80" t="str">
        <f t="shared" si="11"/>
        <v xml:space="preserve"> </v>
      </c>
      <c r="H64" s="80" t="str">
        <f t="shared" si="12"/>
        <v xml:space="preserve"> </v>
      </c>
      <c r="I64" s="77" t="str">
        <f t="shared" si="7"/>
        <v xml:space="preserve"> </v>
      </c>
      <c r="J64" s="81"/>
      <c r="K64" s="78" t="str">
        <f t="shared" si="8"/>
        <v xml:space="preserve"> </v>
      </c>
      <c r="L64" s="20" t="str">
        <f t="shared" si="5"/>
        <v xml:space="preserve"> </v>
      </c>
    </row>
    <row r="65" spans="4:12" x14ac:dyDescent="0.2">
      <c r="D65" s="20">
        <v>60</v>
      </c>
      <c r="E65" s="79" t="str">
        <f t="shared" si="9"/>
        <v xml:space="preserve"> </v>
      </c>
      <c r="F65" s="80" t="str">
        <f t="shared" si="10"/>
        <v xml:space="preserve"> </v>
      </c>
      <c r="G65" s="80" t="str">
        <f t="shared" si="11"/>
        <v xml:space="preserve"> </v>
      </c>
      <c r="H65" s="80" t="str">
        <f t="shared" si="12"/>
        <v xml:space="preserve"> </v>
      </c>
      <c r="I65" s="77" t="str">
        <f t="shared" si="7"/>
        <v xml:space="preserve"> </v>
      </c>
      <c r="J65" s="81"/>
      <c r="K65" s="78" t="str">
        <f t="shared" si="8"/>
        <v xml:space="preserve"> </v>
      </c>
      <c r="L65" s="20" t="str">
        <f t="shared" si="5"/>
        <v xml:space="preserve"> </v>
      </c>
    </row>
    <row r="66" spans="4:12" x14ac:dyDescent="0.2">
      <c r="D66" s="20"/>
    </row>
    <row r="67" spans="4:12" x14ac:dyDescent="0.2">
      <c r="D67" s="20"/>
    </row>
    <row r="68" spans="4:12" x14ac:dyDescent="0.2">
      <c r="D68" s="20"/>
    </row>
    <row r="69" spans="4:12" x14ac:dyDescent="0.2">
      <c r="D69" s="20"/>
    </row>
    <row r="70" spans="4:12" x14ac:dyDescent="0.2">
      <c r="D70" s="20"/>
    </row>
    <row r="71" spans="4:12" x14ac:dyDescent="0.2">
      <c r="D71" s="20"/>
    </row>
    <row r="72" spans="4:12" x14ac:dyDescent="0.2">
      <c r="D72" s="20"/>
    </row>
    <row r="73" spans="4:12" x14ac:dyDescent="0.2">
      <c r="D73" s="20"/>
    </row>
    <row r="74" spans="4:12" x14ac:dyDescent="0.2">
      <c r="D74" s="20"/>
    </row>
    <row r="75" spans="4:12" x14ac:dyDescent="0.2">
      <c r="D75" s="20"/>
    </row>
    <row r="76" spans="4:12" x14ac:dyDescent="0.2">
      <c r="D76" s="20"/>
    </row>
    <row r="77" spans="4:12" x14ac:dyDescent="0.2">
      <c r="D77" s="20"/>
    </row>
    <row r="78" spans="4:12" x14ac:dyDescent="0.2">
      <c r="D78" s="20"/>
    </row>
    <row r="79" spans="4:12" x14ac:dyDescent="0.2">
      <c r="D79" s="20"/>
    </row>
    <row r="80" spans="4:12" x14ac:dyDescent="0.2">
      <c r="D80" s="20"/>
    </row>
    <row r="81" spans="4:4" x14ac:dyDescent="0.2">
      <c r="D81" s="20"/>
    </row>
    <row r="82" spans="4:4" x14ac:dyDescent="0.2">
      <c r="D82" s="20"/>
    </row>
  </sheetData>
  <mergeCells count="4">
    <mergeCell ref="C17:C18"/>
    <mergeCell ref="A2:C3"/>
    <mergeCell ref="A17:A18"/>
    <mergeCell ref="B17:B18"/>
  </mergeCells>
  <pageMargins left="0.7" right="0.7" top="0.75" bottom="0.75" header="0.3" footer="0.3"/>
  <pageSetup scale="33"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132</vt:i4>
      </vt:variant>
    </vt:vector>
  </HeadingPairs>
  <TitlesOfParts>
    <vt:vector size="152" baseType="lpstr">
      <vt:lpstr>Contract</vt:lpstr>
      <vt:lpstr>FH</vt:lpstr>
      <vt:lpstr>T.Convert</vt:lpstr>
      <vt:lpstr>KMV</vt:lpstr>
      <vt:lpstr>DataBase</vt:lpstr>
      <vt:lpstr>T.Data</vt:lpstr>
      <vt:lpstr>T.KMAU_</vt:lpstr>
      <vt:lpstr>T.KMAURS_</vt:lpstr>
      <vt:lpstr>T.KMU-AK_</vt:lpstr>
      <vt:lpstr>T.KMUSDRY_</vt:lpstr>
      <vt:lpstr>T.GM_</vt:lpstr>
      <vt:lpstr>T.ZM1_</vt:lpstr>
      <vt:lpstr>T.ZM2_</vt:lpstr>
      <vt:lpstr>T.ZM3_</vt:lpstr>
      <vt:lpstr>T.GE_</vt:lpstr>
      <vt:lpstr>T.OC_</vt:lpstr>
      <vt:lpstr>ER</vt:lpstr>
      <vt:lpstr>MKR</vt:lpstr>
      <vt:lpstr>AN</vt:lpstr>
      <vt:lpstr>FIFD</vt:lpstr>
      <vt:lpstr>ADDRESS_BANK</vt:lpstr>
      <vt:lpstr>ADDRESS_KREDITOR</vt:lpstr>
      <vt:lpstr>ADDRESS_KREDITOR_NOW</vt:lpstr>
      <vt:lpstr>ADDRESS_REGION</vt:lpstr>
      <vt:lpstr>ADDRESS_ZAMIN</vt:lpstr>
      <vt:lpstr>ADDRESS_ZAMIN2</vt:lpstr>
      <vt:lpstr>ADDRESS_ZAMIN3</vt:lpstr>
      <vt:lpstr>Cinsi</vt:lpstr>
      <vt:lpstr>DT_SV</vt:lpstr>
      <vt:lpstr>END_DATE_KREDIT</vt:lpstr>
      <vt:lpstr>END_DATE_KREDIT_SOZLE</vt:lpstr>
      <vt:lpstr>Eshyalar</vt:lpstr>
      <vt:lpstr>FATHERNAME_BM</vt:lpstr>
      <vt:lpstr>FATHERNAME_KM</vt:lpstr>
      <vt:lpstr>FATHERNAME_KREDITOR</vt:lpstr>
      <vt:lpstr>FATHERNAME_MENEGER_BRANCH</vt:lpstr>
      <vt:lpstr>FATHERNAME_ZAMIN</vt:lpstr>
      <vt:lpstr>FATHERNAME_ZAMIN2</vt:lpstr>
      <vt:lpstr>FATHERNAME_ZAMIN3</vt:lpstr>
      <vt:lpstr>FATHERNAME_ZERGER</vt:lpstr>
      <vt:lpstr>FAX_BRANCH</vt:lpstr>
      <vt:lpstr>FIFD</vt:lpstr>
      <vt:lpstr>G_BM</vt:lpstr>
      <vt:lpstr>G_KM</vt:lpstr>
      <vt:lpstr>G_KREDITOR</vt:lpstr>
      <vt:lpstr>G_MENEGER_BRANCH</vt:lpstr>
      <vt:lpstr>G_ZAMIN</vt:lpstr>
      <vt:lpstr>G_ZAMIN2</vt:lpstr>
      <vt:lpstr>G_ZAMIN3</vt:lpstr>
      <vt:lpstr>G_ZERGER</vt:lpstr>
      <vt:lpstr>GE_SUM</vt:lpstr>
      <vt:lpstr>GE_SUM_SOZLE</vt:lpstr>
      <vt:lpstr>GEE_SUM</vt:lpstr>
      <vt:lpstr>GEZ_SUM</vt:lpstr>
      <vt:lpstr>GirovaElave</vt:lpstr>
      <vt:lpstr>GOTURDUYU_MEBLEQ</vt:lpstr>
      <vt:lpstr>GOTURDUYU_MEBLEQ_SOZLE</vt:lpstr>
      <vt:lpstr>GUZEST_KREDIT</vt:lpstr>
      <vt:lpstr>GUZEST_KREDIT_SOZLE</vt:lpstr>
      <vt:lpstr>IFF</vt:lpstr>
      <vt:lpstr>IFF_SOZLE</vt:lpstr>
      <vt:lpstr>KH</vt:lpstr>
      <vt:lpstr>KH_SOZLE</vt:lpstr>
      <vt:lpstr>KM_KMV</vt:lpstr>
      <vt:lpstr>KuchKendQes</vt:lpstr>
      <vt:lpstr>LD_NUM</vt:lpstr>
      <vt:lpstr>LD_OUT</vt:lpstr>
      <vt:lpstr>LOAN_INDEX</vt:lpstr>
      <vt:lpstr>Model</vt:lpstr>
      <vt:lpstr>MONTH_KREDIT</vt:lpstr>
      <vt:lpstr>MONTH_KREDIT_SOZLE</vt:lpstr>
      <vt:lpstr>NAME_BM</vt:lpstr>
      <vt:lpstr>NAME_BRANCH</vt:lpstr>
      <vt:lpstr>NAME_KM</vt:lpstr>
      <vt:lpstr>NAME_KREDITOR</vt:lpstr>
      <vt:lpstr>NAME_MENEGER_BRANCH</vt:lpstr>
      <vt:lpstr>NAME_REGION</vt:lpstr>
      <vt:lpstr>NAME_ZAMIN</vt:lpstr>
      <vt:lpstr>NAME_ZAMIN2</vt:lpstr>
      <vt:lpstr>NAME_ZAMIN3</vt:lpstr>
      <vt:lpstr>NAME_ZERGER</vt:lpstr>
      <vt:lpstr>NS</vt:lpstr>
      <vt:lpstr>NS_SOZLE</vt:lpstr>
      <vt:lpstr>NUM_1_KREDITOR</vt:lpstr>
      <vt:lpstr>NUM_1_ZAMIN</vt:lpstr>
      <vt:lpstr>NUM_1_ZAMIN2</vt:lpstr>
      <vt:lpstr>NUM_1_ZAMIN3</vt:lpstr>
      <vt:lpstr>NUM_2_KREDITOR</vt:lpstr>
      <vt:lpstr>NUM_2_ZAMIN</vt:lpstr>
      <vt:lpstr>NUM_2_ZAMIN2</vt:lpstr>
      <vt:lpstr>NUM_2_ZAMIN3</vt:lpstr>
      <vt:lpstr>NUM_3_ZAMIN3</vt:lpstr>
      <vt:lpstr>NUM_BRANCH</vt:lpstr>
      <vt:lpstr>OLD_DATE_KREDIT</vt:lpstr>
      <vt:lpstr>OLD_DATE_KREDIT_SOZLE</vt:lpstr>
      <vt:lpstr>OLD_LD</vt:lpstr>
      <vt:lpstr>OLD_MEBLEQ</vt:lpstr>
      <vt:lpstr>OLD_MEBLEQ_SOZLE</vt:lpstr>
      <vt:lpstr>POSITION_KM</vt:lpstr>
      <vt:lpstr>POSITION_MENEGER_BRANCH</vt:lpstr>
      <vt:lpstr>FH!Print_Area</vt:lpstr>
      <vt:lpstr>KMV!Print_Area</vt:lpstr>
      <vt:lpstr>T.Data!Print_Area</vt:lpstr>
      <vt:lpstr>T.GE_!Print_Area</vt:lpstr>
      <vt:lpstr>T.OC_!Print_Area</vt:lpstr>
      <vt:lpstr>PUL_VAHIDI</vt:lpstr>
      <vt:lpstr>PUL_VAHIDI_SOZLE</vt:lpstr>
      <vt:lpstr>QiymetliDashinAdi</vt:lpstr>
      <vt:lpstr>QizilEshyalari</vt:lpstr>
      <vt:lpstr>QizilEshyaNovu</vt:lpstr>
      <vt:lpstr>RayonSheher</vt:lpstr>
      <vt:lpstr>Rengi</vt:lpstr>
      <vt:lpstr>RVS_KMV</vt:lpstr>
      <vt:lpstr>SF</vt:lpstr>
      <vt:lpstr>SHV_D_KREDITOR</vt:lpstr>
      <vt:lpstr>SHV_D_KREDITOR_SOZLE</vt:lpstr>
      <vt:lpstr>SHV_D_ZAMIN</vt:lpstr>
      <vt:lpstr>SHV_D_ZAMIN_SOZLE</vt:lpstr>
      <vt:lpstr>SHV_D_ZAMIN_SOZLE2</vt:lpstr>
      <vt:lpstr>SHV_D_ZAMIN_SOZLE3</vt:lpstr>
      <vt:lpstr>SHV_D_ZAMIN2</vt:lpstr>
      <vt:lpstr>SHV_D_ZAMIN3</vt:lpstr>
      <vt:lpstr>SHV_R_KREDITOR</vt:lpstr>
      <vt:lpstr>SHV_R_ZAMIN</vt:lpstr>
      <vt:lpstr>SHV_R_ZAMIN2</vt:lpstr>
      <vt:lpstr>SHV_R_ZAMIN3</vt:lpstr>
      <vt:lpstr>SHV_SN_KREDITOR</vt:lpstr>
      <vt:lpstr>SHV_SN_ZAMIN</vt:lpstr>
      <vt:lpstr>SHV_SN_ZAMIN2</vt:lpstr>
      <vt:lpstr>SHV_SN_ZAMIN3</vt:lpstr>
      <vt:lpstr>SSH_DATE</vt:lpstr>
      <vt:lpstr>SSH_NAME</vt:lpstr>
      <vt:lpstr>SSH_NUM</vt:lpstr>
      <vt:lpstr>START_DATE_KREDIT</vt:lpstr>
      <vt:lpstr>START_DATE_KREDIT_SOZLE</vt:lpstr>
      <vt:lpstr>SURNAME_BM</vt:lpstr>
      <vt:lpstr>SURNAME_KM</vt:lpstr>
      <vt:lpstr>SURNAME_KREDITOR</vt:lpstr>
      <vt:lpstr>SURNAME_MENEGER_BRANCH</vt:lpstr>
      <vt:lpstr>SURNAME_ZAMIN</vt:lpstr>
      <vt:lpstr>SURNAME_ZAMIN1</vt:lpstr>
      <vt:lpstr>SURNAME_ZAMIN2</vt:lpstr>
      <vt:lpstr>SURNAME_ZAMIN3</vt:lpstr>
      <vt:lpstr>SURNAME_ZERGER</vt:lpstr>
      <vt:lpstr>SVSeriasi</vt:lpstr>
      <vt:lpstr>SVVerRayon</vt:lpstr>
      <vt:lpstr>SVVerYer</vt:lpstr>
      <vt:lpstr>Tarix</vt:lpstr>
      <vt:lpstr>TEST_ANALISE</vt:lpstr>
      <vt:lpstr>Valyuta</vt:lpstr>
      <vt:lpstr>ValyutaSozle</vt:lpstr>
      <vt:lpstr>Veziyyet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Rasim Ş. Ağayev</cp:lastModifiedBy>
  <cp:lastPrinted>2016-08-10T12:59:02Z</cp:lastPrinted>
  <dcterms:created xsi:type="dcterms:W3CDTF">2014-03-04T08:09:09Z</dcterms:created>
  <dcterms:modified xsi:type="dcterms:W3CDTF">2016-08-10T13:29:54Z</dcterms:modified>
</cp:coreProperties>
</file>